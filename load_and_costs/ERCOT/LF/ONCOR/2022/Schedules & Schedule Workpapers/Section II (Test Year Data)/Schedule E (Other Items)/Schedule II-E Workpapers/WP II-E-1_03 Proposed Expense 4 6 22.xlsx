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6085" windowHeight="11070" activeTab="0"/>
  </bookViews>
  <sheets>
    <sheet name="WP II-E-1_03" sheetId="1" r:id="rId2"/>
  </sheets>
  <definedNames>
    <definedName name="_xlnm.Print_Area" localSheetId="0">'WP II-E-1_03'!$A$1:$AK$72</definedName>
    <definedName name="_xlnm.Print_Titles" localSheetId="0">'WP II-E-1_03'!$A:$A,'WP II-E-1_03'!$1:$2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3" i="1" l="1"/>
</calcChain>
</file>

<file path=xl/sharedStrings.xml><?xml version="1.0" encoding="utf-8"?>
<sst xmlns="http://schemas.openxmlformats.org/spreadsheetml/2006/main" count="70" uniqueCount="53">
  <si>
    <t>Plant Acct</t>
  </si>
  <si>
    <t>Total Company</t>
  </si>
  <si>
    <t>Known &amp; Measurable</t>
  </si>
  <si>
    <t>Adjusted Total</t>
  </si>
  <si>
    <t>303 IMS</t>
  </si>
  <si>
    <t>352 DC Tie</t>
  </si>
  <si>
    <t>352 SVC</t>
  </si>
  <si>
    <t>353 DC Tie</t>
  </si>
  <si>
    <t>353 SVC</t>
  </si>
  <si>
    <t>360 DS</t>
  </si>
  <si>
    <t>362 incl mob gen</t>
  </si>
  <si>
    <t>370 AMR</t>
  </si>
  <si>
    <t>370 AMS</t>
  </si>
  <si>
    <t>370 IDR</t>
  </si>
  <si>
    <t>387 AMG</t>
  </si>
  <si>
    <t>390 GLH</t>
  </si>
  <si>
    <t>391 AMG</t>
  </si>
  <si>
    <t>391 Computer</t>
  </si>
  <si>
    <t>392 Heavy Trucks</t>
  </si>
  <si>
    <t>392 Light Trucks</t>
  </si>
  <si>
    <t>392 Plane</t>
  </si>
  <si>
    <t>392 Trailer</t>
  </si>
  <si>
    <t>394 Large Tools</t>
  </si>
  <si>
    <t>394 Snall Tools</t>
  </si>
  <si>
    <t>397G</t>
  </si>
  <si>
    <t>397 Depr GTC</t>
  </si>
  <si>
    <t>Total</t>
  </si>
  <si>
    <t>Plant</t>
  </si>
  <si>
    <t>TRAN</t>
  </si>
  <si>
    <t>NTU TRAN</t>
  </si>
  <si>
    <t>DC Tie</t>
  </si>
  <si>
    <t>Consolidated TRAN</t>
  </si>
  <si>
    <t>DIST</t>
  </si>
  <si>
    <t>NTU DIST</t>
  </si>
  <si>
    <t>Consolidated DIST</t>
  </si>
  <si>
    <t>MET</t>
  </si>
  <si>
    <t>TDCS</t>
  </si>
  <si>
    <t>Check</t>
  </si>
  <si>
    <t xml:space="preserve"> </t>
  </si>
  <si>
    <t>Intangible 3 year</t>
  </si>
  <si>
    <t>Intangible 5 year</t>
  </si>
  <si>
    <t>Intangible 8 year</t>
  </si>
  <si>
    <t>Intangible 15 year</t>
  </si>
  <si>
    <t>Depr rate</t>
  </si>
  <si>
    <t>Depr Amt</t>
  </si>
  <si>
    <t>Oncor Ret</t>
  </si>
  <si>
    <t>NTUSU Ret</t>
  </si>
  <si>
    <t>Plant x Rate</t>
  </si>
  <si>
    <t>Amortization True UP</t>
  </si>
  <si>
    <t>Total Depr &amp; Amort</t>
  </si>
  <si>
    <t>Expense Allocation</t>
  </si>
  <si>
    <t>Plant Functionalization</t>
  </si>
  <si>
    <t>Adjusted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</si>
</sst>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62"/>
      <name val="Arial"/>
      <family val="2"/>
    </font>
    <font>
      <sz val="12"/>
      <color indexed="6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>
      <alignment/>
      <protection/>
    </xf>
    <xf numFmtId="43" fontId="2" fillId="0" borderId="0">
      <alignment/>
      <protection/>
    </xf>
    <xf numFmtId="43" fontId="3" fillId="2" borderId="0" applyFill="0" applyBorder="0" applyProtection="0">
      <alignment horizontal="right"/>
    </xf>
    <xf numFmtId="43" fontId="4" fillId="0" borderId="0" applyFont="0" applyFill="0" applyBorder="0" applyAlignment="0" applyProtection="0"/>
    <xf numFmtId="0" fontId="5" fillId="0" borderId="0">
      <alignment/>
      <protection/>
    </xf>
  </cellStyleXfs>
  <cellXfs count="34">
    <xf numFmtId="0" fontId="0" fillId="0" borderId="0" xfId="0"/>
    <xf numFmtId="39" fontId="6" fillId="0" borderId="0" xfId="0" applyNumberFormat="1" applyFont="1" applyFill="1" applyBorder="1"/>
    <xf numFmtId="39" fontId="7" fillId="0" borderId="0" xfId="0" applyNumberFormat="1" applyFont="1" applyFill="1" applyBorder="1" applyAlignment="1">
      <alignment horizontal="center"/>
    </xf>
    <xf numFmtId="39" fontId="6" fillId="0" borderId="0" xfId="0" applyNumberFormat="1" applyFont="1" applyBorder="1"/>
    <xf numFmtId="40" fontId="7" fillId="0" borderId="0" xfId="20" applyNumberFormat="1" applyFont="1" applyFill="1" applyBorder="1" applyAlignment="1">
      <alignment horizontal="center" wrapText="1"/>
      <protection/>
    </xf>
    <xf numFmtId="10" fontId="7" fillId="0" borderId="0" xfId="20" applyNumberFormat="1" applyFont="1" applyFill="1" applyBorder="1" applyAlignment="1">
      <alignment horizontal="center" wrapText="1"/>
      <protection/>
    </xf>
    <xf numFmtId="0" fontId="6" fillId="0" borderId="0" xfId="0" applyFont="1" applyFill="1" applyBorder="1"/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10" fontId="6" fillId="0" borderId="0" xfId="0" applyNumberFormat="1" applyFont="1" applyFill="1" applyBorder="1"/>
    <xf numFmtId="43" fontId="6" fillId="0" borderId="0" xfId="18" applyFont="1" applyFill="1" applyBorder="1"/>
    <xf numFmtId="43" fontId="6" fillId="0" borderId="0" xfId="0" applyNumberFormat="1" applyFont="1" applyFill="1" applyBorder="1"/>
    <xf numFmtId="43" fontId="8" fillId="0" borderId="0" xfId="0" applyNumberFormat="1" applyFont="1" applyBorder="1"/>
    <xf numFmtId="0" fontId="8" fillId="0" borderId="0" xfId="0" applyFont="1" applyBorder="1"/>
    <xf numFmtId="0" fontId="8" fillId="0" borderId="0" xfId="0" applyFont="1" applyFill="1" applyBorder="1"/>
    <xf numFmtId="43" fontId="8" fillId="0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39" fontId="7" fillId="0" borderId="0" xfId="0" applyNumberFormat="1" applyFont="1" applyBorder="1" applyAlignment="1">
      <alignment horizontal="center"/>
    </xf>
    <xf numFmtId="39" fontId="7" fillId="0" borderId="0" xfId="0" applyNumberFormat="1" applyFont="1" applyBorder="1" applyAlignment="1">
      <alignment horizontal="center"/>
    </xf>
    <xf numFmtId="10" fontId="7" fillId="0" borderId="0" xfId="0" applyNumberFormat="1" applyFont="1" applyFill="1" applyBorder="1"/>
    <xf numFmtId="0" fontId="7" fillId="0" borderId="0" xfId="0" applyFont="1" applyFill="1" applyBorder="1"/>
    <xf numFmtId="43" fontId="7" fillId="0" borderId="0" xfId="18" applyFont="1" applyFill="1" applyBorder="1"/>
    <xf numFmtId="0" fontId="9" fillId="0" borderId="0" xfId="0" applyFont="1" applyBorder="1"/>
    <xf numFmtId="0" fontId="7" fillId="0" borderId="0" xfId="0" applyFont="1" applyFill="1" applyBorder="1" applyAlignment="1">
      <alignment horizontal="center" wrapText="1"/>
    </xf>
    <xf numFmtId="43" fontId="7" fillId="0" borderId="0" xfId="18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6" fillId="0" borderId="0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 wrapText="1"/>
    </xf>
    <xf numFmtId="39" fontId="7" fillId="0" borderId="4" xfId="0" applyNumberFormat="1" applyFont="1" applyBorder="1" applyAlignment="1">
      <alignment horizontal="center" wrapText="1"/>
    </xf>
    <xf numFmtId="40" fontId="7" fillId="0" borderId="4" xfId="20" applyNumberFormat="1" applyFont="1" applyFill="1" applyBorder="1" applyAlignment="1">
      <alignment horizontal="center" wrapText="1"/>
      <protection/>
    </xf>
    <xf numFmtId="39" fontId="7" fillId="0" borderId="1" xfId="0" applyNumberFormat="1" applyFont="1" applyFill="1" applyBorder="1" applyAlignment="1">
      <alignment horizontal="center"/>
    </xf>
    <xf numFmtId="39" fontId="7" fillId="0" borderId="2" xfId="0" applyNumberFormat="1" applyFont="1" applyFill="1" applyBorder="1" applyAlignment="1">
      <alignment horizontal="center"/>
    </xf>
    <xf numFmtId="39" fontId="7" fillId="0" borderId="3" xfId="0" applyNumberFormat="1" applyFont="1" applyFill="1" applyBorder="1" applyAlignment="1">
      <alignment horizontal="center"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3" xfId="20"/>
    <cellStyle name="nPlosion" xfId="21"/>
    <cellStyle name="Comma 2" xfId="22"/>
    <cellStyle name="Report" xfId="23"/>
    <cellStyle name="Normal 2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AK87"/>
  <sheetViews>
    <sheetView tabSelected="1" workbookViewId="0" topLeftCell="A1">
      <pane xSplit="1" ySplit="2" topLeftCell="AA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AA1" sqref="AA1:AJ1"/>
    </sheetView>
  </sheetViews>
  <sheetFormatPr defaultColWidth="9.00428571428571" defaultRowHeight="15.75"/>
  <cols>
    <col min="1" max="1" width="19.5714285714286" style="27" bestFit="1" customWidth="1"/>
    <col min="2" max="2" width="20.8571428571429" style="3" bestFit="1" customWidth="1"/>
    <col min="3" max="3" width="17.1428571428571" style="3" bestFit="1" customWidth="1"/>
    <col min="4" max="4" width="20.8571428571429" style="3" bestFit="1" customWidth="1"/>
    <col min="5" max="5" width="17.7142857142857" style="3" bestFit="1" customWidth="1"/>
    <col min="6" max="6" width="13.4285714285714" style="3" bestFit="1" customWidth="1"/>
    <col min="7" max="7" width="20.8571428571429" style="3" bestFit="1" customWidth="1"/>
    <col min="8" max="8" width="20.8571428571429" style="1" bestFit="1" customWidth="1"/>
    <col min="9" max="9" width="19.5714285714286" style="1" bestFit="1" customWidth="1"/>
    <col min="10" max="10" width="16.4285714285714" style="1" bestFit="1" customWidth="1"/>
    <col min="11" max="12" width="20.8571428571429" style="1" bestFit="1" customWidth="1"/>
    <col min="13" max="13" width="17.7142857142857" style="1" bestFit="1" customWidth="1"/>
    <col min="14" max="14" width="20.8571428571429" style="1" bestFit="1" customWidth="1"/>
    <col min="15" max="16" width="17.7142857142857" style="1" bestFit="1" customWidth="1"/>
    <col min="17" max="17" width="20.8571428571429" style="6" bestFit="1" customWidth="1"/>
    <col min="18" max="18" width="19.5714285714286" style="6" bestFit="1" customWidth="1"/>
    <col min="19" max="19" width="8.85714285714286" style="6" customWidth="1"/>
    <col min="20" max="20" width="8" style="6" customWidth="1"/>
    <col min="21" max="21" width="9.42857142857143" style="10" bestFit="1" customWidth="1"/>
    <col min="22" max="22" width="9.14285714285714" style="6"/>
    <col min="23" max="23" width="18.8571428571429" style="11" bestFit="1" customWidth="1"/>
    <col min="24" max="24" width="18.7142857142857" style="6" bestFit="1" customWidth="1"/>
    <col min="25" max="25" width="7.71428571428571" style="6" customWidth="1"/>
    <col min="26" max="27" width="20.7142857142857" style="6" bestFit="1" customWidth="1"/>
    <col min="28" max="28" width="19.2857142857143" style="6" bestFit="1" customWidth="1"/>
    <col min="29" max="29" width="15.5714285714286" style="6" bestFit="1" customWidth="1"/>
    <col min="30" max="30" width="20.7142857142857" style="6" bestFit="1" customWidth="1"/>
    <col min="31" max="31" width="20.2857142857143" style="6" bestFit="1" customWidth="1"/>
    <col min="32" max="32" width="17" style="6" bestFit="1" customWidth="1"/>
    <col min="33" max="33" width="20.7142857142857" style="6" bestFit="1" customWidth="1"/>
    <col min="34" max="34" width="19.2857142857143" style="6" bestFit="1" customWidth="1"/>
    <col min="35" max="35" width="19.8571428571429" style="6" bestFit="1" customWidth="1"/>
    <col min="36" max="36" width="20.7142857142857" style="6" bestFit="1" customWidth="1"/>
    <col min="37" max="37" width="7.14285714285714" style="14" bestFit="1" customWidth="1"/>
    <col min="38" max="16384" width="9" style="14"/>
  </cols>
  <sheetData>
    <row r="1" spans="1:36" s="23" customFormat="1" ht="15.75">
      <c r="A1" s="17"/>
      <c r="B1" s="18" t="s">
        <v>27</v>
      </c>
      <c r="C1" s="18"/>
      <c r="D1" s="18"/>
      <c r="E1" s="19"/>
      <c r="F1" s="19"/>
      <c r="G1" s="19"/>
      <c r="H1" s="31" t="s">
        <v>51</v>
      </c>
      <c r="I1" s="32"/>
      <c r="J1" s="32"/>
      <c r="K1" s="32"/>
      <c r="L1" s="32"/>
      <c r="M1" s="32"/>
      <c r="N1" s="32"/>
      <c r="O1" s="32"/>
      <c r="P1" s="32"/>
      <c r="Q1" s="32"/>
      <c r="R1" s="33"/>
      <c r="S1" s="2"/>
      <c r="T1" s="2"/>
      <c r="U1" s="20"/>
      <c r="V1" s="21"/>
      <c r="W1" s="22"/>
      <c r="X1" s="21"/>
      <c r="Y1" s="21"/>
      <c r="Z1" s="21"/>
      <c r="AA1" s="7" t="s">
        <v>50</v>
      </c>
      <c r="AB1" s="8"/>
      <c r="AC1" s="8"/>
      <c r="AD1" s="8"/>
      <c r="AE1" s="8"/>
      <c r="AF1" s="8"/>
      <c r="AG1" s="8"/>
      <c r="AH1" s="8"/>
      <c r="AI1" s="8"/>
      <c r="AJ1" s="9"/>
    </row>
    <row r="2" spans="1:37" ht="32.25" thickBot="1">
      <c r="A2" s="28" t="s">
        <v>0</v>
      </c>
      <c r="B2" s="29" t="s">
        <v>1</v>
      </c>
      <c r="C2" s="29" t="s">
        <v>2</v>
      </c>
      <c r="D2" s="29" t="s">
        <v>3</v>
      </c>
      <c r="E2" s="30" t="s">
        <v>45</v>
      </c>
      <c r="F2" s="30" t="s">
        <v>46</v>
      </c>
      <c r="G2" s="30" t="s">
        <v>52</v>
      </c>
      <c r="H2" s="30" t="s">
        <v>28</v>
      </c>
      <c r="I2" s="30" t="s">
        <v>29</v>
      </c>
      <c r="J2" s="30" t="s">
        <v>30</v>
      </c>
      <c r="K2" s="30" t="s">
        <v>31</v>
      </c>
      <c r="L2" s="30" t="s">
        <v>32</v>
      </c>
      <c r="M2" s="30" t="s">
        <v>33</v>
      </c>
      <c r="N2" s="30" t="s">
        <v>34</v>
      </c>
      <c r="O2" s="30" t="s">
        <v>35</v>
      </c>
      <c r="P2" s="30" t="s">
        <v>36</v>
      </c>
      <c r="Q2" s="30" t="s">
        <v>26</v>
      </c>
      <c r="R2" s="30" t="s">
        <v>37</v>
      </c>
      <c r="S2" s="4"/>
      <c r="T2" s="4"/>
      <c r="U2" s="5" t="s">
        <v>43</v>
      </c>
      <c r="V2" s="4" t="s">
        <v>44</v>
      </c>
      <c r="W2" s="25" t="s">
        <v>47</v>
      </c>
      <c r="X2" s="4" t="s">
        <v>48</v>
      </c>
      <c r="Y2" s="4"/>
      <c r="Z2" s="4" t="s">
        <v>49</v>
      </c>
      <c r="AA2" s="24" t="s">
        <v>28</v>
      </c>
      <c r="AB2" s="24" t="s">
        <v>29</v>
      </c>
      <c r="AC2" s="24" t="s">
        <v>30</v>
      </c>
      <c r="AD2" s="24" t="s">
        <v>31</v>
      </c>
      <c r="AE2" s="24" t="s">
        <v>32</v>
      </c>
      <c r="AF2" s="24" t="s">
        <v>33</v>
      </c>
      <c r="AG2" s="24" t="s">
        <v>34</v>
      </c>
      <c r="AH2" s="24" t="s">
        <v>35</v>
      </c>
      <c r="AI2" s="24" t="s">
        <v>36</v>
      </c>
      <c r="AJ2" s="24" t="s">
        <v>26</v>
      </c>
      <c r="AK2" s="26" t="s">
        <v>37</v>
      </c>
    </row>
    <row r="3" spans="1:37" ht="15.75">
      <c r="A3" s="27" t="s">
        <v>39</v>
      </c>
      <c r="B3" s="3">
        <v>408077.78999999998</v>
      </c>
      <c r="D3" s="3">
        <v>408077.78999999998</v>
      </c>
      <c r="G3" s="3">
        <f>+D3-E3-F3</f>
        <v>408077.78999999998</v>
      </c>
      <c r="H3" s="1">
        <v>193396.23000000001</v>
      </c>
      <c r="K3" s="1">
        <v>193396.23000000001</v>
      </c>
      <c r="L3" s="1">
        <v>208242.09999999998</v>
      </c>
      <c r="N3" s="1">
        <f>+L3+M3</f>
        <v>208242.09999999998</v>
      </c>
      <c r="O3" s="1">
        <v>6068.1199999999999</v>
      </c>
      <c r="P3" s="1">
        <v>371.34999999999997</v>
      </c>
      <c r="Q3" s="1">
        <f>+K3+N3+O3+P3</f>
        <v>408077.79999999993</v>
      </c>
      <c r="R3" s="1">
        <f t="shared" si="0" ref="R3:R59">+G3-Q3</f>
        <v>-0.0099999999511055648</v>
      </c>
      <c r="S3" s="1"/>
      <c r="T3" s="1"/>
      <c r="U3" s="10">
        <v>0.31650035036150465</v>
      </c>
      <c r="W3" s="11">
        <f>+D3*U3</f>
        <v>129156.7635097485</v>
      </c>
      <c r="Z3" s="12">
        <f t="shared" si="1" ref="Z3:Z25">+W3+X3</f>
        <v>129156.7635097485</v>
      </c>
      <c r="AA3" s="12">
        <f>+H3/$D3*$W3</f>
        <v>61209.97455359414</v>
      </c>
      <c r="AD3" s="12">
        <f t="shared" si="2" ref="AD3:AE6">+K3/$D3*$W3</f>
        <v>61209.97455359414</v>
      </c>
      <c r="AE3" s="12">
        <f t="shared" si="2"/>
        <v>65908.697610015472</v>
      </c>
      <c r="AG3" s="12">
        <f>+AE3+AF3</f>
        <v>65908.697610015472</v>
      </c>
      <c r="AH3" s="12">
        <f t="shared" si="3" ref="AH3:AI6">+O3/$D3*$Z3</f>
        <v>1920.5621060356534</v>
      </c>
      <c r="AI3" s="12">
        <f t="shared" si="3"/>
        <v>117.53240510674473</v>
      </c>
      <c r="AJ3" s="12">
        <f>+Q3/$D3*$W3</f>
        <v>129156.766674752</v>
      </c>
      <c r="AK3" s="13">
        <f t="shared" si="4" ref="AK3:AK8">+AJ3-Z3</f>
        <v>0.0031650034943595529</v>
      </c>
    </row>
    <row r="4" spans="1:37" ht="15.75">
      <c r="A4" s="27" t="s">
        <v>40</v>
      </c>
      <c r="B4" s="3">
        <v>32215865.039999992</v>
      </c>
      <c r="D4" s="3">
        <v>32215865.039999992</v>
      </c>
      <c r="G4" s="3">
        <f t="shared" si="5" ref="G4:G67">+D4-E4-F4</f>
        <v>32215865.039999992</v>
      </c>
      <c r="H4" s="1">
        <v>13640467.4</v>
      </c>
      <c r="K4" s="1">
        <f t="shared" si="6" ref="K4:K6">+H4+I4+J4</f>
        <v>13640467.4</v>
      </c>
      <c r="L4" s="1">
        <v>11753973.870000001</v>
      </c>
      <c r="N4" s="1">
        <f t="shared" si="7" ref="N4:N6">+L4+M4</f>
        <v>11753973.870000001</v>
      </c>
      <c r="O4" s="1">
        <v>342367.13999999996</v>
      </c>
      <c r="P4" s="1">
        <v>6479056.6399999997</v>
      </c>
      <c r="Q4" s="1">
        <f t="shared" si="8" ref="Q4:Q6">+K4+N4+O4+P4</f>
        <v>32215865.050000004</v>
      </c>
      <c r="R4" s="1">
        <f t="shared" si="0"/>
        <v>-0.010000012814998627</v>
      </c>
      <c r="S4" s="1"/>
      <c r="T4" s="1"/>
      <c r="U4" s="10">
        <v>0.19177857938244289</v>
      </c>
      <c r="W4" s="11">
        <f>+D4*U4</f>
        <v>6178312.8309477046</v>
      </c>
      <c r="Z4" s="12">
        <f t="shared" si="1"/>
        <v>6178312.8309477046</v>
      </c>
      <c r="AA4" s="12">
        <f>+H4/$D4*$W4</f>
        <v>2615949.460084524</v>
      </c>
      <c r="AD4" s="12">
        <f t="shared" si="2"/>
        <v>2615949.460084524</v>
      </c>
      <c r="AE4" s="12">
        <f t="shared" si="2"/>
        <v>2254160.4108869545</v>
      </c>
      <c r="AG4" s="12">
        <f t="shared" si="9" ref="AG4:AG6">+AE4+AF4</f>
        <v>2254160.4108869545</v>
      </c>
      <c r="AH4" s="12">
        <f t="shared" si="3"/>
        <v>65658.683736429928</v>
      </c>
      <c r="AI4" s="12">
        <f t="shared" si="3"/>
        <v>1242544.2781575834</v>
      </c>
      <c r="AJ4" s="12">
        <f>+Q4/$D4*$W4</f>
        <v>6178312.8328654924</v>
      </c>
      <c r="AK4" s="13">
        <f t="shared" si="4"/>
        <v>0.0019177878275513649</v>
      </c>
    </row>
    <row r="5" spans="1:37" ht="15.75">
      <c r="A5" s="27" t="s">
        <v>41</v>
      </c>
      <c r="B5" s="3">
        <v>328240028.10000002</v>
      </c>
      <c r="D5" s="3">
        <v>328240028.10000002</v>
      </c>
      <c r="G5" s="3">
        <f t="shared" si="5"/>
        <v>328240028.10000002</v>
      </c>
      <c r="H5" s="1">
        <v>155462394.47</v>
      </c>
      <c r="K5" s="1">
        <f t="shared" si="6"/>
        <v>155462394.47</v>
      </c>
      <c r="L5" s="1">
        <v>138952490.34999999</v>
      </c>
      <c r="N5" s="1">
        <f t="shared" si="7"/>
        <v>138952490.34999999</v>
      </c>
      <c r="O5" s="1">
        <v>4943660.919999999</v>
      </c>
      <c r="P5" s="1">
        <v>28881482.359999999</v>
      </c>
      <c r="Q5" s="1">
        <f t="shared" si="8"/>
        <v>328240028.10000002</v>
      </c>
      <c r="R5" s="1">
        <f t="shared" si="0"/>
        <v>0</v>
      </c>
      <c r="S5" s="1"/>
      <c r="T5" s="1"/>
      <c r="U5" s="10">
        <v>0.11264278401378453</v>
      </c>
      <c r="W5" s="11">
        <f>+D5*U5</f>
        <v>36973870.589946866</v>
      </c>
      <c r="Z5" s="12">
        <f t="shared" si="1"/>
        <v>36973870.589946866</v>
      </c>
      <c r="AA5" s="12">
        <f>+H5/$D5*$W5</f>
        <v>17511716.922549982</v>
      </c>
      <c r="AD5" s="12">
        <f t="shared" si="2"/>
        <v>17511716.922549982</v>
      </c>
      <c r="AE5" s="12">
        <f t="shared" si="2"/>
        <v>15651995.358672528</v>
      </c>
      <c r="AG5" s="12">
        <f t="shared" si="9"/>
        <v>15651995.358672528</v>
      </c>
      <c r="AH5" s="12">
        <f t="shared" si="3"/>
        <v>556867.72924894723</v>
      </c>
      <c r="AI5" s="12">
        <f t="shared" si="3"/>
        <v>3253290.5794754075</v>
      </c>
      <c r="AJ5" s="12">
        <f>+Q5/$D5*$W5</f>
        <v>36973870.589946866</v>
      </c>
      <c r="AK5" s="13">
        <f t="shared" si="4"/>
        <v>0</v>
      </c>
    </row>
    <row r="6" spans="1:37" ht="15.75">
      <c r="A6" s="27" t="s">
        <v>42</v>
      </c>
      <c r="B6" s="3">
        <v>559318493.92999995</v>
      </c>
      <c r="D6" s="3">
        <v>559318493.92999995</v>
      </c>
      <c r="G6" s="3">
        <f t="shared" si="5"/>
        <v>559318493.92999995</v>
      </c>
      <c r="H6" s="1">
        <v>78009762.449999988</v>
      </c>
      <c r="K6" s="1">
        <f t="shared" si="6"/>
        <v>78009762.449999988</v>
      </c>
      <c r="L6" s="1">
        <v>172418666.50000003</v>
      </c>
      <c r="N6" s="1">
        <f t="shared" si="7"/>
        <v>172418666.50000003</v>
      </c>
      <c r="O6" s="1">
        <v>33841800.57</v>
      </c>
      <c r="P6" s="1">
        <v>275048264.38999999</v>
      </c>
      <c r="Q6" s="1">
        <f t="shared" si="8"/>
        <v>559318493.91000009</v>
      </c>
      <c r="R6" s="1">
        <f t="shared" si="0"/>
        <v>0.019999861717224121</v>
      </c>
      <c r="S6" s="1"/>
      <c r="T6" s="1"/>
      <c r="U6" s="10">
        <v>0.064612331000034495</v>
      </c>
      <c r="W6" s="11">
        <f>+D6*U6</f>
        <v>36138871.664245941</v>
      </c>
      <c r="Z6" s="12">
        <f t="shared" si="1"/>
        <v>36138871.664245941</v>
      </c>
      <c r="AA6" s="12">
        <f>+H6/$D6*$W6</f>
        <v>5040392.5926534608</v>
      </c>
      <c r="AD6" s="12">
        <f t="shared" si="2"/>
        <v>5040392.5926534608</v>
      </c>
      <c r="AE6" s="12">
        <f t="shared" si="2"/>
        <v>11140371.950482562</v>
      </c>
      <c r="AG6" s="12">
        <f t="shared" si="9"/>
        <v>11140371.950482562</v>
      </c>
      <c r="AH6" s="12">
        <f t="shared" si="3"/>
        <v>2186597.620065996</v>
      </c>
      <c r="AI6" s="12">
        <f t="shared" si="3"/>
        <v>17771509.49975168</v>
      </c>
      <c r="AJ6" s="12">
        <f>+Q6/$D6*$W6</f>
        <v>36138871.662953705</v>
      </c>
      <c r="AK6" s="13">
        <f t="shared" si="4"/>
        <v>-0.0012922361493110657</v>
      </c>
    </row>
    <row r="7" spans="17:37" ht="15.75">
      <c r="Q7" s="1"/>
      <c r="R7" s="1" t="s">
        <v>38</v>
      </c>
      <c r="S7" s="1"/>
      <c r="T7" s="1"/>
      <c r="Z7" s="12">
        <f t="shared" si="1"/>
        <v>0</v>
      </c>
      <c r="AD7" s="12" t="s">
        <v>38</v>
      </c>
      <c r="AE7" s="12" t="s">
        <v>38</v>
      </c>
      <c r="AJ7" s="12"/>
      <c r="AK7" s="13"/>
    </row>
    <row r="8" spans="1:37" ht="15.75">
      <c r="A8" s="27" t="s">
        <v>4</v>
      </c>
      <c r="B8" s="3">
        <v>146167816.21000001</v>
      </c>
      <c r="D8" s="3">
        <v>146167816.21000001</v>
      </c>
      <c r="G8" s="3">
        <f t="shared" si="5"/>
        <v>146167816.21000001</v>
      </c>
      <c r="K8" s="1">
        <f t="shared" si="10" ref="K8:K25">+H8+I8+J8</f>
        <v>0</v>
      </c>
      <c r="N8" s="1">
        <f t="shared" si="11" ref="N8:N25">+L8+M8</f>
        <v>0</v>
      </c>
      <c r="O8" s="1">
        <f>+B8</f>
        <v>146167816.21000001</v>
      </c>
      <c r="Q8" s="1">
        <f t="shared" si="12" ref="Q8:Q25">+K8+N8+O8+P8</f>
        <v>146167816.21000001</v>
      </c>
      <c r="R8" s="1">
        <f t="shared" si="0"/>
        <v>0</v>
      </c>
      <c r="S8" s="1"/>
      <c r="T8" s="1"/>
      <c r="W8" s="11">
        <v>1083338.3999999999</v>
      </c>
      <c r="X8" s="12"/>
      <c r="Y8" s="12"/>
      <c r="Z8" s="12">
        <f t="shared" si="1"/>
        <v>1083338.3999999999</v>
      </c>
      <c r="AA8" s="12"/>
      <c r="AB8" s="12"/>
      <c r="AC8" s="12"/>
      <c r="AD8" s="12">
        <f t="shared" si="13" ref="AD8">SUM(AD2:AD7)</f>
        <v>25229268.949841559</v>
      </c>
      <c r="AH8" s="1">
        <f>+Z8</f>
        <v>1083338.3999999999</v>
      </c>
      <c r="AJ8" s="12">
        <f>+Q8/$D8*$W8</f>
        <v>1083338.3999999999</v>
      </c>
      <c r="AK8" s="13">
        <f t="shared" si="4"/>
        <v>0</v>
      </c>
    </row>
    <row r="9" spans="17:37" ht="15.75">
      <c r="Q9" s="1"/>
      <c r="R9" s="1"/>
      <c r="S9" s="1"/>
      <c r="T9" s="1"/>
      <c r="X9" s="12"/>
      <c r="Y9" s="12"/>
      <c r="Z9" s="12"/>
      <c r="AE9" s="12"/>
      <c r="AF9" s="12"/>
      <c r="AG9" s="12"/>
      <c r="AH9" s="12"/>
      <c r="AI9" s="12"/>
      <c r="AJ9" s="12"/>
      <c r="AK9" s="13"/>
    </row>
    <row r="10" spans="17:37" ht="15.75">
      <c r="Q10" s="1"/>
      <c r="R10" s="1"/>
      <c r="S10" s="1"/>
      <c r="T10" s="1"/>
      <c r="X10" s="12"/>
      <c r="Y10" s="12"/>
      <c r="Z10" s="12"/>
      <c r="AH10" s="1"/>
      <c r="AJ10" s="12"/>
      <c r="AK10" s="13"/>
    </row>
    <row r="11" spans="17:37" ht="15.75">
      <c r="Q11" s="1"/>
      <c r="R11" s="1"/>
      <c r="S11" s="1"/>
      <c r="T11" s="1"/>
      <c r="X11" s="12"/>
      <c r="Y11" s="12"/>
      <c r="Z11" s="12"/>
      <c r="AH11" s="1"/>
      <c r="AJ11" s="12"/>
      <c r="AK11" s="13"/>
    </row>
    <row r="12" spans="17:37" ht="15.75">
      <c r="Q12" s="1"/>
      <c r="R12" s="1"/>
      <c r="S12" s="1"/>
      <c r="T12" s="1"/>
      <c r="X12" s="12"/>
      <c r="Y12" s="12"/>
      <c r="Z12" s="12"/>
      <c r="AH12" s="1"/>
      <c r="AJ12" s="12"/>
      <c r="AK12" s="13"/>
    </row>
    <row r="13" spans="1:36" s="15" customFormat="1" ht="15.75">
      <c r="A13" s="27">
        <v>349</v>
      </c>
      <c r="B13" s="1">
        <v>115906329.25999999</v>
      </c>
      <c r="C13" s="1"/>
      <c r="D13" s="1">
        <v>115906329.25999999</v>
      </c>
      <c r="E13" s="1"/>
      <c r="F13" s="1"/>
      <c r="G13" s="3">
        <f t="shared" si="5"/>
        <v>115906329.25999999</v>
      </c>
      <c r="H13" s="1">
        <v>93368707.019999996</v>
      </c>
      <c r="I13" s="1">
        <v>22537622.239999998</v>
      </c>
      <c r="J13" s="1"/>
      <c r="K13" s="1">
        <f t="shared" si="10"/>
        <v>115906329.25999999</v>
      </c>
      <c r="L13" s="1"/>
      <c r="M13" s="1"/>
      <c r="N13" s="1">
        <f t="shared" si="11"/>
        <v>0</v>
      </c>
      <c r="O13" s="1"/>
      <c r="P13" s="1"/>
      <c r="Q13" s="1">
        <f t="shared" si="12"/>
        <v>115906329.25999999</v>
      </c>
      <c r="R13" s="1">
        <f t="shared" si="0"/>
        <v>0</v>
      </c>
      <c r="S13" s="1"/>
      <c r="T13" s="1"/>
      <c r="U13" s="10"/>
      <c r="V13" s="6"/>
      <c r="W13" s="11"/>
      <c r="X13" s="6"/>
      <c r="Y13" s="6"/>
      <c r="Z13" s="12">
        <f t="shared" si="1"/>
        <v>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7" ht="15.75">
      <c r="A14" s="27">
        <v>350</v>
      </c>
      <c r="B14" s="3">
        <v>616585378.13999999</v>
      </c>
      <c r="C14" s="3">
        <v>-658973.65000000002</v>
      </c>
      <c r="D14" s="3">
        <v>615926404.49000001</v>
      </c>
      <c r="G14" s="3">
        <f t="shared" si="5"/>
        <v>615926404.49000001</v>
      </c>
      <c r="H14" s="1">
        <v>521566382.51999998</v>
      </c>
      <c r="I14" s="1">
        <v>94360021.969999999</v>
      </c>
      <c r="K14" s="1">
        <f t="shared" si="10"/>
        <v>615926404.49000001</v>
      </c>
      <c r="N14" s="1">
        <f t="shared" si="11"/>
        <v>0</v>
      </c>
      <c r="Q14" s="1">
        <f t="shared" si="12"/>
        <v>615926404.49000001</v>
      </c>
      <c r="R14" s="1">
        <f t="shared" si="0"/>
        <v>0</v>
      </c>
      <c r="S14" s="1"/>
      <c r="T14" s="1"/>
      <c r="U14" s="10">
        <v>0.0097787351406581659</v>
      </c>
      <c r="W14" s="11">
        <f t="shared" si="14" ref="W14:W25">+D14*U14</f>
        <v>6022981.1756455982</v>
      </c>
      <c r="X14" s="12"/>
      <c r="Y14" s="12"/>
      <c r="Z14" s="12">
        <f t="shared" si="1"/>
        <v>6022981.1756455982</v>
      </c>
      <c r="AA14" s="12">
        <f t="shared" si="15" ref="AA14:AA25">+H14/$D14*$W14</f>
        <v>5100259.5129342824</v>
      </c>
      <c r="AB14" s="12">
        <f t="shared" si="16" ref="AB14:AB25">+I14/$D14*$W14</f>
        <v>922721.66271131544</v>
      </c>
      <c r="AC14" s="12">
        <f t="shared" si="17" ref="AC14:AC25">+J14/$D14*$W14</f>
        <v>0</v>
      </c>
      <c r="AD14" s="12">
        <f t="shared" si="18" ref="AD14:AD25">+K14/$D14*$W14</f>
        <v>6022981.1756455982</v>
      </c>
      <c r="AE14" s="12">
        <f t="shared" si="19" ref="AE14:AE25">+L14/$D14*$W14</f>
        <v>0</v>
      </c>
      <c r="AF14" s="12">
        <f t="shared" si="20" ref="AF14:AF25">+M14/$D14*$W14</f>
        <v>0</v>
      </c>
      <c r="AG14" s="12">
        <f t="shared" si="21" ref="AG14:AG25">+N14/$D14*$W14</f>
        <v>0</v>
      </c>
      <c r="AH14" s="12">
        <f t="shared" si="22" ref="AH14:AH25">+O14/$D14*$W14</f>
        <v>0</v>
      </c>
      <c r="AI14" s="12">
        <f t="shared" si="23" ref="AI14:AI25">+P14/$D14*$W14</f>
        <v>0</v>
      </c>
      <c r="AJ14" s="12">
        <f t="shared" si="24" ref="AJ14:AJ25">+Q14/$D14*$W14</f>
        <v>6022981.1756455982</v>
      </c>
      <c r="AK14" s="13">
        <f t="shared" si="25" ref="AK14:AK45">+AJ14-Z14</f>
        <v>0</v>
      </c>
    </row>
    <row r="15" spans="1:37" ht="15.75">
      <c r="A15" s="27">
        <v>352</v>
      </c>
      <c r="B15" s="3">
        <v>397934615.39999998</v>
      </c>
      <c r="D15" s="3">
        <v>397934615.39999998</v>
      </c>
      <c r="G15" s="3">
        <f t="shared" si="5"/>
        <v>397934615.39999998</v>
      </c>
      <c r="H15" s="1">
        <v>312392691.69</v>
      </c>
      <c r="I15" s="1">
        <v>85541923.709999993</v>
      </c>
      <c r="K15" s="1">
        <f t="shared" si="10"/>
        <v>397934615.39999998</v>
      </c>
      <c r="N15" s="1">
        <f t="shared" si="11"/>
        <v>0</v>
      </c>
      <c r="Q15" s="1">
        <f t="shared" si="12"/>
        <v>397934615.39999998</v>
      </c>
      <c r="R15" s="1">
        <f t="shared" si="0"/>
        <v>0</v>
      </c>
      <c r="S15" s="1"/>
      <c r="T15" s="1"/>
      <c r="U15" s="10">
        <v>0.026539760727051262</v>
      </c>
      <c r="W15" s="11">
        <f t="shared" si="14"/>
        <v>10561089.477727167</v>
      </c>
      <c r="X15" s="12"/>
      <c r="Y15" s="12"/>
      <c r="Z15" s="12">
        <f t="shared" si="1"/>
        <v>10561089.477727167</v>
      </c>
      <c r="AA15" s="12">
        <f t="shared" si="15"/>
        <v>8290827.2903320948</v>
      </c>
      <c r="AB15" s="12">
        <f t="shared" si="16"/>
        <v>2270262.187395073</v>
      </c>
      <c r="AC15" s="12">
        <f t="shared" si="17"/>
        <v>0</v>
      </c>
      <c r="AD15" s="12">
        <f t="shared" si="18"/>
        <v>10561089.477727167</v>
      </c>
      <c r="AE15" s="12">
        <f t="shared" si="19"/>
        <v>0</v>
      </c>
      <c r="AF15" s="12">
        <f t="shared" si="20"/>
        <v>0</v>
      </c>
      <c r="AG15" s="12">
        <f t="shared" si="21"/>
        <v>0</v>
      </c>
      <c r="AH15" s="12">
        <f t="shared" si="22"/>
        <v>0</v>
      </c>
      <c r="AI15" s="12">
        <f t="shared" si="23"/>
        <v>0</v>
      </c>
      <c r="AJ15" s="12">
        <f t="shared" si="24"/>
        <v>10561089.477727167</v>
      </c>
      <c r="AK15" s="13">
        <f t="shared" si="25"/>
        <v>0</v>
      </c>
    </row>
    <row r="16" spans="1:37" ht="15.75">
      <c r="A16" s="27" t="s">
        <v>5</v>
      </c>
      <c r="B16" s="3">
        <v>1686568.9400000002</v>
      </c>
      <c r="D16" s="3">
        <v>1686568.9400000002</v>
      </c>
      <c r="G16" s="3">
        <f t="shared" si="5"/>
        <v>1686568.9400000002</v>
      </c>
      <c r="J16" s="1">
        <v>1686568.9399999999</v>
      </c>
      <c r="K16" s="1">
        <f t="shared" si="10"/>
        <v>1686568.9399999999</v>
      </c>
      <c r="N16" s="1">
        <f t="shared" si="11"/>
        <v>0</v>
      </c>
      <c r="Q16" s="1">
        <f t="shared" si="12"/>
        <v>1686568.9399999999</v>
      </c>
      <c r="R16" s="1">
        <f t="shared" si="0"/>
        <v>0</v>
      </c>
      <c r="S16" s="1"/>
      <c r="T16" s="1"/>
      <c r="U16" s="10">
        <v>0.025463712509607293</v>
      </c>
      <c r="W16" s="11">
        <f t="shared" si="14"/>
        <v>42946.306615793117</v>
      </c>
      <c r="X16" s="12"/>
      <c r="Y16" s="12"/>
      <c r="Z16" s="12">
        <f t="shared" si="1"/>
        <v>42946.306615793117</v>
      </c>
      <c r="AA16" s="12">
        <f t="shared" si="15"/>
        <v>0</v>
      </c>
      <c r="AB16" s="12">
        <f t="shared" si="16"/>
        <v>0</v>
      </c>
      <c r="AC16" s="12">
        <f t="shared" si="17"/>
        <v>42946.30661579311</v>
      </c>
      <c r="AD16" s="12">
        <f t="shared" si="18"/>
        <v>42946.30661579311</v>
      </c>
      <c r="AE16" s="12">
        <f t="shared" si="19"/>
        <v>0</v>
      </c>
      <c r="AF16" s="12">
        <f t="shared" si="20"/>
        <v>0</v>
      </c>
      <c r="AG16" s="12">
        <f t="shared" si="21"/>
        <v>0</v>
      </c>
      <c r="AH16" s="12">
        <f t="shared" si="22"/>
        <v>0</v>
      </c>
      <c r="AI16" s="12">
        <f t="shared" si="23"/>
        <v>0</v>
      </c>
      <c r="AJ16" s="12">
        <f t="shared" si="24"/>
        <v>42946.30661579311</v>
      </c>
      <c r="AK16" s="13">
        <f t="shared" si="25"/>
        <v>0</v>
      </c>
    </row>
    <row r="17" spans="1:37" ht="15.75">
      <c r="A17" s="27" t="s">
        <v>6</v>
      </c>
      <c r="B17" s="3">
        <v>20424706.279999997</v>
      </c>
      <c r="D17" s="3">
        <v>20424706.279999997</v>
      </c>
      <c r="G17" s="3">
        <f t="shared" si="5"/>
        <v>20424706.279999997</v>
      </c>
      <c r="H17" s="1">
        <v>12728829.08</v>
      </c>
      <c r="I17" s="1">
        <v>7695877.2000000002</v>
      </c>
      <c r="K17" s="1">
        <f t="shared" si="10"/>
        <v>20424706.280000001</v>
      </c>
      <c r="N17" s="1">
        <f t="shared" si="11"/>
        <v>0</v>
      </c>
      <c r="Q17" s="1">
        <f t="shared" si="12"/>
        <v>20424706.280000001</v>
      </c>
      <c r="R17" s="1">
        <f t="shared" si="0"/>
        <v>0</v>
      </c>
      <c r="S17" s="1"/>
      <c r="T17" s="1"/>
      <c r="U17" s="10">
        <v>0.053826537301673555</v>
      </c>
      <c r="W17" s="11">
        <f t="shared" si="14"/>
        <v>1099391.2144561459</v>
      </c>
      <c r="X17" s="12"/>
      <c r="Y17" s="12"/>
      <c r="Z17" s="12">
        <f t="shared" si="1"/>
        <v>1099391.2144561459</v>
      </c>
      <c r="AA17" s="12">
        <f t="shared" si="15"/>
        <v>685148.79328124702</v>
      </c>
      <c r="AB17" s="12">
        <f t="shared" si="16"/>
        <v>414242.42117489898</v>
      </c>
      <c r="AC17" s="12">
        <f t="shared" si="17"/>
        <v>0</v>
      </c>
      <c r="AD17" s="12">
        <f t="shared" si="18"/>
        <v>1099391.2144561461</v>
      </c>
      <c r="AE17" s="12">
        <f t="shared" si="19"/>
        <v>0</v>
      </c>
      <c r="AF17" s="12">
        <f t="shared" si="20"/>
        <v>0</v>
      </c>
      <c r="AG17" s="12">
        <f t="shared" si="21"/>
        <v>0</v>
      </c>
      <c r="AH17" s="12">
        <f t="shared" si="22"/>
        <v>0</v>
      </c>
      <c r="AI17" s="12">
        <f t="shared" si="23"/>
        <v>0</v>
      </c>
      <c r="AJ17" s="12">
        <f t="shared" si="24"/>
        <v>1099391.2144561461</v>
      </c>
      <c r="AK17" s="13">
        <f t="shared" si="25"/>
        <v>0</v>
      </c>
    </row>
    <row r="18" spans="1:37" ht="15.75">
      <c r="A18" s="27">
        <v>353</v>
      </c>
      <c r="B18" s="3">
        <v>3559128940.8699999</v>
      </c>
      <c r="D18" s="3">
        <v>3559128940.8699999</v>
      </c>
      <c r="G18" s="3">
        <f t="shared" si="5"/>
        <v>3559128940.8699999</v>
      </c>
      <c r="H18" s="1">
        <v>2945321744.8499999</v>
      </c>
      <c r="I18" s="1">
        <v>231488004.75</v>
      </c>
      <c r="K18" s="1">
        <f t="shared" si="10"/>
        <v>3176809749.5999999</v>
      </c>
      <c r="L18" s="1">
        <v>330462583.75</v>
      </c>
      <c r="M18" s="1">
        <v>51856607.519999996</v>
      </c>
      <c r="N18" s="1">
        <f t="shared" si="11"/>
        <v>382319191.26999998</v>
      </c>
      <c r="Q18" s="1">
        <f t="shared" si="12"/>
        <v>3559128940.8699999</v>
      </c>
      <c r="R18" s="1">
        <f t="shared" si="0"/>
        <v>0</v>
      </c>
      <c r="S18" s="1"/>
      <c r="T18" s="1"/>
      <c r="U18" s="10">
        <v>0.022508331030174786</v>
      </c>
      <c r="W18" s="11">
        <f t="shared" si="14"/>
        <v>80110052.380177334</v>
      </c>
      <c r="X18" s="12"/>
      <c r="Y18" s="12"/>
      <c r="Z18" s="12">
        <f t="shared" si="1"/>
        <v>80110052.380177334</v>
      </c>
      <c r="AA18" s="12">
        <f t="shared" si="15"/>
        <v>66294276.823455788</v>
      </c>
      <c r="AB18" s="12">
        <f t="shared" si="16"/>
        <v>5210408.6404276732</v>
      </c>
      <c r="AC18" s="12">
        <f t="shared" si="17"/>
        <v>0</v>
      </c>
      <c r="AD18" s="12">
        <f t="shared" si="18"/>
        <v>71504685.463883474</v>
      </c>
      <c r="AE18" s="12">
        <f t="shared" si="19"/>
        <v>7438161.2281318586</v>
      </c>
      <c r="AF18" s="12">
        <f t="shared" si="20"/>
        <v>1167205.6881620109</v>
      </c>
      <c r="AG18" s="12">
        <f t="shared" si="21"/>
        <v>8605366.9162938688</v>
      </c>
      <c r="AH18" s="12">
        <f t="shared" si="22"/>
        <v>0</v>
      </c>
      <c r="AI18" s="12">
        <f t="shared" si="23"/>
        <v>0</v>
      </c>
      <c r="AJ18" s="12">
        <f t="shared" si="24"/>
        <v>80110052.380177334</v>
      </c>
      <c r="AK18" s="13">
        <f t="shared" si="25"/>
        <v>0</v>
      </c>
    </row>
    <row r="19" spans="1:37" ht="15.75">
      <c r="A19" s="27" t="s">
        <v>7</v>
      </c>
      <c r="B19" s="3">
        <v>30852548.70999999</v>
      </c>
      <c r="D19" s="3">
        <v>30852548.70999999</v>
      </c>
      <c r="G19" s="3">
        <f t="shared" si="5"/>
        <v>30852548.70999999</v>
      </c>
      <c r="J19" s="1">
        <v>30852548.70999999</v>
      </c>
      <c r="K19" s="1">
        <f t="shared" si="10"/>
        <v>30852548.70999999</v>
      </c>
      <c r="N19" s="1">
        <f t="shared" si="11"/>
        <v>0</v>
      </c>
      <c r="Q19" s="1">
        <f t="shared" si="12"/>
        <v>30852548.70999999</v>
      </c>
      <c r="R19" s="1">
        <f t="shared" si="0"/>
        <v>0</v>
      </c>
      <c r="S19" s="1"/>
      <c r="T19" s="1"/>
      <c r="U19" s="10">
        <v>0.028050610643602415</v>
      </c>
      <c r="W19" s="11">
        <f t="shared" si="14"/>
        <v>865432.83122698765</v>
      </c>
      <c r="X19" s="12"/>
      <c r="Y19" s="12"/>
      <c r="Z19" s="12">
        <f t="shared" si="1"/>
        <v>865432.83122698765</v>
      </c>
      <c r="AA19" s="12">
        <f t="shared" si="15"/>
        <v>0</v>
      </c>
      <c r="AB19" s="12">
        <f t="shared" si="16"/>
        <v>0</v>
      </c>
      <c r="AC19" s="12">
        <f t="shared" si="17"/>
        <v>865432.83122698765</v>
      </c>
      <c r="AD19" s="12">
        <f t="shared" si="18"/>
        <v>865432.83122698765</v>
      </c>
      <c r="AE19" s="12">
        <f t="shared" si="19"/>
        <v>0</v>
      </c>
      <c r="AF19" s="12">
        <f t="shared" si="20"/>
        <v>0</v>
      </c>
      <c r="AG19" s="12">
        <f t="shared" si="21"/>
        <v>0</v>
      </c>
      <c r="AH19" s="12">
        <f t="shared" si="22"/>
        <v>0</v>
      </c>
      <c r="AI19" s="12">
        <f t="shared" si="23"/>
        <v>0</v>
      </c>
      <c r="AJ19" s="12">
        <f t="shared" si="24"/>
        <v>865432.83122698765</v>
      </c>
      <c r="AK19" s="13">
        <f t="shared" si="25"/>
        <v>0</v>
      </c>
    </row>
    <row r="20" spans="1:37" ht="15.75">
      <c r="A20" s="27" t="s">
        <v>8</v>
      </c>
      <c r="B20" s="3">
        <v>339034197.07000005</v>
      </c>
      <c r="D20" s="3">
        <v>339034197.07000005</v>
      </c>
      <c r="G20" s="3">
        <f t="shared" si="5"/>
        <v>339034197.07000005</v>
      </c>
      <c r="H20" s="1">
        <v>222278018.49000001</v>
      </c>
      <c r="I20" s="1">
        <v>65358111.770000003</v>
      </c>
      <c r="K20" s="1">
        <f t="shared" si="10"/>
        <v>287636130.25999999</v>
      </c>
      <c r="L20" s="1">
        <v>51398066.810000002</v>
      </c>
      <c r="N20" s="1">
        <f t="shared" si="11"/>
        <v>51398066.810000002</v>
      </c>
      <c r="Q20" s="1">
        <f t="shared" si="12"/>
        <v>339034197.06999999</v>
      </c>
      <c r="R20" s="1">
        <f t="shared" si="0"/>
        <v>0</v>
      </c>
      <c r="S20" s="1"/>
      <c r="T20" s="1"/>
      <c r="U20" s="10">
        <v>0.037127020324622534</v>
      </c>
      <c r="W20" s="11">
        <f t="shared" si="14"/>
        <v>12587329.525359973</v>
      </c>
      <c r="X20" s="12"/>
      <c r="Y20" s="12"/>
      <c r="Z20" s="12">
        <f t="shared" si="1"/>
        <v>12587329.525359973</v>
      </c>
      <c r="AA20" s="12">
        <f t="shared" si="15"/>
        <v>8252520.5101950541</v>
      </c>
      <c r="AB20" s="12">
        <f t="shared" si="16"/>
        <v>2426551.9440637412</v>
      </c>
      <c r="AC20" s="12">
        <f t="shared" si="17"/>
        <v>0</v>
      </c>
      <c r="AD20" s="12">
        <f t="shared" si="18"/>
        <v>10679072.454258794</v>
      </c>
      <c r="AE20" s="12">
        <f t="shared" si="19"/>
        <v>1908257.0711011768</v>
      </c>
      <c r="AF20" s="12">
        <f t="shared" si="20"/>
        <v>0</v>
      </c>
      <c r="AG20" s="12">
        <f t="shared" si="21"/>
        <v>1908257.0711011768</v>
      </c>
      <c r="AH20" s="12">
        <f t="shared" si="22"/>
        <v>0</v>
      </c>
      <c r="AI20" s="12">
        <f t="shared" si="23"/>
        <v>0</v>
      </c>
      <c r="AJ20" s="12">
        <f t="shared" si="24"/>
        <v>12587329.52535997</v>
      </c>
      <c r="AK20" s="13">
        <f t="shared" si="25"/>
        <v>0</v>
      </c>
    </row>
    <row r="21" spans="1:37" ht="15.75">
      <c r="A21" s="27">
        <v>354</v>
      </c>
      <c r="B21" s="3">
        <v>1931024292.79</v>
      </c>
      <c r="C21" s="3">
        <v>-1371537.48</v>
      </c>
      <c r="D21" s="3">
        <v>1929652755.3099999</v>
      </c>
      <c r="G21" s="3">
        <f t="shared" si="5"/>
        <v>1929652755.3099999</v>
      </c>
      <c r="H21" s="1">
        <v>1433247198.9200001</v>
      </c>
      <c r="I21" s="1">
        <v>496405556.38999999</v>
      </c>
      <c r="K21" s="1">
        <f t="shared" si="10"/>
        <v>1929652755.3099999</v>
      </c>
      <c r="N21" s="1">
        <f t="shared" si="11"/>
        <v>0</v>
      </c>
      <c r="Q21" s="1">
        <f t="shared" si="12"/>
        <v>1929652755.3099999</v>
      </c>
      <c r="R21" s="1">
        <f t="shared" si="0"/>
        <v>0</v>
      </c>
      <c r="S21" s="1"/>
      <c r="T21" s="1"/>
      <c r="U21" s="10">
        <v>0.019558354864311095</v>
      </c>
      <c r="W21" s="11">
        <f t="shared" si="14"/>
        <v>37740833.353248641</v>
      </c>
      <c r="X21" s="12"/>
      <c r="Y21" s="12"/>
      <c r="Z21" s="12">
        <f t="shared" si="1"/>
        <v>37740833.353248641</v>
      </c>
      <c r="AA21" s="12">
        <f t="shared" si="15"/>
        <v>28031957.324757233</v>
      </c>
      <c r="AB21" s="12">
        <f t="shared" si="16"/>
        <v>9708876.0284914114</v>
      </c>
      <c r="AC21" s="12">
        <f t="shared" si="17"/>
        <v>0</v>
      </c>
      <c r="AD21" s="12">
        <f t="shared" si="18"/>
        <v>37740833.353248641</v>
      </c>
      <c r="AE21" s="12">
        <f t="shared" si="19"/>
        <v>0</v>
      </c>
      <c r="AF21" s="12">
        <f t="shared" si="20"/>
        <v>0</v>
      </c>
      <c r="AG21" s="12">
        <f t="shared" si="21"/>
        <v>0</v>
      </c>
      <c r="AH21" s="12">
        <f t="shared" si="22"/>
        <v>0</v>
      </c>
      <c r="AI21" s="12">
        <f t="shared" si="23"/>
        <v>0</v>
      </c>
      <c r="AJ21" s="12">
        <f t="shared" si="24"/>
        <v>37740833.353248641</v>
      </c>
      <c r="AK21" s="13">
        <f t="shared" si="25"/>
        <v>0</v>
      </c>
    </row>
    <row r="22" spans="1:37" ht="15.75">
      <c r="A22" s="27">
        <v>355</v>
      </c>
      <c r="B22" s="3">
        <v>2872599246.0500002</v>
      </c>
      <c r="C22" s="3">
        <v>-1828935.1300000001</v>
      </c>
      <c r="D22" s="3">
        <v>2870770310.9200001</v>
      </c>
      <c r="G22" s="3">
        <f t="shared" si="5"/>
        <v>2870770310.9200001</v>
      </c>
      <c r="H22" s="1">
        <v>2646547290.96</v>
      </c>
      <c r="I22" s="1">
        <v>224223019.96000001</v>
      </c>
      <c r="K22" s="1">
        <f t="shared" si="10"/>
        <v>2870770310.9200001</v>
      </c>
      <c r="N22" s="1">
        <f t="shared" si="11"/>
        <v>0</v>
      </c>
      <c r="Q22" s="1">
        <f t="shared" si="12"/>
        <v>2870770310.9200001</v>
      </c>
      <c r="R22" s="1">
        <f t="shared" si="0"/>
        <v>0</v>
      </c>
      <c r="S22" s="1"/>
      <c r="T22" s="1"/>
      <c r="U22" s="10">
        <v>0.031303205296202744</v>
      </c>
      <c r="W22" s="11">
        <f t="shared" si="14"/>
        <v>89864312.400972545</v>
      </c>
      <c r="X22" s="12"/>
      <c r="Z22" s="12">
        <f t="shared" si="1"/>
        <v>89864312.400972545</v>
      </c>
      <c r="AA22" s="12">
        <f t="shared" si="15"/>
        <v>82845413.175030097</v>
      </c>
      <c r="AB22" s="12">
        <f t="shared" si="16"/>
        <v>7018899.2259424459</v>
      </c>
      <c r="AC22" s="12">
        <f t="shared" si="17"/>
        <v>0</v>
      </c>
      <c r="AD22" s="12">
        <f t="shared" si="18"/>
        <v>89864312.400972545</v>
      </c>
      <c r="AE22" s="12">
        <f t="shared" si="19"/>
        <v>0</v>
      </c>
      <c r="AF22" s="12">
        <f t="shared" si="20"/>
        <v>0</v>
      </c>
      <c r="AG22" s="12">
        <f t="shared" si="21"/>
        <v>0</v>
      </c>
      <c r="AH22" s="12">
        <f t="shared" si="22"/>
        <v>0</v>
      </c>
      <c r="AI22" s="12">
        <f t="shared" si="23"/>
        <v>0</v>
      </c>
      <c r="AJ22" s="12">
        <f t="shared" si="24"/>
        <v>89864312.400972545</v>
      </c>
      <c r="AK22" s="13">
        <f t="shared" si="25"/>
        <v>0</v>
      </c>
    </row>
    <row r="23" spans="1:37" ht="15.75">
      <c r="A23" s="27">
        <v>356</v>
      </c>
      <c r="B23" s="3">
        <v>3045455059.4400001</v>
      </c>
      <c r="C23" s="3">
        <v>-873739.87</v>
      </c>
      <c r="D23" s="3">
        <v>3044581319.5700002</v>
      </c>
      <c r="G23" s="3">
        <f t="shared" si="5"/>
        <v>3044581319.5700002</v>
      </c>
      <c r="H23" s="1">
        <v>2597173723.1599998</v>
      </c>
      <c r="I23" s="1">
        <v>447407596.41000003</v>
      </c>
      <c r="K23" s="1">
        <f t="shared" si="10"/>
        <v>3044581319.5699997</v>
      </c>
      <c r="N23" s="1">
        <f t="shared" si="11"/>
        <v>0</v>
      </c>
      <c r="Q23" s="1">
        <f t="shared" si="12"/>
        <v>3044581319.5699997</v>
      </c>
      <c r="R23" s="1">
        <f t="shared" si="0"/>
        <v>0</v>
      </c>
      <c r="S23" s="1"/>
      <c r="T23" s="1"/>
      <c r="U23" s="10">
        <v>0.027161385325621779</v>
      </c>
      <c r="W23" s="11">
        <f t="shared" si="14"/>
        <v>82695046.376030803</v>
      </c>
      <c r="X23" s="12"/>
      <c r="Z23" s="12">
        <f t="shared" si="1"/>
        <v>82695046.376030803</v>
      </c>
      <c r="AA23" s="12">
        <f t="shared" si="15"/>
        <v>70542836.252328515</v>
      </c>
      <c r="AB23" s="12">
        <f t="shared" si="16"/>
        <v>12152210.123702288</v>
      </c>
      <c r="AC23" s="12">
        <f t="shared" si="17"/>
        <v>0</v>
      </c>
      <c r="AD23" s="12">
        <f t="shared" si="18"/>
        <v>82695046.376030788</v>
      </c>
      <c r="AE23" s="12">
        <f t="shared" si="19"/>
        <v>0</v>
      </c>
      <c r="AF23" s="12">
        <f t="shared" si="20"/>
        <v>0</v>
      </c>
      <c r="AG23" s="12">
        <f t="shared" si="21"/>
        <v>0</v>
      </c>
      <c r="AH23" s="12">
        <f t="shared" si="22"/>
        <v>0</v>
      </c>
      <c r="AI23" s="12">
        <f t="shared" si="23"/>
        <v>0</v>
      </c>
      <c r="AJ23" s="12">
        <f t="shared" si="24"/>
        <v>82695046.376030788</v>
      </c>
      <c r="AK23" s="13">
        <f t="shared" si="25"/>
        <v>0</v>
      </c>
    </row>
    <row r="24" spans="1:37" ht="15.75">
      <c r="A24" s="27">
        <v>357</v>
      </c>
      <c r="B24" s="3">
        <v>60197134.759999998</v>
      </c>
      <c r="D24" s="3">
        <v>60197134.759999998</v>
      </c>
      <c r="G24" s="3">
        <f t="shared" si="5"/>
        <v>60197134.759999998</v>
      </c>
      <c r="H24" s="1">
        <v>60197134.759999998</v>
      </c>
      <c r="K24" s="1">
        <f t="shared" si="10"/>
        <v>60197134.759999998</v>
      </c>
      <c r="N24" s="1">
        <f t="shared" si="11"/>
        <v>0</v>
      </c>
      <c r="Q24" s="1">
        <f t="shared" si="12"/>
        <v>60197134.759999998</v>
      </c>
      <c r="R24" s="1">
        <f t="shared" si="0"/>
        <v>0</v>
      </c>
      <c r="S24" s="1"/>
      <c r="T24" s="1"/>
      <c r="U24" s="10">
        <v>0.017552412779849237</v>
      </c>
      <c r="W24" s="11">
        <f t="shared" si="14"/>
        <v>1056604.9574717307</v>
      </c>
      <c r="Z24" s="12">
        <f t="shared" si="1"/>
        <v>1056604.9574717307</v>
      </c>
      <c r="AA24" s="12">
        <f t="shared" si="15"/>
        <v>1056604.9574717307</v>
      </c>
      <c r="AB24" s="12">
        <f t="shared" si="16"/>
        <v>0</v>
      </c>
      <c r="AC24" s="12">
        <f t="shared" si="17"/>
        <v>0</v>
      </c>
      <c r="AD24" s="12">
        <f t="shared" si="18"/>
        <v>1056604.9574717307</v>
      </c>
      <c r="AE24" s="12">
        <f t="shared" si="19"/>
        <v>0</v>
      </c>
      <c r="AF24" s="12">
        <f t="shared" si="20"/>
        <v>0</v>
      </c>
      <c r="AG24" s="12">
        <f t="shared" si="21"/>
        <v>0</v>
      </c>
      <c r="AH24" s="12">
        <f t="shared" si="22"/>
        <v>0</v>
      </c>
      <c r="AI24" s="12">
        <f t="shared" si="23"/>
        <v>0</v>
      </c>
      <c r="AJ24" s="12">
        <f t="shared" si="24"/>
        <v>1056604.9574717307</v>
      </c>
      <c r="AK24" s="13">
        <f t="shared" si="25"/>
        <v>0</v>
      </c>
    </row>
    <row r="25" spans="1:37" ht="14.25" customHeight="1">
      <c r="A25" s="27">
        <v>358</v>
      </c>
      <c r="B25" s="3">
        <v>84097342.579999998</v>
      </c>
      <c r="D25" s="3">
        <v>84097342.579999998</v>
      </c>
      <c r="G25" s="3">
        <f t="shared" si="5"/>
        <v>84097342.579999998</v>
      </c>
      <c r="H25" s="1">
        <v>84097342.579999998</v>
      </c>
      <c r="K25" s="1">
        <f t="shared" si="10"/>
        <v>84097342.579999998</v>
      </c>
      <c r="N25" s="1">
        <f t="shared" si="11"/>
        <v>0</v>
      </c>
      <c r="Q25" s="1">
        <f t="shared" si="12"/>
        <v>84097342.579999998</v>
      </c>
      <c r="R25" s="1">
        <f t="shared" si="0"/>
        <v>0</v>
      </c>
      <c r="S25" s="1"/>
      <c r="T25" s="1"/>
      <c r="U25" s="10">
        <v>0.022776356980981467</v>
      </c>
      <c r="W25" s="11">
        <f t="shared" si="14"/>
        <v>1915431.0957539729</v>
      </c>
      <c r="X25" s="12"/>
      <c r="Y25" s="12"/>
      <c r="Z25" s="12">
        <f t="shared" si="1"/>
        <v>1915431.0957539729</v>
      </c>
      <c r="AA25" s="12">
        <f t="shared" si="15"/>
        <v>1915431.0957539729</v>
      </c>
      <c r="AB25" s="12">
        <f t="shared" si="16"/>
        <v>0</v>
      </c>
      <c r="AC25" s="12">
        <f t="shared" si="17"/>
        <v>0</v>
      </c>
      <c r="AD25" s="12">
        <f t="shared" si="18"/>
        <v>1915431.0957539729</v>
      </c>
      <c r="AE25" s="12">
        <f t="shared" si="19"/>
        <v>0</v>
      </c>
      <c r="AF25" s="12">
        <f t="shared" si="20"/>
        <v>0</v>
      </c>
      <c r="AG25" s="12">
        <f t="shared" si="21"/>
        <v>0</v>
      </c>
      <c r="AH25" s="12">
        <f t="shared" si="22"/>
        <v>0</v>
      </c>
      <c r="AI25" s="12">
        <f t="shared" si="23"/>
        <v>0</v>
      </c>
      <c r="AJ25" s="12">
        <f t="shared" si="24"/>
        <v>1915431.0957539729</v>
      </c>
      <c r="AK25" s="13">
        <f t="shared" si="25"/>
        <v>0</v>
      </c>
    </row>
    <row r="26" spans="7:37" ht="14.25" customHeight="1">
      <c r="G26" s="3">
        <f t="shared" si="5"/>
        <v>0</v>
      </c>
      <c r="Q26" s="1"/>
      <c r="R26" s="1"/>
      <c r="S26" s="1"/>
      <c r="T26" s="1"/>
      <c r="X26" s="12"/>
      <c r="Y26" s="12"/>
      <c r="Z26" s="12"/>
      <c r="AK26" s="13">
        <f t="shared" si="25"/>
        <v>0</v>
      </c>
    </row>
    <row r="27" spans="7:37" ht="14.25" customHeight="1">
      <c r="G27" s="3">
        <f t="shared" si="5"/>
        <v>0</v>
      </c>
      <c r="Q27" s="1"/>
      <c r="R27" s="1"/>
      <c r="S27" s="1"/>
      <c r="T27" s="1"/>
      <c r="X27" s="12"/>
      <c r="Y27" s="12"/>
      <c r="Z27" s="12"/>
      <c r="AK27" s="13">
        <f t="shared" si="25"/>
        <v>0</v>
      </c>
    </row>
    <row r="28" spans="7:37" ht="14.25" customHeight="1">
      <c r="G28" s="3">
        <f t="shared" si="5"/>
        <v>0</v>
      </c>
      <c r="Q28" s="1"/>
      <c r="R28" s="1"/>
      <c r="S28" s="1"/>
      <c r="T28" s="1"/>
      <c r="X28" s="12"/>
      <c r="Y28" s="12"/>
      <c r="Z28" s="12"/>
      <c r="AA28" s="12"/>
      <c r="AB28" s="12"/>
      <c r="AC28" s="12"/>
      <c r="AD28" s="12"/>
      <c r="AE28" s="12"/>
      <c r="AF28" s="12">
        <f t="shared" si="26" ref="AF28">+AF15+AF16+AF17</f>
        <v>0</v>
      </c>
      <c r="AK28" s="13">
        <f t="shared" si="25"/>
        <v>0</v>
      </c>
    </row>
    <row r="29" spans="7:37" ht="14.25" customHeight="1">
      <c r="G29" s="3">
        <f t="shared" si="5"/>
        <v>0</v>
      </c>
      <c r="Q29" s="1"/>
      <c r="R29" s="1"/>
      <c r="S29" s="1"/>
      <c r="T29" s="1"/>
      <c r="X29" s="12"/>
      <c r="Y29" s="12"/>
      <c r="Z29" s="12"/>
      <c r="AA29" s="12"/>
      <c r="AB29" s="12"/>
      <c r="AC29" s="12"/>
      <c r="AK29" s="13">
        <f t="shared" si="25"/>
        <v>0</v>
      </c>
    </row>
    <row r="30" spans="7:37" ht="14.25" customHeight="1">
      <c r="G30" s="3">
        <f t="shared" si="5"/>
        <v>0</v>
      </c>
      <c r="Q30" s="1"/>
      <c r="R30" s="1"/>
      <c r="S30" s="1"/>
      <c r="T30" s="1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K30" s="13">
        <f t="shared" si="25"/>
        <v>0</v>
      </c>
    </row>
    <row r="31" spans="7:37" ht="14.25" customHeight="1">
      <c r="G31" s="3">
        <f t="shared" si="5"/>
        <v>0</v>
      </c>
      <c r="Q31" s="1"/>
      <c r="R31" s="1"/>
      <c r="S31" s="1"/>
      <c r="T31" s="1"/>
      <c r="X31" s="12"/>
      <c r="Y31" s="12"/>
      <c r="Z31" s="12"/>
      <c r="AA31" s="12"/>
      <c r="AE31" s="12"/>
      <c r="AK31" s="13">
        <f t="shared" si="25"/>
        <v>0</v>
      </c>
    </row>
    <row r="32" spans="4:37" ht="14.25" customHeight="1">
      <c r="D32" s="3">
        <f>SUM(H37:M37)-K37</f>
        <v>2433137893.71</v>
      </c>
      <c r="G32" s="3">
        <f t="shared" si="5"/>
        <v>2433137893.71</v>
      </c>
      <c r="Q32" s="1"/>
      <c r="R32" s="1"/>
      <c r="S32" s="1"/>
      <c r="T32" s="1"/>
      <c r="X32" s="12"/>
      <c r="Y32" s="12"/>
      <c r="Z32" s="12"/>
      <c r="AA32" s="12"/>
      <c r="AK32" s="13">
        <f t="shared" si="25"/>
        <v>0</v>
      </c>
    </row>
    <row r="33" spans="7:37" ht="14.25" customHeight="1">
      <c r="G33" s="3">
        <f t="shared" si="5"/>
        <v>0</v>
      </c>
      <c r="Q33" s="1"/>
      <c r="R33" s="1"/>
      <c r="S33" s="1"/>
      <c r="T33" s="1"/>
      <c r="X33" s="12"/>
      <c r="Y33" s="12"/>
      <c r="Z33" s="12"/>
      <c r="AK33" s="13">
        <f t="shared" si="25"/>
        <v>0</v>
      </c>
    </row>
    <row r="34" spans="1:37" ht="15.75">
      <c r="A34" s="27">
        <v>360</v>
      </c>
      <c r="B34" s="3">
        <v>18508221.199999999</v>
      </c>
      <c r="D34" s="3">
        <v>18508221.199999999</v>
      </c>
      <c r="G34" s="3">
        <f t="shared" si="5"/>
        <v>18508221.199999999</v>
      </c>
      <c r="L34" s="1">
        <v>18508221.20000001</v>
      </c>
      <c r="N34" s="1">
        <f>+L34</f>
        <v>18508221.20000001</v>
      </c>
      <c r="Q34" s="1">
        <f t="shared" si="27" ref="Q34:Q70">+K34+N34+O34+P34</f>
        <v>18508221.20000001</v>
      </c>
      <c r="R34" s="1">
        <f t="shared" si="0"/>
        <v>0</v>
      </c>
      <c r="S34" s="1"/>
      <c r="T34" s="1"/>
      <c r="U34" s="10">
        <v>0.012425925375489727</v>
      </c>
      <c r="W34" s="11">
        <f t="shared" si="28" ref="W34:W44">+D34*U34</f>
        <v>229981.77546425691</v>
      </c>
      <c r="Z34" s="12">
        <f t="shared" si="29" ref="Z34:Z52">+W34+X34</f>
        <v>229981.77546425691</v>
      </c>
      <c r="AA34" s="12">
        <f t="shared" si="30" ref="AA34:AA45">+H34/$D34*$W34</f>
        <v>0</v>
      </c>
      <c r="AB34" s="12">
        <f t="shared" si="31" ref="AB34:AB45">+I34/$D34*$W34</f>
        <v>0</v>
      </c>
      <c r="AC34" s="12">
        <f t="shared" si="32" ref="AC34:AC45">+J34/$D34*$W34</f>
        <v>0</v>
      </c>
      <c r="AD34" s="12">
        <f t="shared" si="33" ref="AD34:AD45">+K34/$D34*$W34</f>
        <v>0</v>
      </c>
      <c r="AE34" s="12">
        <f t="shared" si="34" ref="AE34:AE45">+L34/$D34*$W34</f>
        <v>229981.77546425705</v>
      </c>
      <c r="AF34" s="12">
        <f t="shared" si="35" ref="AF34:AF45">+M34/$D34*$W34</f>
        <v>0</v>
      </c>
      <c r="AG34" s="12">
        <f t="shared" si="36" ref="AG34:AG45">+N34/$D34*$W34</f>
        <v>229981.77546425705</v>
      </c>
      <c r="AH34" s="12">
        <f t="shared" si="37" ref="AH34:AH45">+O34/$D34*$W34</f>
        <v>0</v>
      </c>
      <c r="AI34" s="12">
        <f t="shared" si="38" ref="AI34:AI45">+P34/$D34*$W34</f>
        <v>0</v>
      </c>
      <c r="AJ34" s="12">
        <f t="shared" si="39" ref="AJ34:AJ45">+Q34/$D34*$W34</f>
        <v>229981.77546425705</v>
      </c>
      <c r="AK34" s="13">
        <f t="shared" si="25"/>
        <v>0</v>
      </c>
    </row>
    <row r="35" spans="1:37" ht="15.75">
      <c r="A35" s="27" t="s">
        <v>9</v>
      </c>
      <c r="B35" s="3">
        <v>5858701.5199999996</v>
      </c>
      <c r="D35" s="3">
        <v>5858701.5199999996</v>
      </c>
      <c r="G35" s="3">
        <f t="shared" si="5"/>
        <v>5858701.5199999996</v>
      </c>
      <c r="H35" s="1">
        <v>1320894.7100000002</v>
      </c>
      <c r="K35" s="1">
        <f t="shared" si="40" ref="K35:K70">+H35+I35+J35</f>
        <v>1320894.7100000002</v>
      </c>
      <c r="L35" s="1">
        <v>4537806.8099999996</v>
      </c>
      <c r="N35" s="1">
        <f t="shared" si="41" ref="N35:N70">+L35+M35</f>
        <v>4537806.8099999996</v>
      </c>
      <c r="Q35" s="1">
        <f t="shared" si="27"/>
        <v>5858701.5199999996</v>
      </c>
      <c r="R35" s="1">
        <f t="shared" si="0"/>
        <v>0</v>
      </c>
      <c r="S35" s="1"/>
      <c r="T35" s="1"/>
      <c r="U35" s="10">
        <v>0.01383356833169031</v>
      </c>
      <c r="W35" s="11">
        <f t="shared" si="28"/>
        <v>81046.747811897876</v>
      </c>
      <c r="X35" s="12"/>
      <c r="Y35" s="12"/>
      <c r="Z35" s="12">
        <f t="shared" si="29"/>
        <v>81046.747811897876</v>
      </c>
      <c r="AA35" s="12">
        <f t="shared" si="30"/>
        <v>18272.687229753261</v>
      </c>
      <c r="AB35" s="12">
        <f t="shared" si="31"/>
        <v>0</v>
      </c>
      <c r="AC35" s="12">
        <f t="shared" si="32"/>
        <v>0</v>
      </c>
      <c r="AD35" s="12">
        <f t="shared" si="33"/>
        <v>18272.687229753261</v>
      </c>
      <c r="AE35" s="12">
        <f t="shared" si="34"/>
        <v>62774.060582144622</v>
      </c>
      <c r="AF35" s="12">
        <f t="shared" si="35"/>
        <v>0</v>
      </c>
      <c r="AG35" s="12">
        <f t="shared" si="36"/>
        <v>62774.060582144622</v>
      </c>
      <c r="AH35" s="12">
        <f t="shared" si="37"/>
        <v>0</v>
      </c>
      <c r="AI35" s="12">
        <f t="shared" si="38"/>
        <v>0</v>
      </c>
      <c r="AJ35" s="12">
        <f t="shared" si="39"/>
        <v>81046.747811897876</v>
      </c>
      <c r="AK35" s="13">
        <f t="shared" si="25"/>
        <v>0</v>
      </c>
    </row>
    <row r="36" spans="1:37" ht="15.75">
      <c r="A36" s="27">
        <v>361</v>
      </c>
      <c r="B36" s="3">
        <v>227950837.84999999</v>
      </c>
      <c r="D36" s="3">
        <v>227950837.84999999</v>
      </c>
      <c r="G36" s="3">
        <f t="shared" si="5"/>
        <v>227950837.84999999</v>
      </c>
      <c r="H36" s="1">
        <v>53159678.730000012</v>
      </c>
      <c r="I36" s="1">
        <v>16042221.249999998</v>
      </c>
      <c r="K36" s="1">
        <f t="shared" si="40"/>
        <v>69201899.980000004</v>
      </c>
      <c r="L36" s="1">
        <v>137062053.49000001</v>
      </c>
      <c r="M36" s="1">
        <v>21686884.379999995</v>
      </c>
      <c r="N36" s="1">
        <f t="shared" si="41"/>
        <v>158748937.87000001</v>
      </c>
      <c r="Q36" s="1">
        <f t="shared" si="27"/>
        <v>227950837.85000002</v>
      </c>
      <c r="R36" s="1">
        <f t="shared" si="0"/>
        <v>0</v>
      </c>
      <c r="S36" s="1"/>
      <c r="T36" s="1"/>
      <c r="U36" s="10">
        <v>0.020844453715744247</v>
      </c>
      <c r="W36" s="11">
        <f t="shared" si="28"/>
        <v>4751510.6890294468</v>
      </c>
      <c r="X36" s="12"/>
      <c r="Y36" s="12"/>
      <c r="Z36" s="12">
        <f t="shared" si="29"/>
        <v>4751510.6890294468</v>
      </c>
      <c r="AA36" s="12">
        <f t="shared" si="30"/>
        <v>1108084.4628313193</v>
      </c>
      <c r="AB36" s="12">
        <f t="shared" si="31"/>
        <v>334391.33834335377</v>
      </c>
      <c r="AC36" s="12">
        <f t="shared" si="32"/>
        <v>0</v>
      </c>
      <c r="AD36" s="12">
        <f t="shared" si="33"/>
        <v>1442475.8011746728</v>
      </c>
      <c r="AE36" s="12">
        <f t="shared" si="34"/>
        <v>2856983.6301571676</v>
      </c>
      <c r="AF36" s="12">
        <f t="shared" si="35"/>
        <v>452051.25769760675</v>
      </c>
      <c r="AG36" s="12">
        <f t="shared" si="36"/>
        <v>3309034.8878547745</v>
      </c>
      <c r="AH36" s="12">
        <f t="shared" si="37"/>
        <v>0</v>
      </c>
      <c r="AI36" s="12">
        <f t="shared" si="38"/>
        <v>0</v>
      </c>
      <c r="AJ36" s="12">
        <f t="shared" si="39"/>
        <v>4751510.6890294477</v>
      </c>
      <c r="AK36" s="13">
        <f t="shared" si="25"/>
        <v>0</v>
      </c>
    </row>
    <row r="37" spans="1:37" ht="15.75">
      <c r="A37" s="27" t="s">
        <v>10</v>
      </c>
      <c r="B37" s="3">
        <v>2436284040.71</v>
      </c>
      <c r="C37" s="3">
        <v>-3146147</v>
      </c>
      <c r="D37" s="3">
        <f>+B37+C37</f>
        <v>2433137893.71</v>
      </c>
      <c r="G37" s="3">
        <f t="shared" si="5"/>
        <v>2433137893.71</v>
      </c>
      <c r="H37" s="1">
        <v>571075226.2299999</v>
      </c>
      <c r="I37" s="1">
        <v>39195173.549999997</v>
      </c>
      <c r="K37" s="1">
        <f t="shared" si="40"/>
        <v>610270399.77999985</v>
      </c>
      <c r="L37" s="1">
        <f>1760200029.68-3146147</f>
        <v>1757053882.6800001</v>
      </c>
      <c r="M37" s="1">
        <v>65813611.249999985</v>
      </c>
      <c r="N37" s="1">
        <f t="shared" si="41"/>
        <v>1822867493.9300001</v>
      </c>
      <c r="Q37" s="1">
        <f t="shared" si="27"/>
        <v>2433137893.71</v>
      </c>
      <c r="R37" s="1">
        <f t="shared" si="0"/>
        <v>0</v>
      </c>
      <c r="S37" s="1"/>
      <c r="T37" s="1"/>
      <c r="U37" s="10">
        <v>0.020878062565686337</v>
      </c>
      <c r="W37" s="11">
        <f t="shared" si="28"/>
        <v>50799205.175819658</v>
      </c>
      <c r="X37" s="12"/>
      <c r="Y37" s="12"/>
      <c r="Z37" s="12">
        <f t="shared" si="29"/>
        <v>50799205.175819658</v>
      </c>
      <c r="AA37" s="12">
        <f t="shared" si="30"/>
        <v>11922944.302943418</v>
      </c>
      <c r="AB37" s="12">
        <f t="shared" si="31"/>
        <v>818319.28564983432</v>
      </c>
      <c r="AC37" s="12">
        <f t="shared" si="32"/>
        <v>0</v>
      </c>
      <c r="AD37" s="12">
        <f t="shared" si="33"/>
        <v>12741263.588593252</v>
      </c>
      <c r="AE37" s="12">
        <f t="shared" si="34"/>
        <v>36683880.893875144</v>
      </c>
      <c r="AF37" s="12">
        <f t="shared" si="35"/>
        <v>1374060.6933512578</v>
      </c>
      <c r="AG37" s="12">
        <f t="shared" si="36"/>
        <v>38057941.587226406</v>
      </c>
      <c r="AH37" s="12">
        <f t="shared" si="37"/>
        <v>0</v>
      </c>
      <c r="AI37" s="12">
        <f t="shared" si="38"/>
        <v>0</v>
      </c>
      <c r="AJ37" s="12">
        <f t="shared" si="39"/>
        <v>50799205.175819658</v>
      </c>
      <c r="AK37" s="13">
        <f t="shared" si="25"/>
        <v>0</v>
      </c>
    </row>
    <row r="38" spans="1:37" ht="15.75">
      <c r="A38" s="27">
        <v>364</v>
      </c>
      <c r="B38" s="3">
        <v>2679007190.2999997</v>
      </c>
      <c r="D38" s="3">
        <v>2679007190.2999997</v>
      </c>
      <c r="G38" s="3">
        <f t="shared" si="5"/>
        <v>2679007190.2999997</v>
      </c>
      <c r="K38" s="1">
        <f t="shared" si="40"/>
        <v>0</v>
      </c>
      <c r="L38" s="1">
        <v>2678358260.8099999</v>
      </c>
      <c r="M38" s="1">
        <v>648929.48999999999</v>
      </c>
      <c r="N38" s="1">
        <f t="shared" si="41"/>
        <v>2679007190.2999997</v>
      </c>
      <c r="Q38" s="1">
        <f t="shared" si="27"/>
        <v>2679007190.2999997</v>
      </c>
      <c r="R38" s="1">
        <f t="shared" si="0"/>
        <v>0</v>
      </c>
      <c r="S38" s="1"/>
      <c r="T38" s="1"/>
      <c r="U38" s="10">
        <v>0.035493252415808425</v>
      </c>
      <c r="W38" s="11">
        <f t="shared" si="28"/>
        <v>95086678.429083601</v>
      </c>
      <c r="X38" s="12"/>
      <c r="Y38" s="12"/>
      <c r="Z38" s="12">
        <f t="shared" si="29"/>
        <v>95086678.429083601</v>
      </c>
      <c r="AA38" s="12">
        <f t="shared" si="30"/>
        <v>0</v>
      </c>
      <c r="AB38" s="12">
        <f t="shared" si="31"/>
        <v>0</v>
      </c>
      <c r="AC38" s="12">
        <f t="shared" si="32"/>
        <v>0</v>
      </c>
      <c r="AD38" s="12">
        <f t="shared" si="33"/>
        <v>0</v>
      </c>
      <c r="AE38" s="12">
        <f t="shared" si="34"/>
        <v>95063645.810894981</v>
      </c>
      <c r="AF38" s="12">
        <f t="shared" si="35"/>
        <v>23032.618188631826</v>
      </c>
      <c r="AG38" s="12">
        <f t="shared" si="36"/>
        <v>95086678.429083601</v>
      </c>
      <c r="AH38" s="12">
        <f t="shared" si="37"/>
        <v>0</v>
      </c>
      <c r="AI38" s="12">
        <f t="shared" si="38"/>
        <v>0</v>
      </c>
      <c r="AJ38" s="12">
        <f t="shared" si="39"/>
        <v>95086678.429083601</v>
      </c>
      <c r="AK38" s="13">
        <f t="shared" si="25"/>
        <v>0</v>
      </c>
    </row>
    <row r="39" spans="1:37" ht="15.75">
      <c r="A39" s="27">
        <v>365</v>
      </c>
      <c r="B39" s="3">
        <v>1676515251.76</v>
      </c>
      <c r="D39" s="3">
        <v>1676515251.76</v>
      </c>
      <c r="G39" s="3">
        <f t="shared" si="5"/>
        <v>1676515251.76</v>
      </c>
      <c r="K39" s="1">
        <f t="shared" si="40"/>
        <v>0</v>
      </c>
      <c r="L39" s="1">
        <v>1675410858.1199999</v>
      </c>
      <c r="M39" s="1">
        <v>1104393.6399999999</v>
      </c>
      <c r="N39" s="1">
        <f t="shared" si="41"/>
        <v>1676515251.76</v>
      </c>
      <c r="Q39" s="1">
        <f t="shared" si="27"/>
        <v>1676515251.76</v>
      </c>
      <c r="R39" s="1">
        <f t="shared" si="0"/>
        <v>0</v>
      </c>
      <c r="S39" s="1"/>
      <c r="T39" s="1"/>
      <c r="U39" s="10">
        <v>0.031845547958609589</v>
      </c>
      <c r="W39" s="11">
        <f t="shared" si="28"/>
        <v>53389546.853263512</v>
      </c>
      <c r="Z39" s="12">
        <f t="shared" si="29"/>
        <v>53389546.853263512</v>
      </c>
      <c r="AA39" s="12">
        <f t="shared" si="30"/>
        <v>0</v>
      </c>
      <c r="AB39" s="12">
        <f t="shared" si="31"/>
        <v>0</v>
      </c>
      <c r="AC39" s="12">
        <f t="shared" si="32"/>
        <v>0</v>
      </c>
      <c r="AD39" s="12">
        <f t="shared" si="33"/>
        <v>0</v>
      </c>
      <c r="AE39" s="12">
        <f t="shared" si="34"/>
        <v>53354376.832635708</v>
      </c>
      <c r="AF39" s="12">
        <f t="shared" si="35"/>
        <v>35170.020627803409</v>
      </c>
      <c r="AG39" s="12">
        <f t="shared" si="36"/>
        <v>53389546.853263512</v>
      </c>
      <c r="AH39" s="12">
        <f t="shared" si="37"/>
        <v>0</v>
      </c>
      <c r="AI39" s="12">
        <f t="shared" si="38"/>
        <v>0</v>
      </c>
      <c r="AJ39" s="12">
        <f t="shared" si="39"/>
        <v>53389546.853263512</v>
      </c>
      <c r="AK39" s="13">
        <f t="shared" si="25"/>
        <v>0</v>
      </c>
    </row>
    <row r="40" spans="1:37" ht="15.75">
      <c r="A40" s="27">
        <v>366</v>
      </c>
      <c r="B40" s="3">
        <v>1082662295.79</v>
      </c>
      <c r="D40" s="3">
        <v>1082662295.79</v>
      </c>
      <c r="G40" s="3">
        <f t="shared" si="5"/>
        <v>1082662295.79</v>
      </c>
      <c r="K40" s="1">
        <f t="shared" si="40"/>
        <v>0</v>
      </c>
      <c r="L40" s="1">
        <v>1082118478.1099999</v>
      </c>
      <c r="M40" s="1">
        <v>543817.68000000005</v>
      </c>
      <c r="N40" s="1">
        <f t="shared" si="41"/>
        <v>1082662295.79</v>
      </c>
      <c r="Q40" s="1">
        <f t="shared" si="27"/>
        <v>1082662295.79</v>
      </c>
      <c r="R40" s="1">
        <f t="shared" si="0"/>
        <v>0</v>
      </c>
      <c r="S40" s="1"/>
      <c r="T40" s="1"/>
      <c r="U40" s="10">
        <v>0.021789530688838904</v>
      </c>
      <c r="W40" s="11">
        <f t="shared" si="28"/>
        <v>23590703.319764987</v>
      </c>
      <c r="Z40" s="12">
        <f t="shared" si="29"/>
        <v>23590703.319764987</v>
      </c>
      <c r="AA40" s="12">
        <f t="shared" si="30"/>
        <v>0</v>
      </c>
      <c r="AB40" s="12">
        <f t="shared" si="31"/>
        <v>0</v>
      </c>
      <c r="AC40" s="12">
        <f t="shared" si="32"/>
        <v>0</v>
      </c>
      <c r="AD40" s="12">
        <f t="shared" si="33"/>
        <v>0</v>
      </c>
      <c r="AE40" s="12">
        <f t="shared" si="34"/>
        <v>23578853.787737492</v>
      </c>
      <c r="AF40" s="12">
        <f t="shared" si="35"/>
        <v>11849.532027493176</v>
      </c>
      <c r="AG40" s="12">
        <f t="shared" si="36"/>
        <v>23590703.319764987</v>
      </c>
      <c r="AH40" s="12">
        <f t="shared" si="37"/>
        <v>0</v>
      </c>
      <c r="AI40" s="12">
        <f t="shared" si="38"/>
        <v>0</v>
      </c>
      <c r="AJ40" s="12">
        <f t="shared" si="39"/>
        <v>23590703.319764987</v>
      </c>
      <c r="AK40" s="13">
        <f t="shared" si="25"/>
        <v>0</v>
      </c>
    </row>
    <row r="41" spans="1:37" ht="15.75">
      <c r="A41" s="27">
        <v>367</v>
      </c>
      <c r="B41" s="3">
        <v>2555767640.0299997</v>
      </c>
      <c r="D41" s="3">
        <v>2555767640.0299997</v>
      </c>
      <c r="G41" s="3">
        <f t="shared" si="5"/>
        <v>2555767640.0299997</v>
      </c>
      <c r="K41" s="1">
        <f t="shared" si="40"/>
        <v>0</v>
      </c>
      <c r="L41" s="1">
        <v>2553927527.9699998</v>
      </c>
      <c r="M41" s="1">
        <v>1840112.0600000001</v>
      </c>
      <c r="N41" s="1">
        <f t="shared" si="41"/>
        <v>2555767640.0299997</v>
      </c>
      <c r="Q41" s="1">
        <f t="shared" si="27"/>
        <v>2555767640.0299997</v>
      </c>
      <c r="R41" s="1">
        <f t="shared" si="0"/>
        <v>0</v>
      </c>
      <c r="S41" s="1"/>
      <c r="T41" s="1"/>
      <c r="U41" s="10">
        <v>0.022215209110265786</v>
      </c>
      <c r="W41" s="11">
        <f t="shared" si="28"/>
        <v>56776912.560516939</v>
      </c>
      <c r="Z41" s="12">
        <f t="shared" si="29"/>
        <v>56776912.560516939</v>
      </c>
      <c r="AA41" s="12">
        <f t="shared" si="30"/>
        <v>0</v>
      </c>
      <c r="AB41" s="12">
        <f t="shared" si="31"/>
        <v>0</v>
      </c>
      <c r="AC41" s="12">
        <f t="shared" si="32"/>
        <v>0</v>
      </c>
      <c r="AD41" s="12">
        <f t="shared" si="33"/>
        <v>0</v>
      </c>
      <c r="AE41" s="12">
        <f t="shared" si="34"/>
        <v>56736034.086317718</v>
      </c>
      <c r="AF41" s="12">
        <f t="shared" si="35"/>
        <v>40878.474199221942</v>
      </c>
      <c r="AG41" s="12">
        <f t="shared" si="36"/>
        <v>56776912.560516939</v>
      </c>
      <c r="AH41" s="12">
        <f t="shared" si="37"/>
        <v>0</v>
      </c>
      <c r="AI41" s="12">
        <f t="shared" si="38"/>
        <v>0</v>
      </c>
      <c r="AJ41" s="12">
        <f t="shared" si="39"/>
        <v>56776912.560516939</v>
      </c>
      <c r="AK41" s="13">
        <f t="shared" si="25"/>
        <v>0</v>
      </c>
    </row>
    <row r="42" spans="1:37" ht="15.75">
      <c r="A42" s="27">
        <v>368</v>
      </c>
      <c r="B42" s="3">
        <v>2493082806.52</v>
      </c>
      <c r="D42" s="3">
        <v>2493082806.52</v>
      </c>
      <c r="G42" s="3">
        <f t="shared" si="5"/>
        <v>2493082806.52</v>
      </c>
      <c r="K42" s="1">
        <f t="shared" si="40"/>
        <v>0</v>
      </c>
      <c r="L42" s="1">
        <v>2493077762.4000001</v>
      </c>
      <c r="M42" s="1">
        <v>5044.1199999999999</v>
      </c>
      <c r="N42" s="1">
        <f t="shared" si="41"/>
        <v>2493082806.52</v>
      </c>
      <c r="Q42" s="1">
        <f t="shared" si="27"/>
        <v>2493082806.52</v>
      </c>
      <c r="R42" s="1">
        <f t="shared" si="0"/>
        <v>0</v>
      </c>
      <c r="S42" s="1"/>
      <c r="T42" s="1"/>
      <c r="U42" s="10">
        <v>0.022744433006524685</v>
      </c>
      <c r="W42" s="11">
        <f t="shared" si="28"/>
        <v>56703754.872612685</v>
      </c>
      <c r="Z42" s="12">
        <f t="shared" si="29"/>
        <v>56703754.872612685</v>
      </c>
      <c r="AA42" s="12">
        <f t="shared" si="30"/>
        <v>0</v>
      </c>
      <c r="AB42" s="12">
        <f t="shared" si="31"/>
        <v>0</v>
      </c>
      <c r="AC42" s="12">
        <f t="shared" si="32"/>
        <v>0</v>
      </c>
      <c r="AD42" s="12">
        <f t="shared" si="33"/>
        <v>0</v>
      </c>
      <c r="AE42" s="12">
        <f t="shared" si="34"/>
        <v>56703640.146963269</v>
      </c>
      <c r="AF42" s="12">
        <f t="shared" si="35"/>
        <v>114.72564941687129</v>
      </c>
      <c r="AG42" s="12">
        <f t="shared" si="36"/>
        <v>56703754.872612685</v>
      </c>
      <c r="AH42" s="12">
        <f t="shared" si="37"/>
        <v>0</v>
      </c>
      <c r="AI42" s="12">
        <f t="shared" si="38"/>
        <v>0</v>
      </c>
      <c r="AJ42" s="12">
        <f t="shared" si="39"/>
        <v>56703754.872612685</v>
      </c>
      <c r="AK42" s="13">
        <f t="shared" si="25"/>
        <v>0</v>
      </c>
    </row>
    <row r="43" spans="1:37" ht="15.75">
      <c r="A43" s="27">
        <v>369</v>
      </c>
      <c r="B43" s="3">
        <v>1652238990.3599999</v>
      </c>
      <c r="D43" s="3">
        <v>1652238990.3599999</v>
      </c>
      <c r="G43" s="3">
        <f t="shared" si="5"/>
        <v>1652238990.3599999</v>
      </c>
      <c r="K43" s="1">
        <f t="shared" si="40"/>
        <v>0</v>
      </c>
      <c r="L43" s="1">
        <v>1652238990.3599999</v>
      </c>
      <c r="N43" s="1">
        <f t="shared" si="41"/>
        <v>1652238990.3599999</v>
      </c>
      <c r="Q43" s="1">
        <f t="shared" si="27"/>
        <v>1652238990.3599999</v>
      </c>
      <c r="R43" s="1">
        <f t="shared" si="0"/>
        <v>0</v>
      </c>
      <c r="S43" s="1"/>
      <c r="T43" s="1"/>
      <c r="U43" s="10">
        <v>0.030411290722688125</v>
      </c>
      <c r="W43" s="11">
        <f t="shared" si="28"/>
        <v>50246720.279198661</v>
      </c>
      <c r="Z43" s="12">
        <f t="shared" si="29"/>
        <v>50246720.279198661</v>
      </c>
      <c r="AA43" s="12">
        <f t="shared" si="30"/>
        <v>0</v>
      </c>
      <c r="AB43" s="12">
        <f t="shared" si="31"/>
        <v>0</v>
      </c>
      <c r="AC43" s="12">
        <f t="shared" si="32"/>
        <v>0</v>
      </c>
      <c r="AD43" s="12">
        <f t="shared" si="33"/>
        <v>0</v>
      </c>
      <c r="AE43" s="12">
        <f t="shared" si="34"/>
        <v>50246720.279198661</v>
      </c>
      <c r="AF43" s="12">
        <f t="shared" si="35"/>
        <v>0</v>
      </c>
      <c r="AG43" s="12">
        <f t="shared" si="36"/>
        <v>50246720.279198661</v>
      </c>
      <c r="AH43" s="12">
        <f t="shared" si="37"/>
        <v>0</v>
      </c>
      <c r="AI43" s="12">
        <f t="shared" si="38"/>
        <v>0</v>
      </c>
      <c r="AJ43" s="12">
        <f t="shared" si="39"/>
        <v>50246720.279198661</v>
      </c>
      <c r="AK43" s="13">
        <f t="shared" si="25"/>
        <v>0</v>
      </c>
    </row>
    <row r="44" spans="1:37" ht="15.75">
      <c r="A44" s="27">
        <v>370</v>
      </c>
      <c r="B44" s="3">
        <v>199955073.44</v>
      </c>
      <c r="D44" s="3">
        <v>199955073.44</v>
      </c>
      <c r="G44" s="3">
        <f t="shared" si="5"/>
        <v>199955073.44</v>
      </c>
      <c r="K44" s="1">
        <f t="shared" si="40"/>
        <v>0</v>
      </c>
      <c r="N44" s="1">
        <f t="shared" si="41"/>
        <v>0</v>
      </c>
      <c r="O44" s="1">
        <v>199955073.44</v>
      </c>
      <c r="Q44" s="1">
        <f t="shared" si="27"/>
        <v>199955073.44</v>
      </c>
      <c r="R44" s="1">
        <f t="shared" si="0"/>
        <v>0</v>
      </c>
      <c r="S44" s="1"/>
      <c r="T44" s="1"/>
      <c r="U44" s="10">
        <v>0.052341806193099694</v>
      </c>
      <c r="W44" s="11">
        <f t="shared" si="28"/>
        <v>10466009.701323496</v>
      </c>
      <c r="Z44" s="12">
        <f t="shared" si="29"/>
        <v>10466009.701323496</v>
      </c>
      <c r="AA44" s="12">
        <f t="shared" si="30"/>
        <v>0</v>
      </c>
      <c r="AB44" s="12">
        <f t="shared" si="31"/>
        <v>0</v>
      </c>
      <c r="AC44" s="12">
        <f t="shared" si="32"/>
        <v>0</v>
      </c>
      <c r="AD44" s="12">
        <f t="shared" si="33"/>
        <v>0</v>
      </c>
      <c r="AE44" s="12">
        <f t="shared" si="34"/>
        <v>0</v>
      </c>
      <c r="AF44" s="12">
        <f t="shared" si="35"/>
        <v>0</v>
      </c>
      <c r="AG44" s="12">
        <f t="shared" si="36"/>
        <v>0</v>
      </c>
      <c r="AH44" s="12">
        <f t="shared" si="37"/>
        <v>10466009.701323496</v>
      </c>
      <c r="AI44" s="12">
        <f t="shared" si="38"/>
        <v>0</v>
      </c>
      <c r="AJ44" s="12">
        <f t="shared" si="39"/>
        <v>10466009.701323496</v>
      </c>
      <c r="AK44" s="13">
        <f t="shared" si="25"/>
        <v>0</v>
      </c>
    </row>
    <row r="45" spans="1:37" ht="15.75">
      <c r="A45" s="27" t="s">
        <v>11</v>
      </c>
      <c r="B45" s="3">
        <v>82679.479999999996</v>
      </c>
      <c r="D45" s="3">
        <v>82679.479999999996</v>
      </c>
      <c r="G45" s="3">
        <f t="shared" si="5"/>
        <v>82679.479999999996</v>
      </c>
      <c r="K45" s="1">
        <f t="shared" si="40"/>
        <v>0</v>
      </c>
      <c r="N45" s="1">
        <f t="shared" si="41"/>
        <v>0</v>
      </c>
      <c r="O45" s="1">
        <v>82679.479999999996</v>
      </c>
      <c r="Q45" s="1">
        <f t="shared" si="27"/>
        <v>82679.479999999996</v>
      </c>
      <c r="R45" s="1">
        <f t="shared" si="0"/>
        <v>0</v>
      </c>
      <c r="S45" s="1"/>
      <c r="T45" s="1"/>
      <c r="Z45" s="12">
        <f t="shared" si="29"/>
        <v>0</v>
      </c>
      <c r="AA45" s="12">
        <f t="shared" si="30"/>
        <v>0</v>
      </c>
      <c r="AB45" s="12">
        <f t="shared" si="31"/>
        <v>0</v>
      </c>
      <c r="AC45" s="12">
        <f t="shared" si="32"/>
        <v>0</v>
      </c>
      <c r="AD45" s="12">
        <f t="shared" si="33"/>
        <v>0</v>
      </c>
      <c r="AE45" s="12">
        <f t="shared" si="34"/>
        <v>0</v>
      </c>
      <c r="AF45" s="12">
        <f t="shared" si="35"/>
        <v>0</v>
      </c>
      <c r="AG45" s="12">
        <f t="shared" si="36"/>
        <v>0</v>
      </c>
      <c r="AH45" s="12">
        <f t="shared" si="37"/>
        <v>0</v>
      </c>
      <c r="AI45" s="12">
        <f t="shared" si="38"/>
        <v>0</v>
      </c>
      <c r="AJ45" s="12">
        <f t="shared" si="39"/>
        <v>0</v>
      </c>
      <c r="AK45" s="13">
        <f t="shared" si="25"/>
        <v>0</v>
      </c>
    </row>
    <row r="46" spans="1:37" ht="15.75">
      <c r="A46" s="27" t="s">
        <v>12</v>
      </c>
      <c r="B46" s="3">
        <v>211112886.00999999</v>
      </c>
      <c r="D46" s="3">
        <v>211112886.00999999</v>
      </c>
      <c r="G46" s="3">
        <f t="shared" si="5"/>
        <v>211112886.00999999</v>
      </c>
      <c r="K46" s="1">
        <f t="shared" si="40"/>
        <v>0</v>
      </c>
      <c r="N46" s="1">
        <f t="shared" si="41"/>
        <v>0</v>
      </c>
      <c r="O46" s="1">
        <v>211112886.00999999</v>
      </c>
      <c r="Q46" s="1">
        <f t="shared" si="27"/>
        <v>211112886.00999999</v>
      </c>
      <c r="R46" s="1">
        <f t="shared" si="0"/>
        <v>0</v>
      </c>
      <c r="S46" s="1"/>
      <c r="T46" s="1"/>
      <c r="Z46" s="12">
        <f t="shared" si="29"/>
        <v>0</v>
      </c>
      <c r="AK46" s="13">
        <f t="shared" si="42" ref="AK46:AK69">+AJ46-Z46</f>
        <v>0</v>
      </c>
    </row>
    <row r="47" spans="1:37" ht="15.75">
      <c r="A47" s="27" t="s">
        <v>13</v>
      </c>
      <c r="B47" s="3">
        <v>162996844.13999999</v>
      </c>
      <c r="D47" s="3">
        <v>162996844.13999999</v>
      </c>
      <c r="G47" s="3">
        <f t="shared" si="5"/>
        <v>162996844.13999999</v>
      </c>
      <c r="K47" s="1">
        <f t="shared" si="40"/>
        <v>0</v>
      </c>
      <c r="N47" s="1">
        <f t="shared" si="41"/>
        <v>0</v>
      </c>
      <c r="O47" s="1">
        <v>162996844.13999999</v>
      </c>
      <c r="Q47" s="1">
        <f t="shared" si="27"/>
        <v>162996844.13999999</v>
      </c>
      <c r="R47" s="1">
        <f t="shared" si="0"/>
        <v>0</v>
      </c>
      <c r="S47" s="1"/>
      <c r="T47" s="1"/>
      <c r="U47" s="10">
        <v>0.041284757250437773</v>
      </c>
      <c r="W47" s="11">
        <f>+D47*U47</f>
        <v>6729285.1429073401</v>
      </c>
      <c r="Y47" s="12"/>
      <c r="Z47" s="12">
        <f t="shared" si="29"/>
        <v>6729285.1429073401</v>
      </c>
      <c r="AA47" s="12">
        <f t="shared" si="43" ref="AA47:AJ49">+H47/$D47*$W47</f>
        <v>0</v>
      </c>
      <c r="AB47" s="12">
        <f t="shared" si="43"/>
        <v>0</v>
      </c>
      <c r="AC47" s="12">
        <f t="shared" si="43"/>
        <v>0</v>
      </c>
      <c r="AD47" s="12">
        <f t="shared" si="43"/>
        <v>0</v>
      </c>
      <c r="AE47" s="12">
        <f t="shared" si="43"/>
        <v>0</v>
      </c>
      <c r="AF47" s="12">
        <f t="shared" si="43"/>
        <v>0</v>
      </c>
      <c r="AG47" s="12">
        <f t="shared" si="43"/>
        <v>0</v>
      </c>
      <c r="AH47" s="12">
        <f t="shared" si="43"/>
        <v>6729285.1429073401</v>
      </c>
      <c r="AI47" s="12">
        <f t="shared" si="43"/>
        <v>0</v>
      </c>
      <c r="AJ47" s="12">
        <f t="shared" si="43"/>
        <v>6729285.1429073401</v>
      </c>
      <c r="AK47" s="13">
        <f t="shared" si="42"/>
        <v>0</v>
      </c>
    </row>
    <row r="48" spans="1:37" ht="15.75">
      <c r="A48" s="27">
        <v>371</v>
      </c>
      <c r="B48" s="3">
        <v>54631096.93</v>
      </c>
      <c r="D48" s="3">
        <v>54631096.93</v>
      </c>
      <c r="G48" s="3">
        <f t="shared" si="5"/>
        <v>54631096.93</v>
      </c>
      <c r="K48" s="1">
        <f t="shared" si="40"/>
        <v>0</v>
      </c>
      <c r="L48" s="1">
        <v>54631096.93</v>
      </c>
      <c r="N48" s="1">
        <f t="shared" si="41"/>
        <v>54631096.93</v>
      </c>
      <c r="Q48" s="1">
        <f t="shared" si="27"/>
        <v>54631096.93</v>
      </c>
      <c r="R48" s="1">
        <f t="shared" si="0"/>
        <v>0</v>
      </c>
      <c r="S48" s="1"/>
      <c r="T48" s="1"/>
      <c r="U48" s="10">
        <v>0.043750602668013741</v>
      </c>
      <c r="W48" s="11">
        <f>+D48*U48</f>
        <v>2390143.4151021754</v>
      </c>
      <c r="Z48" s="12">
        <f t="shared" si="29"/>
        <v>2390143.4151021754</v>
      </c>
      <c r="AA48" s="12">
        <f t="shared" si="43"/>
        <v>0</v>
      </c>
      <c r="AB48" s="12">
        <f t="shared" si="43"/>
        <v>0</v>
      </c>
      <c r="AC48" s="12">
        <f t="shared" si="43"/>
        <v>0</v>
      </c>
      <c r="AD48" s="12">
        <f t="shared" si="43"/>
        <v>0</v>
      </c>
      <c r="AE48" s="12">
        <f t="shared" si="43"/>
        <v>2390143.4151021754</v>
      </c>
      <c r="AF48" s="12">
        <f t="shared" si="43"/>
        <v>0</v>
      </c>
      <c r="AG48" s="12">
        <f t="shared" si="43"/>
        <v>2390143.4151021754</v>
      </c>
      <c r="AH48" s="12">
        <f t="shared" si="43"/>
        <v>0</v>
      </c>
      <c r="AI48" s="12">
        <f t="shared" si="43"/>
        <v>0</v>
      </c>
      <c r="AJ48" s="12">
        <f t="shared" si="43"/>
        <v>2390143.4151021754</v>
      </c>
      <c r="AK48" s="13">
        <f t="shared" si="42"/>
        <v>0</v>
      </c>
    </row>
    <row r="49" spans="1:37" ht="15.75">
      <c r="A49" s="27">
        <v>373</v>
      </c>
      <c r="B49" s="3">
        <v>437411078.03999996</v>
      </c>
      <c r="D49" s="3">
        <v>437411078.03999996</v>
      </c>
      <c r="G49" s="3">
        <f t="shared" si="5"/>
        <v>437411078.03999996</v>
      </c>
      <c r="K49" s="1">
        <f t="shared" si="40"/>
        <v>0</v>
      </c>
      <c r="L49" s="1">
        <v>437403825.88999999</v>
      </c>
      <c r="M49" s="1">
        <v>7252.1499999999996</v>
      </c>
      <c r="N49" s="1">
        <f t="shared" si="41"/>
        <v>437411078.03999996</v>
      </c>
      <c r="Q49" s="1">
        <f t="shared" si="27"/>
        <v>437411078.03999996</v>
      </c>
      <c r="R49" s="1">
        <f t="shared" si="0"/>
        <v>0</v>
      </c>
      <c r="S49" s="1"/>
      <c r="T49" s="1"/>
      <c r="U49" s="10">
        <v>0.048041845356583152</v>
      </c>
      <c r="W49" s="11">
        <f>+D49*U49</f>
        <v>21014035.368454002</v>
      </c>
      <c r="Z49" s="12">
        <f t="shared" si="29"/>
        <v>21014035.368454002</v>
      </c>
      <c r="AA49" s="12">
        <f t="shared" si="43"/>
        <v>0</v>
      </c>
      <c r="AB49" s="12">
        <f t="shared" si="43"/>
        <v>0</v>
      </c>
      <c r="AC49" s="12">
        <f t="shared" si="43"/>
        <v>0</v>
      </c>
      <c r="AD49" s="12">
        <f t="shared" si="43"/>
        <v>0</v>
      </c>
      <c r="AE49" s="12">
        <f t="shared" si="43"/>
        <v>21013686.961785201</v>
      </c>
      <c r="AF49" s="12">
        <f t="shared" si="43"/>
        <v>348.40666880274443</v>
      </c>
      <c r="AG49" s="12">
        <f t="shared" si="43"/>
        <v>21014035.368454002</v>
      </c>
      <c r="AH49" s="12">
        <f t="shared" si="43"/>
        <v>0</v>
      </c>
      <c r="AI49" s="12">
        <f t="shared" si="43"/>
        <v>0</v>
      </c>
      <c r="AJ49" s="12">
        <f t="shared" si="43"/>
        <v>21014035.368454002</v>
      </c>
      <c r="AK49" s="13">
        <f t="shared" si="42"/>
        <v>0</v>
      </c>
    </row>
    <row r="50" spans="1:37" s="15" customFormat="1" ht="15.75">
      <c r="A50" s="27">
        <v>374</v>
      </c>
      <c r="B50" s="1">
        <v>96116029.030000001</v>
      </c>
      <c r="C50" s="1"/>
      <c r="D50" s="1">
        <v>96116029.030000001</v>
      </c>
      <c r="E50" s="1"/>
      <c r="F50" s="1"/>
      <c r="G50" s="3">
        <f t="shared" si="5"/>
        <v>96116029.030000001</v>
      </c>
      <c r="H50" s="1">
        <v>24591238.710000001</v>
      </c>
      <c r="I50" s="1">
        <v>49119.300000000003</v>
      </c>
      <c r="J50" s="1"/>
      <c r="K50" s="1">
        <f t="shared" si="40"/>
        <v>24640358.010000002</v>
      </c>
      <c r="L50" s="1">
        <v>71344821.220000014</v>
      </c>
      <c r="M50" s="1">
        <v>130849.8</v>
      </c>
      <c r="N50" s="1">
        <f t="shared" si="41"/>
        <v>71475671.020000011</v>
      </c>
      <c r="O50" s="1"/>
      <c r="P50" s="1"/>
      <c r="Q50" s="1">
        <f t="shared" si="27"/>
        <v>96116029.030000016</v>
      </c>
      <c r="R50" s="1">
        <f t="shared" si="0"/>
        <v>0</v>
      </c>
      <c r="S50" s="1"/>
      <c r="T50" s="1"/>
      <c r="U50" s="10"/>
      <c r="V50" s="6"/>
      <c r="W50" s="11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3">
        <f t="shared" si="42"/>
        <v>0</v>
      </c>
    </row>
    <row r="51" spans="1:37" ht="15.75">
      <c r="A51" s="27" t="s">
        <v>14</v>
      </c>
      <c r="B51" s="3">
        <v>41548504.43</v>
      </c>
      <c r="D51" s="3">
        <v>41548504.43</v>
      </c>
      <c r="G51" s="3">
        <f t="shared" si="5"/>
        <v>41548504.43</v>
      </c>
      <c r="K51" s="1">
        <f t="shared" si="40"/>
        <v>0</v>
      </c>
      <c r="L51" s="1">
        <v>0</v>
      </c>
      <c r="N51" s="1">
        <f t="shared" si="41"/>
        <v>0</v>
      </c>
      <c r="O51" s="1">
        <f>+B51</f>
        <v>41548504.43</v>
      </c>
      <c r="Q51" s="1">
        <f t="shared" si="27"/>
        <v>41548504.43</v>
      </c>
      <c r="R51" s="1">
        <f t="shared" si="0"/>
        <v>0</v>
      </c>
      <c r="S51" s="1"/>
      <c r="T51" s="1"/>
      <c r="Z51" s="12">
        <f t="shared" si="29"/>
        <v>0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3">
        <f t="shared" si="42"/>
        <v>0</v>
      </c>
    </row>
    <row r="52" spans="1:37" s="15" customFormat="1" ht="15.75">
      <c r="A52" s="27">
        <v>388</v>
      </c>
      <c r="B52" s="1">
        <v>33672086.140000001</v>
      </c>
      <c r="C52" s="1"/>
      <c r="D52" s="1">
        <v>33672086.140000001</v>
      </c>
      <c r="E52" s="1"/>
      <c r="F52" s="1"/>
      <c r="G52" s="3">
        <f t="shared" si="5"/>
        <v>33672086.140000001</v>
      </c>
      <c r="H52" s="1">
        <v>7424940.3000000017</v>
      </c>
      <c r="I52" s="1">
        <v>370948.76000000001</v>
      </c>
      <c r="J52" s="1"/>
      <c r="K52" s="1">
        <f t="shared" si="40"/>
        <v>7795889.0600000015</v>
      </c>
      <c r="L52" s="1">
        <v>19410065.61999999</v>
      </c>
      <c r="M52" s="1"/>
      <c r="N52" s="1">
        <f t="shared" si="41"/>
        <v>19410065.61999999</v>
      </c>
      <c r="O52" s="1">
        <v>3908190.4500000007</v>
      </c>
      <c r="P52" s="1">
        <v>2557941.0100000012</v>
      </c>
      <c r="Q52" s="1">
        <f t="shared" si="27"/>
        <v>33672086.139999993</v>
      </c>
      <c r="R52" s="1">
        <f t="shared" si="0"/>
        <v>0</v>
      </c>
      <c r="S52" s="1"/>
      <c r="T52" s="1"/>
      <c r="U52" s="10"/>
      <c r="V52" s="6"/>
      <c r="W52" s="11"/>
      <c r="X52" s="6"/>
      <c r="Y52" s="6"/>
      <c r="Z52" s="12">
        <f t="shared" si="29"/>
        <v>0</v>
      </c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3">
        <f t="shared" si="42"/>
        <v>0</v>
      </c>
    </row>
    <row r="53" spans="1:37" ht="15.75">
      <c r="A53" s="27">
        <v>389</v>
      </c>
      <c r="B53" s="1">
        <v>142598.20000000001</v>
      </c>
      <c r="C53" s="1"/>
      <c r="D53" s="1">
        <v>142598.20000000001</v>
      </c>
      <c r="E53" s="1"/>
      <c r="F53" s="1"/>
      <c r="G53" s="3">
        <f t="shared" si="5"/>
        <v>142598.20000000001</v>
      </c>
      <c r="H53" s="1">
        <v>60493.899999999994</v>
      </c>
      <c r="K53" s="1">
        <f t="shared" si="40"/>
        <v>60493.899999999994</v>
      </c>
      <c r="L53" s="1">
        <v>78748.830000000002</v>
      </c>
      <c r="N53" s="1">
        <f t="shared" si="41"/>
        <v>78748.830000000002</v>
      </c>
      <c r="O53" s="1">
        <v>3342.9799999999959</v>
      </c>
      <c r="P53" s="1">
        <v>12.490000000000009</v>
      </c>
      <c r="Q53" s="1">
        <f t="shared" si="27"/>
        <v>142598.19999999995</v>
      </c>
      <c r="R53" s="1">
        <f t="shared" si="0"/>
        <v>0</v>
      </c>
      <c r="S53" s="1"/>
      <c r="T53" s="1"/>
      <c r="U53" s="10">
        <v>0.020451500064002721</v>
      </c>
      <c r="W53" s="11">
        <f>+G53*U53</f>
        <v>2916.347096426673</v>
      </c>
      <c r="X53" s="11"/>
      <c r="Y53" s="11"/>
      <c r="Z53" s="12">
        <f>+W53+X53</f>
        <v>2916.347096426673</v>
      </c>
      <c r="AA53" s="12">
        <f t="shared" si="44" ref="AA53:AA54">(+H53)*U53</f>
        <v>1237.190999721774</v>
      </c>
      <c r="AB53" s="12">
        <f>+I53/$D53*$Z53</f>
        <v>0</v>
      </c>
      <c r="AC53" s="12">
        <f>+J53/$D53*$Z53</f>
        <v>0</v>
      </c>
      <c r="AD53" s="12">
        <f>+AA53+AB53+AC53</f>
        <v>1237.190999721774</v>
      </c>
      <c r="AE53" s="12">
        <f>(+L53)*U53</f>
        <v>1610.5317017851394</v>
      </c>
      <c r="AF53" s="12">
        <f t="shared" si="45" ref="AF53:AF60">+M53/$D53*$Z53</f>
        <v>0</v>
      </c>
      <c r="AG53" s="12">
        <f>+AE53+AF53</f>
        <v>1610.5317017851394</v>
      </c>
      <c r="AH53" s="12">
        <f t="shared" si="46" ref="AH53:AH55">+O53/$G53*$Z53</f>
        <v>68.36895568395974</v>
      </c>
      <c r="AI53" s="12">
        <f t="shared" si="47" ref="AI53:AI57">+P53/$G53*$Z53</f>
        <v>0.25543923579939415</v>
      </c>
      <c r="AJ53" s="12">
        <f>+AD53+AG53+AH53+AI53</f>
        <v>2916.3470964266726</v>
      </c>
      <c r="AK53" s="13">
        <f t="shared" si="42"/>
        <v>0</v>
      </c>
    </row>
    <row r="54" spans="1:37" ht="15.75">
      <c r="A54" s="27">
        <v>390</v>
      </c>
      <c r="B54" s="3">
        <v>264565729.24000001</v>
      </c>
      <c r="C54" s="1">
        <v>-10713503.41</v>
      </c>
      <c r="D54" s="1">
        <v>253852225.83000001</v>
      </c>
      <c r="E54" s="1"/>
      <c r="F54" s="1"/>
      <c r="G54" s="3">
        <f t="shared" si="5"/>
        <v>253852225.83000001</v>
      </c>
      <c r="H54" s="1">
        <v>74671948.390000001</v>
      </c>
      <c r="I54" s="1">
        <v>1443397.0500000001</v>
      </c>
      <c r="K54" s="1">
        <f t="shared" si="40"/>
        <v>76115345.439999998</v>
      </c>
      <c r="L54" s="1">
        <v>139458227.10999998</v>
      </c>
      <c r="N54" s="1">
        <f t="shared" si="41"/>
        <v>139458227.10999998</v>
      </c>
      <c r="O54" s="1">
        <v>24827984.840000007</v>
      </c>
      <c r="P54" s="1">
        <v>13450668.439999992</v>
      </c>
      <c r="Q54" s="1">
        <f t="shared" si="27"/>
        <v>253852225.82999998</v>
      </c>
      <c r="R54" s="1">
        <f t="shared" si="0"/>
        <v>0</v>
      </c>
      <c r="S54" s="1"/>
      <c r="T54" s="1"/>
      <c r="U54" s="10">
        <v>0.019615166184429621</v>
      </c>
      <c r="W54" s="11">
        <f t="shared" si="48" ref="W54:W60">+G54*U54</f>
        <v>4979353.5959428074</v>
      </c>
      <c r="X54" s="11"/>
      <c r="Y54" s="11"/>
      <c r="Z54" s="12">
        <f t="shared" si="49" ref="Z54:Z70">+W54+X54</f>
        <v>4979353.5959428074</v>
      </c>
      <c r="AA54" s="12">
        <f t="shared" si="44"/>
        <v>1464702.6769850019</v>
      </c>
      <c r="AB54" s="12">
        <f>(+I54)*U54</f>
        <v>28312.473005865471</v>
      </c>
      <c r="AC54" s="12">
        <f t="shared" si="50" ref="AC54:AC60">+J54/$D54*$Z54</f>
        <v>0</v>
      </c>
      <c r="AD54" s="12">
        <f t="shared" si="51" ref="AD54:AD70">+AA54+AB54+AC54</f>
        <v>1493015.1499908674</v>
      </c>
      <c r="AE54" s="12">
        <f>(+L54)*U54</f>
        <v>2735496.3005485777</v>
      </c>
      <c r="AF54" s="12">
        <f t="shared" si="45"/>
        <v>0</v>
      </c>
      <c r="AG54" s="12">
        <f t="shared" si="52" ref="AG54:AG69">+AE54+AF54</f>
        <v>2735496.3005485777</v>
      </c>
      <c r="AH54" s="12">
        <f t="shared" si="53" ref="AH54">(+O54)*U54</f>
        <v>487005.0486610994</v>
      </c>
      <c r="AI54" s="12">
        <f t="shared" si="54" ref="AI54">(+P54)*U54</f>
        <v>263837.09674226254</v>
      </c>
      <c r="AJ54" s="12">
        <f t="shared" si="55" ref="AJ54:AJ70">+AD54+AG54+AH54+AI54</f>
        <v>4979353.5959428074</v>
      </c>
      <c r="AK54" s="13">
        <f t="shared" si="42"/>
        <v>0</v>
      </c>
    </row>
    <row r="55" spans="1:37" ht="15.75">
      <c r="A55" s="27" t="s">
        <v>15</v>
      </c>
      <c r="B55" s="1">
        <v>25839805.209999997</v>
      </c>
      <c r="C55" s="1">
        <v>-19251400</v>
      </c>
      <c r="D55" s="1">
        <v>6588405.2099999972</v>
      </c>
      <c r="E55" s="1"/>
      <c r="F55" s="1"/>
      <c r="G55" s="3">
        <f t="shared" si="5"/>
        <v>6588405.2099999972</v>
      </c>
      <c r="H55" s="1">
        <v>4415569.919999999</v>
      </c>
      <c r="K55" s="1">
        <f t="shared" si="40"/>
        <v>4415569.919999999</v>
      </c>
      <c r="L55" s="1">
        <v>2039908.8900000006</v>
      </c>
      <c r="N55" s="1">
        <f t="shared" si="41"/>
        <v>2039908.8900000006</v>
      </c>
      <c r="O55" s="1">
        <v>40900.429999999993</v>
      </c>
      <c r="P55" s="1">
        <v>92025.9700000007</v>
      </c>
      <c r="Q55" s="1">
        <f t="shared" si="27"/>
        <v>6588405.21</v>
      </c>
      <c r="R55" s="1">
        <f t="shared" si="0"/>
        <v>0</v>
      </c>
      <c r="S55" s="1"/>
      <c r="T55" s="1"/>
      <c r="W55" s="11">
        <v>439227.01399999997</v>
      </c>
      <c r="X55" s="11"/>
      <c r="Y55" s="11"/>
      <c r="Z55" s="12">
        <f t="shared" si="49"/>
        <v>439227.01399999997</v>
      </c>
      <c r="AA55" s="12">
        <f t="shared" si="56" ref="AA55">+H55/$G55*$Z55</f>
        <v>294371.32800000004</v>
      </c>
      <c r="AB55" s="12">
        <f>+I55/$D55*$Z55</f>
        <v>0</v>
      </c>
      <c r="AC55" s="12">
        <f t="shared" si="50"/>
        <v>0</v>
      </c>
      <c r="AD55" s="12">
        <f t="shared" si="51"/>
        <v>294371.32800000004</v>
      </c>
      <c r="AE55" s="12">
        <f t="shared" si="57" ref="AE55">+L55/$G55*$Z55</f>
        <v>135993.92600000009</v>
      </c>
      <c r="AF55" s="12">
        <f t="shared" si="45"/>
        <v>0</v>
      </c>
      <c r="AG55" s="12">
        <f t="shared" si="52"/>
        <v>135993.92600000009</v>
      </c>
      <c r="AH55" s="12">
        <f t="shared" si="46"/>
        <v>2726.695333333334</v>
      </c>
      <c r="AI55" s="12">
        <f t="shared" si="47"/>
        <v>6135.0646666667153</v>
      </c>
      <c r="AJ55" s="12">
        <f t="shared" si="55"/>
        <v>439227.0140000002</v>
      </c>
      <c r="AK55" s="13">
        <f t="shared" si="42"/>
        <v>0</v>
      </c>
    </row>
    <row r="56" spans="1:37" ht="15.75">
      <c r="A56" s="27">
        <v>391</v>
      </c>
      <c r="B56" s="3">
        <v>22857229.640000001</v>
      </c>
      <c r="D56" s="3">
        <v>22857229.640000001</v>
      </c>
      <c r="G56" s="3">
        <f t="shared" si="5"/>
        <v>22857229.640000001</v>
      </c>
      <c r="H56" s="1">
        <v>8868849.879999999</v>
      </c>
      <c r="I56" s="1">
        <v>2134400.54</v>
      </c>
      <c r="J56" s="1">
        <v>0</v>
      </c>
      <c r="K56" s="1">
        <f t="shared" si="40"/>
        <v>11003250.419999998</v>
      </c>
      <c r="L56" s="1">
        <v>9631000.839999998</v>
      </c>
      <c r="N56" s="1">
        <f t="shared" si="41"/>
        <v>9631000.839999998</v>
      </c>
      <c r="O56" s="1">
        <v>1229057.46</v>
      </c>
      <c r="P56" s="1">
        <v>993920.92000000062</v>
      </c>
      <c r="Q56" s="1">
        <f t="shared" si="27"/>
        <v>22857229.640000001</v>
      </c>
      <c r="R56" s="1">
        <f t="shared" si="0"/>
        <v>0</v>
      </c>
      <c r="S56" s="1"/>
      <c r="T56" s="1"/>
      <c r="U56" s="10">
        <v>0.050000000000000003</v>
      </c>
      <c r="W56" s="11">
        <f t="shared" si="48"/>
        <v>1142861.4820000001</v>
      </c>
      <c r="X56" s="11">
        <v>334158.44759533292</v>
      </c>
      <c r="Y56" s="11"/>
      <c r="Z56" s="12">
        <f t="shared" si="49"/>
        <v>1477019.9295953331</v>
      </c>
      <c r="AA56" s="12">
        <f>(+H56)*$U56+$X56*H56/($G56-$I56)</f>
        <v>586453.9087810471</v>
      </c>
      <c r="AB56" s="12">
        <f>(+I56)*U56</f>
        <v>106720.027</v>
      </c>
      <c r="AC56" s="12">
        <f t="shared" si="50"/>
        <v>0</v>
      </c>
      <c r="AD56" s="12">
        <f t="shared" si="51"/>
        <v>693173.9357810471</v>
      </c>
      <c r="AE56" s="12">
        <f>(+L56)*$U56+$X56*L56/($G56-$I56)</f>
        <v>636851.24503331282</v>
      </c>
      <c r="AF56" s="12">
        <f t="shared" si="45"/>
        <v>0</v>
      </c>
      <c r="AG56" s="12">
        <f t="shared" si="52"/>
        <v>636851.24503331282</v>
      </c>
      <c r="AH56" s="12">
        <f>(+O56)*$U56+$X56*O56/($G56-$I56)</f>
        <v>81271.592290555884</v>
      </c>
      <c r="AI56" s="12">
        <f>(+P56)*$U56+$X56*P56/($G56-$I56)</f>
        <v>65723.156490416863</v>
      </c>
      <c r="AJ56" s="12">
        <f t="shared" si="55"/>
        <v>1477019.9295953326</v>
      </c>
      <c r="AK56" s="13">
        <f t="shared" si="42"/>
        <v>0</v>
      </c>
    </row>
    <row r="57" spans="1:37" ht="17.45" customHeight="1">
      <c r="A57" s="27" t="s">
        <v>16</v>
      </c>
      <c r="B57" s="3">
        <v>16170086.25</v>
      </c>
      <c r="D57" s="3">
        <v>16170086.25</v>
      </c>
      <c r="G57" s="3">
        <f t="shared" si="5"/>
        <v>16170086.25</v>
      </c>
      <c r="K57" s="1">
        <f t="shared" si="40"/>
        <v>0</v>
      </c>
      <c r="N57" s="1">
        <f t="shared" si="41"/>
        <v>0</v>
      </c>
      <c r="O57" s="1">
        <v>16170086.25</v>
      </c>
      <c r="Q57" s="1">
        <f t="shared" si="27"/>
        <v>16170086.25</v>
      </c>
      <c r="R57" s="1">
        <f t="shared" si="0"/>
        <v>0</v>
      </c>
      <c r="S57" s="1"/>
      <c r="T57" s="1"/>
      <c r="W57" s="11">
        <v>2310705.325125</v>
      </c>
      <c r="X57" s="11"/>
      <c r="Y57" s="11"/>
      <c r="Z57" s="12">
        <f t="shared" si="49"/>
        <v>2310705.325125</v>
      </c>
      <c r="AA57" s="12">
        <f t="shared" si="58" ref="AA57">(+H57)*U57</f>
        <v>0</v>
      </c>
      <c r="AB57" s="12">
        <f>+I57/$D57*$Z57</f>
        <v>0</v>
      </c>
      <c r="AC57" s="12">
        <f t="shared" si="50"/>
        <v>0</v>
      </c>
      <c r="AD57" s="12">
        <f t="shared" si="51"/>
        <v>0</v>
      </c>
      <c r="AE57" s="12">
        <f t="shared" si="59" ref="AE57">(+L57)*Y57</f>
        <v>0</v>
      </c>
      <c r="AF57" s="12">
        <f t="shared" si="45"/>
        <v>0</v>
      </c>
      <c r="AG57" s="12">
        <f t="shared" si="52"/>
        <v>0</v>
      </c>
      <c r="AH57" s="12">
        <v>2310705.325125</v>
      </c>
      <c r="AI57" s="12">
        <f t="shared" si="47"/>
        <v>0</v>
      </c>
      <c r="AJ57" s="12">
        <f t="shared" si="55"/>
        <v>2310705.325125</v>
      </c>
      <c r="AK57" s="13">
        <f t="shared" si="42"/>
        <v>0</v>
      </c>
    </row>
    <row r="58" spans="1:37" s="15" customFormat="1" ht="15.75">
      <c r="A58" s="27" t="s">
        <v>17</v>
      </c>
      <c r="B58" s="1">
        <v>285165642.02000004</v>
      </c>
      <c r="C58" s="1"/>
      <c r="D58" s="1">
        <v>285165642.02000004</v>
      </c>
      <c r="E58" s="1">
        <v>92232607.959999993</v>
      </c>
      <c r="F58" s="1"/>
      <c r="G58" s="1">
        <f t="shared" si="5"/>
        <v>192933034.06000006</v>
      </c>
      <c r="H58" s="1">
        <v>44741420.950000018</v>
      </c>
      <c r="I58" s="1">
        <v>14047.690000000001</v>
      </c>
      <c r="J58" s="1"/>
      <c r="K58" s="1">
        <f t="shared" si="40"/>
        <v>44755468.640000015</v>
      </c>
      <c r="L58" s="1">
        <v>58495925.500000037</v>
      </c>
      <c r="M58" s="1"/>
      <c r="N58" s="1">
        <f t="shared" si="41"/>
        <v>58495925.500000037</v>
      </c>
      <c r="O58" s="1">
        <v>33523898.600000001</v>
      </c>
      <c r="P58" s="1">
        <v>56157741.32</v>
      </c>
      <c r="Q58" s="1">
        <f t="shared" si="27"/>
        <v>192933034.06000003</v>
      </c>
      <c r="R58" s="1">
        <f t="shared" si="0"/>
        <v>0</v>
      </c>
      <c r="S58" s="1"/>
      <c r="T58" s="1"/>
      <c r="U58" s="10">
        <v>0.14285714285714285</v>
      </c>
      <c r="V58" s="6"/>
      <c r="W58" s="11">
        <f t="shared" si="48"/>
        <v>27561862.008571435</v>
      </c>
      <c r="X58" s="11">
        <v>7455224.0585072003</v>
      </c>
      <c r="Y58" s="11"/>
      <c r="Z58" s="12">
        <f t="shared" si="49"/>
        <v>35017086.067078635</v>
      </c>
      <c r="AA58" s="12">
        <f t="shared" si="60" ref="AA58:AA70">(+H58)*$U58+$X58*H58/($G58-$I58)</f>
        <v>8120633.5881637977</v>
      </c>
      <c r="AB58" s="12">
        <f>(+I58)*U58</f>
        <v>2006.8128571428572</v>
      </c>
      <c r="AC58" s="12">
        <f t="shared" si="50"/>
        <v>0</v>
      </c>
      <c r="AD58" s="12">
        <f t="shared" si="51"/>
        <v>8122640.4010209404</v>
      </c>
      <c r="AE58" s="12">
        <f>(+L58)*$U58+$X58*L58/($G58-$I58)</f>
        <v>10617096.357240915</v>
      </c>
      <c r="AF58" s="12">
        <f t="shared" si="45"/>
        <v>0</v>
      </c>
      <c r="AG58" s="12">
        <f t="shared" si="52"/>
        <v>10617096.357240915</v>
      </c>
      <c r="AH58" s="12">
        <f t="shared" si="61" ref="AH58:AH70">(+O58)*$U58+$X58*O58/($G58-$I58)</f>
        <v>6084636.8129789419</v>
      </c>
      <c r="AI58" s="12">
        <f t="shared" si="62" ref="AI58:AI70">(+P58)*$U58+$X58*P58/($G58-$I58)</f>
        <v>10192712.495837838</v>
      </c>
      <c r="AJ58" s="12">
        <f t="shared" si="55"/>
        <v>35017086.067078635</v>
      </c>
      <c r="AK58" s="16">
        <f t="shared" si="42"/>
        <v>0</v>
      </c>
    </row>
    <row r="59" spans="1:37" s="15" customFormat="1" ht="15.75">
      <c r="A59" s="27" t="s">
        <v>18</v>
      </c>
      <c r="B59" s="1">
        <v>1040309.39</v>
      </c>
      <c r="C59" s="1"/>
      <c r="D59" s="1">
        <v>1040309.39</v>
      </c>
      <c r="E59" s="1">
        <v>84179.910000000003</v>
      </c>
      <c r="F59" s="1"/>
      <c r="G59" s="1">
        <f t="shared" si="5"/>
        <v>956129.47999999998</v>
      </c>
      <c r="H59" s="1">
        <v>86974.610000000001</v>
      </c>
      <c r="I59" s="1"/>
      <c r="J59" s="1"/>
      <c r="K59" s="1">
        <f t="shared" si="40"/>
        <v>86974.610000000001</v>
      </c>
      <c r="L59" s="1">
        <f>953334.78-84179.91</f>
        <v>869154.87</v>
      </c>
      <c r="M59" s="1"/>
      <c r="N59" s="1">
        <f t="shared" si="41"/>
        <v>869154.87</v>
      </c>
      <c r="O59" s="1"/>
      <c r="P59" s="1"/>
      <c r="Q59" s="1">
        <f t="shared" si="27"/>
        <v>956129.47999999998</v>
      </c>
      <c r="R59" s="1">
        <f t="shared" si="0"/>
        <v>0</v>
      </c>
      <c r="S59" s="1"/>
      <c r="T59" s="1"/>
      <c r="U59" s="10">
        <v>0.080000000000000002</v>
      </c>
      <c r="V59" s="6"/>
      <c r="W59" s="11">
        <f t="shared" si="48"/>
        <v>76490.358399999997</v>
      </c>
      <c r="X59" s="11">
        <v>38338.216490437604</v>
      </c>
      <c r="Y59" s="11"/>
      <c r="Z59" s="12">
        <f t="shared" si="49"/>
        <v>114828.57489043759</v>
      </c>
      <c r="AA59" s="12">
        <f t="shared" si="60"/>
        <v>10445.416365523637</v>
      </c>
      <c r="AB59" s="12">
        <f t="shared" si="63" ref="AB59:AB69">(+I59-T59)*U59</f>
        <v>0</v>
      </c>
      <c r="AC59" s="12">
        <f t="shared" si="50"/>
        <v>0</v>
      </c>
      <c r="AD59" s="12">
        <f t="shared" si="51"/>
        <v>10445.416365523637</v>
      </c>
      <c r="AE59" s="12">
        <f t="shared" si="64" ref="AE59:AE70">(+L59)*$U59+$X59*L59/($G59-$I59)</f>
        <v>104383.15852491398</v>
      </c>
      <c r="AF59" s="12">
        <f t="shared" si="45"/>
        <v>0</v>
      </c>
      <c r="AG59" s="12">
        <f t="shared" si="52"/>
        <v>104383.15852491398</v>
      </c>
      <c r="AH59" s="12">
        <f t="shared" si="61"/>
        <v>0</v>
      </c>
      <c r="AI59" s="12">
        <f t="shared" si="62"/>
        <v>0</v>
      </c>
      <c r="AJ59" s="12">
        <f t="shared" si="55"/>
        <v>114828.57489043761</v>
      </c>
      <c r="AK59" s="16">
        <f t="shared" si="42"/>
        <v>0</v>
      </c>
    </row>
    <row r="60" spans="1:37" s="15" customFormat="1" ht="15.75">
      <c r="A60" s="27" t="s">
        <v>19</v>
      </c>
      <c r="B60" s="1">
        <v>5223004.7700000005</v>
      </c>
      <c r="C60" s="1"/>
      <c r="D60" s="1">
        <v>5223004.7700000005</v>
      </c>
      <c r="E60" s="1">
        <v>1883341.6500000001</v>
      </c>
      <c r="F60" s="1">
        <v>409764.97999999998</v>
      </c>
      <c r="G60" s="1">
        <f t="shared" si="5"/>
        <v>2929898.1400000001</v>
      </c>
      <c r="H60" s="1">
        <v>60365.110000000001</v>
      </c>
      <c r="I60" s="1">
        <f>1266338.03-409764.98</f>
        <v>856573.05000000005</v>
      </c>
      <c r="J60" s="1"/>
      <c r="K60" s="1">
        <f t="shared" si="40"/>
        <v>916938.16000000003</v>
      </c>
      <c r="L60" s="1">
        <f>3896301.63-1883341.65</f>
        <v>2012959.98</v>
      </c>
      <c r="M60" s="1"/>
      <c r="N60" s="1">
        <f t="shared" si="41"/>
        <v>2012959.98</v>
      </c>
      <c r="O60" s="1"/>
      <c r="P60" s="1"/>
      <c r="Q60" s="1">
        <f t="shared" si="27"/>
        <v>2929898.1400000001</v>
      </c>
      <c r="R60" s="1">
        <f>+G60-Q60</f>
        <v>0</v>
      </c>
      <c r="S60" s="1"/>
      <c r="T60" s="1"/>
      <c r="U60" s="10">
        <v>0.1142857142857143</v>
      </c>
      <c r="V60" s="6"/>
      <c r="W60" s="11">
        <f t="shared" si="48"/>
        <v>334845.50171428575</v>
      </c>
      <c r="X60" s="11">
        <v>125676.38509858761</v>
      </c>
      <c r="Y60" s="11"/>
      <c r="Z60" s="12">
        <f t="shared" si="49"/>
        <v>460521.88681287336</v>
      </c>
      <c r="AA60" s="12">
        <f t="shared" si="60"/>
        <v>10557.952820678163</v>
      </c>
      <c r="AB60" s="12">
        <f>(+I60)*U60</f>
        <v>97894.062857142868</v>
      </c>
      <c r="AC60" s="12">
        <f t="shared" si="50"/>
        <v>0</v>
      </c>
      <c r="AD60" s="12">
        <f t="shared" si="51"/>
        <v>108452.01567782104</v>
      </c>
      <c r="AE60" s="12">
        <f t="shared" si="64"/>
        <v>352069.87113505229</v>
      </c>
      <c r="AF60" s="12">
        <f t="shared" si="45"/>
        <v>0</v>
      </c>
      <c r="AG60" s="12">
        <f t="shared" si="52"/>
        <v>352069.87113505229</v>
      </c>
      <c r="AH60" s="12">
        <f t="shared" si="61"/>
        <v>0</v>
      </c>
      <c r="AI60" s="12">
        <f t="shared" si="62"/>
        <v>0</v>
      </c>
      <c r="AJ60" s="12">
        <f t="shared" si="55"/>
        <v>460521.8868128733</v>
      </c>
      <c r="AK60" s="16">
        <f t="shared" si="42"/>
        <v>0</v>
      </c>
    </row>
    <row r="61" spans="1:37" s="15" customFormat="1" ht="15.75">
      <c r="A61" s="27" t="s">
        <v>20</v>
      </c>
      <c r="B61" s="1">
        <v>4277641</v>
      </c>
      <c r="C61" s="1">
        <v>-4277641</v>
      </c>
      <c r="D61" s="1">
        <v>0</v>
      </c>
      <c r="E61" s="1"/>
      <c r="F61" s="1"/>
      <c r="G61" s="1">
        <f t="shared" si="5"/>
        <v>0</v>
      </c>
      <c r="H61" s="1"/>
      <c r="I61" s="1"/>
      <c r="J61" s="1"/>
      <c r="K61" s="1">
        <f t="shared" si="40"/>
        <v>0</v>
      </c>
      <c r="L61" s="1"/>
      <c r="M61" s="1"/>
      <c r="N61" s="1">
        <f t="shared" si="41"/>
        <v>0</v>
      </c>
      <c r="O61" s="1"/>
      <c r="P61" s="1"/>
      <c r="Q61" s="1">
        <f t="shared" si="27"/>
        <v>0</v>
      </c>
      <c r="R61" s="1">
        <f t="shared" si="65" ref="R61:R70">+G61-Q61</f>
        <v>0</v>
      </c>
      <c r="S61" s="1"/>
      <c r="T61" s="1"/>
      <c r="U61" s="10"/>
      <c r="V61" s="6"/>
      <c r="W61" s="11">
        <f t="shared" si="66" ref="W61">(+D61-T61-S61)*U61</f>
        <v>0</v>
      </c>
      <c r="X61" s="11"/>
      <c r="Y61" s="11"/>
      <c r="Z61" s="12">
        <f t="shared" si="49"/>
        <v>0</v>
      </c>
      <c r="AA61" s="12">
        <v>0</v>
      </c>
      <c r="AB61" s="12">
        <f t="shared" si="63"/>
        <v>0</v>
      </c>
      <c r="AC61" s="12">
        <v>0</v>
      </c>
      <c r="AD61" s="12">
        <f t="shared" si="51"/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f t="shared" si="55"/>
        <v>0</v>
      </c>
      <c r="AK61" s="16">
        <f t="shared" si="42"/>
        <v>0</v>
      </c>
    </row>
    <row r="62" spans="1:37" s="15" customFormat="1" ht="15.75">
      <c r="A62" s="27" t="s">
        <v>21</v>
      </c>
      <c r="B62" s="1">
        <v>16599747.860000005</v>
      </c>
      <c r="C62" s="1"/>
      <c r="D62" s="1">
        <v>16599747.860000005</v>
      </c>
      <c r="E62" s="1"/>
      <c r="F62" s="1"/>
      <c r="G62" s="1">
        <f t="shared" si="5"/>
        <v>16599747.860000005</v>
      </c>
      <c r="H62" s="1">
        <v>8611740.8599999994</v>
      </c>
      <c r="I62" s="1">
        <v>121214</v>
      </c>
      <c r="J62" s="1"/>
      <c r="K62" s="1">
        <f t="shared" si="40"/>
        <v>8732954.8599999994</v>
      </c>
      <c r="L62" s="1">
        <v>7866793</v>
      </c>
      <c r="M62" s="1"/>
      <c r="N62" s="1">
        <f t="shared" si="41"/>
        <v>7866793</v>
      </c>
      <c r="O62" s="1"/>
      <c r="P62" s="1"/>
      <c r="Q62" s="1">
        <f t="shared" si="27"/>
        <v>16599747.859999999</v>
      </c>
      <c r="R62" s="1">
        <f t="shared" si="65"/>
        <v>0</v>
      </c>
      <c r="S62" s="1"/>
      <c r="T62" s="1"/>
      <c r="U62" s="10">
        <v>0.053333333333333337</v>
      </c>
      <c r="V62" s="6"/>
      <c r="W62" s="11">
        <f t="shared" si="67" ref="W62:W70">+G62*U62</f>
        <v>885319.88586666703</v>
      </c>
      <c r="X62" s="11">
        <v>287491.17607068887</v>
      </c>
      <c r="Y62" s="11"/>
      <c r="Z62" s="12">
        <f t="shared" si="49"/>
        <v>1172811.0619373559</v>
      </c>
      <c r="AA62" s="12">
        <f t="shared" si="60"/>
        <v>609536.76494900452</v>
      </c>
      <c r="AB62" s="12">
        <f>(+I62)*U62</f>
        <v>6464.7466666666669</v>
      </c>
      <c r="AC62" s="12">
        <f t="shared" si="68" ref="AC62:AC70">+J62/$D62*$Z62</f>
        <v>0</v>
      </c>
      <c r="AD62" s="12">
        <f t="shared" si="51"/>
        <v>616001.51161567122</v>
      </c>
      <c r="AE62" s="12">
        <f t="shared" si="64"/>
        <v>556809.55032168422</v>
      </c>
      <c r="AF62" s="12">
        <f t="shared" si="69" ref="AF62:AF70">+M62/$D62*$Z62</f>
        <v>0</v>
      </c>
      <c r="AG62" s="12">
        <f t="shared" si="52"/>
        <v>556809.55032168422</v>
      </c>
      <c r="AH62" s="12">
        <f t="shared" si="61"/>
        <v>0</v>
      </c>
      <c r="AI62" s="12">
        <f t="shared" si="62"/>
        <v>0</v>
      </c>
      <c r="AJ62" s="12">
        <f t="shared" si="55"/>
        <v>1172811.0619373554</v>
      </c>
      <c r="AK62" s="16">
        <f t="shared" si="42"/>
        <v>0</v>
      </c>
    </row>
    <row r="63" spans="1:37" s="15" customFormat="1" ht="15.75">
      <c r="A63" s="27">
        <v>393</v>
      </c>
      <c r="B63" s="1">
        <v>4996536.5899999999</v>
      </c>
      <c r="C63" s="1"/>
      <c r="D63" s="1">
        <v>4996536.5899999999</v>
      </c>
      <c r="E63" s="1"/>
      <c r="F63" s="1"/>
      <c r="G63" s="1">
        <f t="shared" si="5"/>
        <v>4996536.5899999999</v>
      </c>
      <c r="H63" s="1">
        <v>1193181.8299999998</v>
      </c>
      <c r="I63" s="1"/>
      <c r="J63" s="1"/>
      <c r="K63" s="1">
        <f t="shared" si="40"/>
        <v>1193181.8299999998</v>
      </c>
      <c r="L63" s="1">
        <v>3228206.2200000007</v>
      </c>
      <c r="M63" s="1"/>
      <c r="N63" s="1">
        <f t="shared" si="41"/>
        <v>3228206.2200000007</v>
      </c>
      <c r="O63" s="1">
        <v>575148.53999999992</v>
      </c>
      <c r="P63" s="11"/>
      <c r="Q63" s="1">
        <f t="shared" si="27"/>
        <v>4996536.5900000008</v>
      </c>
      <c r="R63" s="1">
        <f t="shared" si="65"/>
        <v>0</v>
      </c>
      <c r="S63" s="1"/>
      <c r="T63" s="1"/>
      <c r="U63" s="10">
        <v>0.025000000000000001</v>
      </c>
      <c r="V63" s="6"/>
      <c r="W63" s="11">
        <f t="shared" si="67"/>
        <v>124913.41475</v>
      </c>
      <c r="X63" s="11">
        <v>153520.64230299651</v>
      </c>
      <c r="Y63" s="11"/>
      <c r="Z63" s="12">
        <f t="shared" si="49"/>
        <v>278434.05705299648</v>
      </c>
      <c r="AA63" s="12">
        <f t="shared" si="60"/>
        <v>66490.548351777164</v>
      </c>
      <c r="AB63" s="12">
        <f t="shared" si="63"/>
        <v>0</v>
      </c>
      <c r="AC63" s="12">
        <f t="shared" si="68"/>
        <v>0</v>
      </c>
      <c r="AD63" s="12">
        <f t="shared" si="51"/>
        <v>66490.548351777164</v>
      </c>
      <c r="AE63" s="12">
        <f t="shared" si="64"/>
        <v>179893.11969359929</v>
      </c>
      <c r="AF63" s="12">
        <f t="shared" si="69"/>
        <v>0</v>
      </c>
      <c r="AG63" s="12">
        <f t="shared" si="52"/>
        <v>179893.11969359929</v>
      </c>
      <c r="AH63" s="12">
        <f t="shared" si="61"/>
        <v>32050.389007620102</v>
      </c>
      <c r="AI63" s="12">
        <f t="shared" si="62"/>
        <v>0</v>
      </c>
      <c r="AJ63" s="12">
        <f t="shared" si="55"/>
        <v>278434.05705299653</v>
      </c>
      <c r="AK63" s="16">
        <f t="shared" si="42"/>
        <v>0</v>
      </c>
    </row>
    <row r="64" spans="1:37" s="15" customFormat="1" ht="15.75">
      <c r="A64" s="27" t="s">
        <v>22</v>
      </c>
      <c r="B64" s="1">
        <v>18277261.68</v>
      </c>
      <c r="C64" s="1"/>
      <c r="D64" s="1">
        <v>18277261.68</v>
      </c>
      <c r="E64" s="1"/>
      <c r="F64" s="1"/>
      <c r="G64" s="1">
        <f t="shared" si="5"/>
        <v>18277261.68</v>
      </c>
      <c r="H64" s="1">
        <v>6105076.8400000008</v>
      </c>
      <c r="I64" s="1"/>
      <c r="J64" s="1"/>
      <c r="K64" s="1">
        <f t="shared" si="40"/>
        <v>6105076.8400000008</v>
      </c>
      <c r="L64" s="1">
        <v>10983974.579999998</v>
      </c>
      <c r="M64" s="1"/>
      <c r="N64" s="1">
        <f t="shared" si="41"/>
        <v>10983974.579999998</v>
      </c>
      <c r="O64" s="1">
        <v>1188210.2600000002</v>
      </c>
      <c r="P64" s="1"/>
      <c r="Q64" s="1">
        <f t="shared" si="27"/>
        <v>18277261.68</v>
      </c>
      <c r="R64" s="1">
        <f t="shared" si="65"/>
        <v>0</v>
      </c>
      <c r="S64" s="1"/>
      <c r="T64" s="1"/>
      <c r="U64" s="10">
        <v>0.028571428571428571</v>
      </c>
      <c r="V64" s="6"/>
      <c r="W64" s="11">
        <f t="shared" si="67"/>
        <v>522207.47657142853</v>
      </c>
      <c r="X64" s="11">
        <v>523610.7485147586</v>
      </c>
      <c r="Y64" s="11"/>
      <c r="Z64" s="12">
        <f t="shared" si="49"/>
        <v>1045818.2250861871</v>
      </c>
      <c r="AA64" s="12">
        <f t="shared" si="60"/>
        <v>349330.26273898536</v>
      </c>
      <c r="AB64" s="12">
        <f t="shared" si="63"/>
        <v>0</v>
      </c>
      <c r="AC64" s="12">
        <f t="shared" si="68"/>
        <v>0</v>
      </c>
      <c r="AD64" s="12">
        <f t="shared" si="51"/>
        <v>349330.26273898536</v>
      </c>
      <c r="AE64" s="12">
        <f t="shared" si="64"/>
        <v>628499.00607471063</v>
      </c>
      <c r="AF64" s="12">
        <f t="shared" si="69"/>
        <v>0</v>
      </c>
      <c r="AG64" s="12">
        <f t="shared" si="52"/>
        <v>628499.00607471063</v>
      </c>
      <c r="AH64" s="12">
        <f t="shared" si="61"/>
        <v>67988.956272491108</v>
      </c>
      <c r="AI64" s="12">
        <f t="shared" si="62"/>
        <v>0</v>
      </c>
      <c r="AJ64" s="12">
        <f t="shared" si="55"/>
        <v>1045818.2250861871</v>
      </c>
      <c r="AK64" s="16">
        <f t="shared" si="42"/>
        <v>0</v>
      </c>
    </row>
    <row r="65" spans="1:37" s="15" customFormat="1" ht="15.75">
      <c r="A65" s="27" t="s">
        <v>23</v>
      </c>
      <c r="B65" s="1">
        <v>25151322.859999973</v>
      </c>
      <c r="C65" s="1"/>
      <c r="D65" s="1">
        <v>25151322.859999973</v>
      </c>
      <c r="E65" s="1">
        <v>11312220.899999999</v>
      </c>
      <c r="F65" s="1"/>
      <c r="G65" s="1">
        <f t="shared" si="5"/>
        <v>13839101.959999975</v>
      </c>
      <c r="H65" s="1">
        <f>-3604851.16+8688648.25</f>
        <v>5083797.0899999999</v>
      </c>
      <c r="I65" s="1">
        <v>83350.940000000002</v>
      </c>
      <c r="J65" s="1"/>
      <c r="K65" s="1">
        <f t="shared" si="40"/>
        <v>5167148.0300000003</v>
      </c>
      <c r="L65" s="1">
        <v>7924859.8800000018</v>
      </c>
      <c r="M65" s="1"/>
      <c r="N65" s="1">
        <f t="shared" si="41"/>
        <v>7924859.8800000018</v>
      </c>
      <c r="O65" s="1">
        <f>1380761.76-633667.71</f>
        <v>747094.05000000005</v>
      </c>
      <c r="P65" s="1"/>
      <c r="Q65" s="1">
        <f t="shared" si="27"/>
        <v>13839101.960000003</v>
      </c>
      <c r="R65" s="1">
        <f t="shared" si="65"/>
        <v>-2.7939677238464355E-08</v>
      </c>
      <c r="S65" s="1"/>
      <c r="T65" s="1"/>
      <c r="U65" s="10">
        <v>0.10000000000000001</v>
      </c>
      <c r="V65" s="6"/>
      <c r="W65" s="11">
        <f t="shared" si="67"/>
        <v>1383910.1959999977</v>
      </c>
      <c r="X65" s="11">
        <v>334597.85827468149</v>
      </c>
      <c r="Y65" s="11"/>
      <c r="Z65" s="12">
        <f t="shared" si="49"/>
        <v>1718508.0542746792</v>
      </c>
      <c r="AA65" s="12">
        <f t="shared" si="60"/>
        <v>632039.08722979447</v>
      </c>
      <c r="AB65" s="12">
        <f>(+I65)*U65</f>
        <v>8335.094000000001</v>
      </c>
      <c r="AC65" s="12">
        <f t="shared" si="68"/>
        <v>0</v>
      </c>
      <c r="AD65" s="12">
        <f t="shared" si="51"/>
        <v>640374.18122979451</v>
      </c>
      <c r="AE65" s="12">
        <f t="shared" si="64"/>
        <v>985251.99104262842</v>
      </c>
      <c r="AF65" s="12">
        <f t="shared" si="69"/>
        <v>0</v>
      </c>
      <c r="AG65" s="12">
        <f t="shared" si="52"/>
        <v>985251.99104262842</v>
      </c>
      <c r="AH65" s="12">
        <f t="shared" si="61"/>
        <v>92881.882002259561</v>
      </c>
      <c r="AI65" s="12">
        <f t="shared" si="62"/>
        <v>0</v>
      </c>
      <c r="AJ65" s="12">
        <f t="shared" si="55"/>
        <v>1718508.0542746824</v>
      </c>
      <c r="AK65" s="16">
        <f t="shared" si="42"/>
        <v>3.2596290111541748E-09</v>
      </c>
    </row>
    <row r="66" spans="1:37" s="15" customFormat="1" ht="15.75">
      <c r="A66" s="27">
        <v>395</v>
      </c>
      <c r="B66" s="1">
        <v>51910323.740000002</v>
      </c>
      <c r="C66" s="1"/>
      <c r="D66" s="1">
        <v>51910323.740000002</v>
      </c>
      <c r="E66" s="1"/>
      <c r="F66" s="1"/>
      <c r="G66" s="1">
        <f t="shared" si="5"/>
        <v>51910323.740000002</v>
      </c>
      <c r="H66" s="1">
        <v>30439015.970000006</v>
      </c>
      <c r="I66" s="1"/>
      <c r="J66" s="1"/>
      <c r="K66" s="1">
        <f t="shared" si="40"/>
        <v>30439015.970000006</v>
      </c>
      <c r="L66" s="1">
        <v>17734119.199999999</v>
      </c>
      <c r="M66" s="1"/>
      <c r="N66" s="1">
        <f t="shared" si="41"/>
        <v>17734119.199999999</v>
      </c>
      <c r="O66" s="1">
        <v>3737188.5699999994</v>
      </c>
      <c r="P66" s="1"/>
      <c r="Q66" s="1">
        <f t="shared" si="27"/>
        <v>51910323.740000002</v>
      </c>
      <c r="R66" s="1">
        <f t="shared" si="65"/>
        <v>0</v>
      </c>
      <c r="S66" s="1"/>
      <c r="T66" s="1"/>
      <c r="U66" s="10">
        <v>0.040000000000000001</v>
      </c>
      <c r="V66" s="6"/>
      <c r="W66" s="11">
        <f t="shared" si="67"/>
        <v>2076412.9496000002</v>
      </c>
      <c r="X66" s="11">
        <v>1293486.3830186413</v>
      </c>
      <c r="Y66" s="11"/>
      <c r="Z66" s="12">
        <f t="shared" si="49"/>
        <v>3369899.3326186417</v>
      </c>
      <c r="AA66" s="12">
        <f t="shared" si="60"/>
        <v>1976031.2055967769</v>
      </c>
      <c r="AB66" s="12">
        <f t="shared" si="63"/>
        <v>0</v>
      </c>
      <c r="AC66" s="12">
        <f t="shared" si="68"/>
        <v>0</v>
      </c>
      <c r="AD66" s="12">
        <f t="shared" si="51"/>
        <v>1976031.2055967769</v>
      </c>
      <c r="AE66" s="12">
        <f t="shared" si="64"/>
        <v>1151258.4039349593</v>
      </c>
      <c r="AF66" s="12">
        <f t="shared" si="69"/>
        <v>0</v>
      </c>
      <c r="AG66" s="12">
        <f t="shared" si="52"/>
        <v>1151258.4039349593</v>
      </c>
      <c r="AH66" s="12">
        <f t="shared" si="61"/>
        <v>242609.7230869054</v>
      </c>
      <c r="AI66" s="12">
        <f t="shared" si="62"/>
        <v>0</v>
      </c>
      <c r="AJ66" s="12">
        <f t="shared" si="55"/>
        <v>3369899.3326186412</v>
      </c>
      <c r="AK66" s="16">
        <f t="shared" si="42"/>
        <v>0</v>
      </c>
    </row>
    <row r="67" spans="1:37" s="15" customFormat="1" ht="15.75">
      <c r="A67" s="27">
        <v>396</v>
      </c>
      <c r="B67" s="1">
        <v>12897886.42</v>
      </c>
      <c r="C67" s="1"/>
      <c r="D67" s="1">
        <v>12897886.42</v>
      </c>
      <c r="E67" s="1">
        <v>3228020.4799999995</v>
      </c>
      <c r="F67" s="1"/>
      <c r="G67" s="1">
        <f t="shared" si="5"/>
        <v>9669865.9400000013</v>
      </c>
      <c r="H67" s="1">
        <f>3982231.1-1705032.39</f>
        <v>2277198.71</v>
      </c>
      <c r="I67" s="1">
        <v>358439.65000000002</v>
      </c>
      <c r="J67" s="1"/>
      <c r="K67" s="1">
        <f t="shared" si="40"/>
        <v>2635638.3599999999</v>
      </c>
      <c r="L67" s="1">
        <f>7626625.32-1391335.07</f>
        <v>6235290.25</v>
      </c>
      <c r="M67" s="1"/>
      <c r="N67" s="1">
        <f t="shared" si="41"/>
        <v>6235290.25</v>
      </c>
      <c r="O67" s="1">
        <f>930590.35-131653.02</f>
        <v>798937.32999999996</v>
      </c>
      <c r="P67" s="1"/>
      <c r="Q67" s="1">
        <f t="shared" si="27"/>
        <v>9669865.9399999995</v>
      </c>
      <c r="R67" s="1">
        <f t="shared" si="65"/>
        <v>0</v>
      </c>
      <c r="S67" s="1"/>
      <c r="T67" s="1"/>
      <c r="U67" s="10">
        <v>0.053333333333333337</v>
      </c>
      <c r="V67" s="6"/>
      <c r="W67" s="11">
        <f t="shared" si="67"/>
        <v>515726.18346666679</v>
      </c>
      <c r="X67" s="11">
        <v>220013.02903603413</v>
      </c>
      <c r="Y67" s="11"/>
      <c r="Z67" s="12">
        <f t="shared" si="49"/>
        <v>735739.21250270098</v>
      </c>
      <c r="AA67" s="12">
        <f t="shared" si="60"/>
        <v>175256.89674078356</v>
      </c>
      <c r="AB67" s="12">
        <f t="shared" si="70" ref="AB67:AB68">(+I67)*U67</f>
        <v>19116.781333333336</v>
      </c>
      <c r="AC67" s="12">
        <f t="shared" si="68"/>
        <v>0</v>
      </c>
      <c r="AD67" s="12">
        <f t="shared" si="51"/>
        <v>194373.67807411691</v>
      </c>
      <c r="AE67" s="12">
        <f t="shared" si="64"/>
        <v>479878.02500251046</v>
      </c>
      <c r="AF67" s="12">
        <f t="shared" si="69"/>
        <v>0</v>
      </c>
      <c r="AG67" s="12">
        <f t="shared" si="52"/>
        <v>479878.02500251046</v>
      </c>
      <c r="AH67" s="12">
        <f t="shared" si="61"/>
        <v>61487.509426073455</v>
      </c>
      <c r="AI67" s="12">
        <f t="shared" si="62"/>
        <v>0</v>
      </c>
      <c r="AJ67" s="12">
        <f t="shared" si="55"/>
        <v>735739.21250270074</v>
      </c>
      <c r="AK67" s="16">
        <f t="shared" si="42"/>
        <v>0</v>
      </c>
    </row>
    <row r="68" spans="1:37" s="15" customFormat="1" ht="15.75">
      <c r="A68" s="27" t="s">
        <v>24</v>
      </c>
      <c r="B68" s="1">
        <v>71479252.030000001</v>
      </c>
      <c r="C68" s="1"/>
      <c r="D68" s="1">
        <v>71479252.030000001</v>
      </c>
      <c r="E68" s="1">
        <v>3017140.8800000008</v>
      </c>
      <c r="F68" s="1"/>
      <c r="G68" s="1">
        <f t="shared" si="71" ref="G68:G70">+D68-E68-F68</f>
        <v>68462111.150000006</v>
      </c>
      <c r="H68" s="1">
        <v>46242442.470000006</v>
      </c>
      <c r="I68" s="1">
        <v>16570.82</v>
      </c>
      <c r="J68" s="1"/>
      <c r="K68" s="1">
        <f t="shared" si="40"/>
        <v>46259013.290000007</v>
      </c>
      <c r="L68" s="1">
        <v>18261071.90000001</v>
      </c>
      <c r="M68" s="1"/>
      <c r="N68" s="1">
        <f t="shared" si="41"/>
        <v>18261071.90000001</v>
      </c>
      <c r="O68" s="1">
        <v>2439749.9400000013</v>
      </c>
      <c r="P68" s="1">
        <v>1502276.0199999998</v>
      </c>
      <c r="Q68" s="1">
        <f t="shared" si="27"/>
        <v>68462111.150000006</v>
      </c>
      <c r="R68" s="1">
        <f t="shared" si="65"/>
        <v>0</v>
      </c>
      <c r="S68" s="1"/>
      <c r="T68" s="1"/>
      <c r="U68" s="10">
        <v>0.066666666666666666</v>
      </c>
      <c r="V68" s="6"/>
      <c r="W68" s="11">
        <f t="shared" si="67"/>
        <v>4564140.7433333341</v>
      </c>
      <c r="X68" s="11">
        <v>1515156.4410486126</v>
      </c>
      <c r="Y68" s="11"/>
      <c r="Z68" s="12">
        <f t="shared" si="49"/>
        <v>6079297.1843819469</v>
      </c>
      <c r="AA68" s="12">
        <f t="shared" si="60"/>
        <v>4106483.2557238005</v>
      </c>
      <c r="AB68" s="12">
        <f t="shared" si="70"/>
        <v>1104.7213333333334</v>
      </c>
      <c r="AC68" s="12">
        <f t="shared" si="68"/>
        <v>0</v>
      </c>
      <c r="AD68" s="12">
        <f t="shared" si="51"/>
        <v>4107587.9770571338</v>
      </c>
      <c r="AE68" s="12">
        <f t="shared" si="64"/>
        <v>1621644.1429876408</v>
      </c>
      <c r="AF68" s="12">
        <f t="shared" si="69"/>
        <v>0</v>
      </c>
      <c r="AG68" s="12">
        <f t="shared" si="52"/>
        <v>1621644.1429876408</v>
      </c>
      <c r="AH68" s="12">
        <f t="shared" si="61"/>
        <v>216657.93893267834</v>
      </c>
      <c r="AI68" s="12">
        <f t="shared" si="62"/>
        <v>133407.12540449406</v>
      </c>
      <c r="AJ68" s="12">
        <f t="shared" si="55"/>
        <v>6079297.1843819469</v>
      </c>
      <c r="AK68" s="16">
        <f t="shared" si="42"/>
        <v>0</v>
      </c>
    </row>
    <row r="69" spans="1:37" ht="15.75">
      <c r="A69" s="27" t="s">
        <v>25</v>
      </c>
      <c r="B69" s="1">
        <v>77314645.460000008</v>
      </c>
      <c r="C69" s="1"/>
      <c r="D69" s="1">
        <v>77314645.460000008</v>
      </c>
      <c r="E69" s="1"/>
      <c r="F69" s="1"/>
      <c r="G69" s="1">
        <f t="shared" si="71"/>
        <v>77314645.460000008</v>
      </c>
      <c r="H69" s="1">
        <v>35081287.299999997</v>
      </c>
      <c r="K69" s="1">
        <f t="shared" si="40"/>
        <v>35081287.299999997</v>
      </c>
      <c r="L69" s="1">
        <v>40676395.469999999</v>
      </c>
      <c r="N69" s="1">
        <f t="shared" si="41"/>
        <v>40676395.469999999</v>
      </c>
      <c r="O69" s="1">
        <v>1556962.6900000023</v>
      </c>
      <c r="Q69" s="1">
        <f t="shared" si="27"/>
        <v>77314645.459999993</v>
      </c>
      <c r="R69" s="1">
        <f t="shared" si="65"/>
        <v>0</v>
      </c>
      <c r="S69" s="1"/>
      <c r="T69" s="1"/>
      <c r="U69" s="10">
        <v>0.046737577428248286</v>
      </c>
      <c r="W69" s="11">
        <f t="shared" si="67"/>
        <v>3613499.2285243152</v>
      </c>
      <c r="X69" s="11"/>
      <c r="Y69" s="11"/>
      <c r="Z69" s="12">
        <f t="shared" si="49"/>
        <v>3613499.2285243152</v>
      </c>
      <c r="AA69" s="12">
        <f t="shared" si="60"/>
        <v>1639614.3814663731</v>
      </c>
      <c r="AB69" s="12">
        <f t="shared" si="63"/>
        <v>0</v>
      </c>
      <c r="AC69" s="12">
        <f t="shared" si="68"/>
        <v>0</v>
      </c>
      <c r="AD69" s="12">
        <f t="shared" si="51"/>
        <v>1639614.3814663731</v>
      </c>
      <c r="AE69" s="12">
        <f t="shared" si="64"/>
        <v>1901116.1827811727</v>
      </c>
      <c r="AF69" s="12">
        <f t="shared" si="69"/>
        <v>0</v>
      </c>
      <c r="AG69" s="12">
        <f t="shared" si="52"/>
        <v>1901116.1827811727</v>
      </c>
      <c r="AH69" s="12">
        <f t="shared" si="61"/>
        <v>72768.664276768846</v>
      </c>
      <c r="AI69" s="12">
        <f t="shared" si="62"/>
        <v>0</v>
      </c>
      <c r="AJ69" s="12">
        <f t="shared" si="55"/>
        <v>3613499.2285243147</v>
      </c>
      <c r="AK69" s="13">
        <f t="shared" si="42"/>
        <v>0</v>
      </c>
    </row>
    <row r="70" spans="1:36" ht="15.75">
      <c r="A70" s="27">
        <v>398</v>
      </c>
      <c r="B70" s="1">
        <v>12767813.69</v>
      </c>
      <c r="C70" s="1"/>
      <c r="D70" s="1">
        <v>12767813.69</v>
      </c>
      <c r="E70" s="1"/>
      <c r="F70" s="1"/>
      <c r="G70" s="1">
        <f t="shared" si="71"/>
        <v>12767813.69</v>
      </c>
      <c r="H70" s="1">
        <v>5788727.4000000013</v>
      </c>
      <c r="I70" s="1">
        <v>31366.919999999998</v>
      </c>
      <c r="K70" s="1">
        <f t="shared" si="40"/>
        <v>5820094.3200000012</v>
      </c>
      <c r="L70" s="1">
        <v>5763893.6800000016</v>
      </c>
      <c r="N70" s="1">
        <f t="shared" si="41"/>
        <v>5763893.6800000016</v>
      </c>
      <c r="O70" s="1">
        <v>1183825.6899999999</v>
      </c>
      <c r="Q70" s="1">
        <f t="shared" si="27"/>
        <v>12767813.690000003</v>
      </c>
      <c r="R70" s="1">
        <f t="shared" si="65"/>
        <v>0</v>
      </c>
      <c r="S70" s="1"/>
      <c r="U70" s="10">
        <v>0.045454545454545456</v>
      </c>
      <c r="W70" s="11">
        <f t="shared" si="67"/>
        <v>580355.16772727272</v>
      </c>
      <c r="X70" s="11">
        <v>193836.2932728806</v>
      </c>
      <c r="Y70" s="11"/>
      <c r="Z70" s="12">
        <f t="shared" si="49"/>
        <v>774191.46100015333</v>
      </c>
      <c r="AA70" s="12">
        <f t="shared" si="60"/>
        <v>351222.75586874702</v>
      </c>
      <c r="AB70" s="12">
        <f>(+I70)*U70</f>
        <v>1425.7690909090909</v>
      </c>
      <c r="AC70" s="12">
        <f t="shared" si="68"/>
        <v>0</v>
      </c>
      <c r="AD70" s="12">
        <f t="shared" si="51"/>
        <v>352648.52495965612</v>
      </c>
      <c r="AE70" s="12">
        <f t="shared" si="64"/>
        <v>349716.00542531232</v>
      </c>
      <c r="AF70" s="12">
        <f t="shared" si="69"/>
        <v>0</v>
      </c>
      <c r="AG70" s="12">
        <f>+AE70+AF70</f>
        <v>349716.00542531232</v>
      </c>
      <c r="AH70" s="12">
        <f t="shared" si="61"/>
        <v>71826.930615185105</v>
      </c>
      <c r="AI70" s="12">
        <f t="shared" si="62"/>
        <v>0</v>
      </c>
      <c r="AJ70" s="12">
        <f t="shared" si="55"/>
        <v>774191.46100015356</v>
      </c>
    </row>
    <row r="71" spans="2:36" ht="15.75">
      <c r="B71" s="1"/>
      <c r="C71" s="1"/>
      <c r="D71" s="1"/>
      <c r="E71" s="1"/>
      <c r="F71" s="1"/>
      <c r="Q71" s="1"/>
      <c r="R71" s="1"/>
      <c r="S71" s="1"/>
      <c r="X71" s="11"/>
      <c r="Y71" s="11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1:36" ht="15.75">
      <c r="A72" s="27" t="s">
        <v>26</v>
      </c>
      <c r="B72" s="3">
        <f t="shared" si="72" ref="B72:Q72">SUM(B3:B70)</f>
        <v>31123355731.089996</v>
      </c>
      <c r="C72" s="3">
        <f t="shared" si="72"/>
        <v>-42121877.539999999</v>
      </c>
      <c r="D72" s="3">
        <f t="shared" si="72"/>
        <v>33514371747.259995</v>
      </c>
      <c r="E72" s="3">
        <f t="shared" si="72"/>
        <v>111757511.77999999</v>
      </c>
      <c r="F72" s="3">
        <f t="shared" si="72"/>
        <v>409764.97999999998</v>
      </c>
      <c r="G72" s="3">
        <f t="shared" si="72"/>
        <v>33402204470.499996</v>
      </c>
      <c r="H72" s="1">
        <f t="shared" si="72"/>
        <v>12107525154.489994</v>
      </c>
      <c r="I72" s="1">
        <f t="shared" si="72"/>
        <v>1735734557.9200001</v>
      </c>
      <c r="J72" s="1">
        <f t="shared" si="72"/>
        <v>32539117.649999991</v>
      </c>
      <c r="K72" s="1">
        <f t="shared" si="72"/>
        <v>13875798830.06</v>
      </c>
      <c r="L72" s="1">
        <f t="shared" si="72"/>
        <v>15671538205.189999</v>
      </c>
      <c r="M72" s="1">
        <f t="shared" si="72"/>
        <v>143637502.09</v>
      </c>
      <c r="N72" s="1">
        <f t="shared" si="72"/>
        <v>15815175707.280003</v>
      </c>
      <c r="O72" s="1">
        <f t="shared" si="72"/>
        <v>892928278.5400002</v>
      </c>
      <c r="P72" s="1">
        <f t="shared" si="72"/>
        <v>385163760.91000003</v>
      </c>
      <c r="Q72" s="1">
        <f t="shared" si="72"/>
        <v>30969066576.789997</v>
      </c>
      <c r="R72" s="1">
        <f t="shared" si="73" ref="R72:R73">+D72-Q72</f>
        <v>2545305170.4699974</v>
      </c>
      <c r="S72" s="1"/>
      <c r="W72" s="12">
        <f>SUM(W3:W70)</f>
        <v>888435282.55237913</v>
      </c>
      <c r="X72" s="12">
        <f>SUM(X53:X70)</f>
        <v>12475109.679230852</v>
      </c>
      <c r="Y72" s="12"/>
      <c r="Z72" s="12">
        <f t="shared" si="74" ref="Z72:AJ72">SUM(Z3:Z70)</f>
        <v>900910392.2316103</v>
      </c>
      <c r="AA72" s="12">
        <f t="shared" si="74"/>
        <v>331688253.35916793</v>
      </c>
      <c r="AB72" s="12">
        <f t="shared" si="74"/>
        <v>41548263.346046433</v>
      </c>
      <c r="AC72" s="12">
        <f t="shared" si="74"/>
        <v>908379.13784278079</v>
      </c>
      <c r="AD72" s="12">
        <f t="shared" si="74"/>
        <v>399374164.79289877</v>
      </c>
      <c r="AE72" s="12">
        <f t="shared" si="74"/>
        <v>459817144.2150479</v>
      </c>
      <c r="AF72" s="12">
        <f t="shared" si="74"/>
        <v>3104711.4165722453</v>
      </c>
      <c r="AG72" s="12">
        <f t="shared" si="74"/>
        <v>462921855.63162011</v>
      </c>
      <c r="AH72" s="12">
        <f t="shared" si="74"/>
        <v>30914363.676352836</v>
      </c>
      <c r="AI72" s="12">
        <f t="shared" si="74"/>
        <v>32929277.084370688</v>
      </c>
      <c r="AJ72" s="12">
        <f t="shared" si="74"/>
        <v>900910392.2354008</v>
      </c>
    </row>
    <row r="73" spans="18:36" ht="15.75">
      <c r="R73" s="1">
        <f t="shared" si="73"/>
        <v>0</v>
      </c>
      <c r="S73" s="1"/>
      <c r="X73" s="6" t="s">
        <v>38</v>
      </c>
      <c r="Z73" s="12" t="s">
        <v>38</v>
      </c>
      <c r="AA73" s="12"/>
      <c r="AB73" s="12" t="s">
        <v>38</v>
      </c>
      <c r="AC73" s="12"/>
      <c r="AD73" s="12"/>
      <c r="AE73" s="12"/>
      <c r="AF73" s="12"/>
      <c r="AG73" s="12"/>
      <c r="AH73" s="12"/>
      <c r="AI73" s="12"/>
      <c r="AJ73" s="12"/>
    </row>
    <row r="74" spans="24:36" ht="15.75">
      <c r="X74" s="11"/>
      <c r="Y74" s="11"/>
      <c r="Z74" s="11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24:36" ht="15.75">
      <c r="X75" s="11"/>
      <c r="Y75" s="11"/>
      <c r="Z75" s="11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24:36" ht="15.75"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24:36" ht="15.75"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24:36" ht="15.75">
      <c r="X78" s="11"/>
      <c r="Y78" s="11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24:36" ht="15.75">
      <c r="X79" s="11"/>
      <c r="Y79" s="11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24:36" ht="15.75">
      <c r="X80" s="11"/>
      <c r="Y80" s="11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24:36" ht="15.75">
      <c r="X81" s="11"/>
      <c r="Y81" s="11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24:36" ht="15.75">
      <c r="X82" s="11"/>
      <c r="Y82" s="11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24:36" ht="15.75">
      <c r="X83" s="11"/>
      <c r="Y83" s="11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24:36" ht="15.75">
      <c r="X84" s="11"/>
      <c r="Y84" s="11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26:36" ht="15.75"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27:27" ht="15.75">
      <c r="AA86" s="12"/>
    </row>
    <row r="87" spans="26:26" ht="15.75">
      <c r="Z87" s="12"/>
    </row>
  </sheetData>
  <mergeCells count="3">
    <mergeCell ref="B1:D1"/>
    <mergeCell ref="H1:R1"/>
    <mergeCell ref="AA1:AJ1"/>
  </mergeCells>
  <printOptions horizontalCentered="1"/>
  <pageMargins left="0.75" right="0.75" top="2" bottom="1" header="0.75" footer="0.5"/>
  <pageSetup fitToWidth="4" horizontalDpi="1200" verticalDpi="1200" orientation="landscape" scale="50" r:id="rId1"/>
  <headerFooter>
    <oddHeader>&amp;C&amp;"Arial,Bold"
2022 RATE CASE
ONCOR ELECTRIC DELIVERY LLC
WP II-E-1_03 PROPOSED EXPENSE 
FOR THE TEST YEAR ENDING DECEMBER 31, 2021
SPONSOR: D. A. WATSON&amp;R&amp;"Arial,Bold"WP/II-E-1/03 
Page  &amp;P of &amp;N</oddHeader>
  </headerFooter>
  <colBreaks count="2" manualBreakCount="2">
    <brk id="7" max="71" man="1"/>
    <brk id="26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II-E-1_03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