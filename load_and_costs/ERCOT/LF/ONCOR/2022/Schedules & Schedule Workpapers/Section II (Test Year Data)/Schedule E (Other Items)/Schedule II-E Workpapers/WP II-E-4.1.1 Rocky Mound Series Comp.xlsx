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in" ContentType="application/vnd.openxmlformats-officedocument.spreadsheetml.printerSettings"/>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N:\2022 Rate Case\Section II (Test Year Data)\Schedule E (Other Items)\Schedule II-E Workpapers\"/>
    </mc:Choice>
  </mc:AlternateContent>
  <bookViews>
    <workbookView xWindow="0" yWindow="0" windowWidth="28800" windowHeight="12705" activeTab="0"/>
  </bookViews>
  <sheets>
    <sheet name="WP II-E_4.1.1 Rocky Mound" sheetId="1" r:id="rId2"/>
  </sheets>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6" i="1" l="1"/>
</calcChain>
</file>

<file path=xl/sharedStrings.xml><?xml version="1.0" encoding="utf-8"?>
<sst xmlns="http://schemas.openxmlformats.org/spreadsheetml/2006/main" count="33" uniqueCount="33">
  <si>
    <t>Construction Overheads</t>
  </si>
  <si>
    <t>Contractor Expense</t>
  </si>
  <si>
    <t>Employee Expenses other than labor</t>
  </si>
  <si>
    <t>Environmental Permits/DD</t>
  </si>
  <si>
    <t>Grading</t>
  </si>
  <si>
    <t>Ground Surveying</t>
  </si>
  <si>
    <t>Materials &amp; Supplies</t>
  </si>
  <si>
    <t>Professional Svcs External</t>
  </si>
  <si>
    <t>Security Fencing</t>
  </si>
  <si>
    <t>Rocky Mound Reactive Compensation Facilities Project Termination</t>
  </si>
  <si>
    <t>Regulatory Asset Account 1822050 - Rocky Mound Series Compensator</t>
  </si>
  <si>
    <t>The CREZ Reactive Power Study Compensation Study was filed by ERCOT in Docket No. 33672.</t>
  </si>
  <si>
    <t>Study confirmed that the Clear Crossing - Willow Creek CREZ transmission line should be built with 50% series compensation, designed to be installed at Rocky Mound.</t>
  </si>
  <si>
    <t>Following the award of this facility, Oncor undertook sourcing efforts, secured a contractor, and ordered the series capacitors that would be installed at Rocky Mound.</t>
  </si>
  <si>
    <t>Given certain Subsynchronous Oscillation ('SSO") concerns, ERCOT requested that Oncor halt procurement of the Rocky Mound series compensation facilities in 2012. On September 7, 2012, Oncor and ERCOT notified the Public Utility Commission of Texas ("Commission") that the Rocky Mound series compensation would not be placed in-service according to the CREZ schedule to permit additional SSO study. The Commission was then further notified in September 2014, that the project would be on-hold until further notice. Prior to ERCOT's 2012 request that Oncor suspend activities related to the series compensation, Oncor diligently pursued placing these facilities in-service on the Commission's designated timeline. This work included preparing the site, entering into procurement contracts, and conducting engineering planning and design. These activities totaled $1.519M in costs, but avoided approximately $25.8M of additional costs necessary to put these facilities in-service.</t>
  </si>
  <si>
    <t>Docket No. 37902 Update Notifications of CREZ Project Update reflected ERCOT and Oncor believed it was prudent to complete the CREZ Reactive Study prior to installation of the Rocky Mound series capacitors to allow possible changes in the specifications or type of series capacitors to be installed and insure that the proper protection and mitigation measures are in place prior to energization of the series capacitors.  ERCOT believed that a new 2015 in-service date was acceptable.</t>
  </si>
  <si>
    <t>Oncor Transmission capex project 10T63150 cancelled</t>
  </si>
  <si>
    <t>In Docket No. 37902, Oncor was awarded one half of the 50% reactive compensation to be installed on the Clear Crossing - Willow Creek 345 kV CREZ transmission line.  Estimated cost of new facilities was $30 million.  These facilities were to be installed at Oncor's Rocky Mound station location.</t>
  </si>
  <si>
    <t>Docket No. 38517 Application of Oncor to Amend its CCN for the Clear Crossing-Willow Creek CREZ 345 kV Transmission Line</t>
  </si>
  <si>
    <t>This work authorization covers the cost to perform preliminary engineering studies to install a 50% series compensation on the 345 kV CREZ double circuit line from Clear Crossing - Willow Creek (2-1926.9 kcmil ACSS/TW conductors).  Project was planned for service by 12-2-2013.</t>
  </si>
  <si>
    <t>Project description:  CREZ 50% SERIES COMPENSATION #A ON THE CLEAR CROSSING - WILL</t>
  </si>
  <si>
    <t>Joint notifications were filed in Docket Nos. 37902 and 38517 on 9-7-2012, 9-25-2014, and 1-11-2018.</t>
  </si>
  <si>
    <t>Regulatory asset account 1822050 costs for Rocky Mound Reactive Compensation Facilities Project Termination (costs transferred from cancelled capex project 10T63150):</t>
  </si>
  <si>
    <t>Oncor Electric Delivery Company LLC</t>
  </si>
  <si>
    <t>Amortization period in years</t>
  </si>
  <si>
    <t>Page 1 of 1</t>
  </si>
  <si>
    <t>Requested annual amortization</t>
  </si>
  <si>
    <t>Balance at 12-31-2021</t>
  </si>
  <si>
    <t>Account 407 (Sch II-E-4.1 and II-E-4.1.1)</t>
  </si>
  <si>
    <t>WP II-E-4.1.1 Rocky Mound Series Comp</t>
  </si>
  <si>
    <t>2022 Rate Case</t>
  </si>
  <si>
    <t>For Test Year Ending December 31, 2021</t>
  </si>
  <si>
    <t>Sponsor:  W. Alan Ledbetter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</si>
</sst>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43" formatCode="_(* #,##0.00_);_(* \(#,##0.00\);_(* &quot;-&quot;??_);_(@_)"/>
    <numFmt numFmtId="164" formatCode="_(* #,##0_);_(* \(#,##0\);_(* &quot;-&quot;??_);_(@_)"/>
  </numFmts>
  <fonts count="4">
    <font>
      <sz val="11"/>
      <color theme="1"/>
      <name val="Calibri"/>
      <family val="2"/>
      <scheme val="minor"/>
    </font>
    <font>
      <sz val="10"/>
      <color theme="1"/>
      <name val="Arial"/>
      <family val="2"/>
    </font>
    <font>
      <u val="single"/>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0" fillId="0" borderId="0" applyFont="0" applyFill="0" applyBorder="0" applyAlignment="0" applyProtection="0"/>
    <xf numFmtId="42" fontId="1" fillId="0" borderId="0" applyFont="0" applyFill="0" applyBorder="0" applyAlignment="0" applyProtection="0"/>
    <xf numFmtId="43" fontId="0" fillId="0" borderId="0" applyFont="0" applyFill="0" applyBorder="0" applyAlignment="0" applyProtection="0"/>
    <xf numFmtId="41" fontId="1" fillId="0" borderId="0" applyFont="0" applyFill="0" applyBorder="0" applyAlignment="0" applyProtection="0"/>
  </cellStyleXfs>
  <cellXfs count="11">
    <xf numFmtId="0" fontId="0" fillId="0" borderId="0" xfId="0"/>
    <xf numFmtId="44" fontId="0" fillId="0" borderId="0" xfId="16" applyFont="1"/>
    <xf numFmtId="43" fontId="0" fillId="0" borderId="0" xfId="18" applyFont="1"/>
    <xf numFmtId="43" fontId="0" fillId="0" borderId="1" xfId="18" applyFont="1" applyBorder="1"/>
    <xf numFmtId="0" fontId="2" fillId="0" borderId="0" xfId="0" applyFont="1"/>
    <xf numFmtId="0" fontId="0" fillId="0" borderId="0" xfId="0" applyAlignment="1">
      <alignment horizontal="left" indent="1"/>
    </xf>
    <xf numFmtId="0" fontId="0" fillId="0" borderId="0" xfId="0" applyAlignment="1">
      <alignment horizontal="left" indent="2"/>
    </xf>
    <xf numFmtId="164" fontId="0" fillId="0" borderId="0" xfId="18" applyNumberFormat="1" applyFont="1" applyFill="1" applyBorder="1"/>
    <xf numFmtId="0" fontId="0" fillId="0" borderId="0" xfId="0" applyAlignment="1">
      <alignment wrapText="1"/>
    </xf>
    <xf numFmtId="0" fontId="3" fillId="0" borderId="0" xfId="0" applyFont="1"/>
    <xf numFmtId="0" fontId="3" fillId="0" borderId="0" xfId="0" applyFon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calcChain" Target="calcChain.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codeName="Sheet1">
    <pageSetUpPr fitToPage="1"/>
  </sheetPr>
  <dimension ref="A1:G40"/>
  <sheetViews>
    <sheetView tabSelected="1" workbookViewId="0" topLeftCell="A1">
      <selection pane="topLeft" activeCell="H11" sqref="H11"/>
    </sheetView>
  </sheetViews>
  <sheetFormatPr defaultRowHeight="15"/>
  <cols>
    <col min="1" max="1" width="34.1428571428571" customWidth="1"/>
    <col min="2" max="2" width="14.8571428571429" customWidth="1"/>
  </cols>
  <sheetData>
    <row r="1" spans="1:7" s="9" customFormat="1" ht="15">
      <c r="A1" s="9" t="s">
        <v>30</v>
      </c>
      <c r="G1" s="10" t="s">
        <v>29</v>
      </c>
    </row>
    <row r="2" spans="1:7" s="9" customFormat="1" ht="15">
      <c r="A2" s="9" t="s">
        <v>23</v>
      </c>
      <c r="G2" s="10" t="s">
        <v>25</v>
      </c>
    </row>
    <row r="3" spans="1:1" s="9" customFormat="1" ht="15">
      <c r="A3" s="9" t="s">
        <v>10</v>
      </c>
    </row>
    <row r="4" spans="1:1" s="9" customFormat="1" ht="15">
      <c r="A4" s="9" t="s">
        <v>9</v>
      </c>
    </row>
    <row r="5" spans="1:1" s="9" customFormat="1" ht="15">
      <c r="A5" s="9" t="s">
        <v>31</v>
      </c>
    </row>
    <row r="6" spans="1:1" s="9" customFormat="1" ht="15">
      <c r="A6" s="9" t="s">
        <v>32</v>
      </c>
    </row>
    <row r="7" s="9" customFormat="1" ht="15"/>
    <row r="8" s="9" customFormat="1" ht="15"/>
    <row r="9" s="9" customFormat="1" ht="15"/>
    <row r="10" s="9" customFormat="1" ht="15"/>
    <row r="11" s="9" customFormat="1" ht="15"/>
    <row r="13" spans="1:6" ht="29.45" customHeight="1">
      <c r="A13" s="8" t="s">
        <v>22</v>
      </c>
      <c r="B13" s="8"/>
      <c r="C13" s="8"/>
      <c r="D13" s="8"/>
      <c r="E13" s="8"/>
      <c r="F13" s="8"/>
    </row>
    <row r="14" spans="1:2" ht="15">
      <c r="A14" s="5" t="s">
        <v>0</v>
      </c>
      <c r="B14" s="2">
        <v>114043.11</v>
      </c>
    </row>
    <row r="15" spans="1:2" ht="15">
      <c r="A15" s="5" t="s">
        <v>1</v>
      </c>
      <c r="B15" s="2">
        <v>135289.88000000001</v>
      </c>
    </row>
    <row r="16" spans="1:2" ht="15">
      <c r="A16" s="5" t="s">
        <v>2</v>
      </c>
      <c r="B16" s="2">
        <v>28660.109999999993</v>
      </c>
    </row>
    <row r="17" spans="1:2" ht="15">
      <c r="A17" s="5" t="s">
        <v>3</v>
      </c>
      <c r="B17" s="2">
        <v>325</v>
      </c>
    </row>
    <row r="18" spans="1:2" ht="15">
      <c r="A18" s="5" t="s">
        <v>4</v>
      </c>
      <c r="B18" s="2">
        <v>69400.070000000007</v>
      </c>
    </row>
    <row r="19" spans="1:2" ht="15">
      <c r="A19" s="5" t="s">
        <v>5</v>
      </c>
      <c r="B19" s="2">
        <v>31704.459999999999</v>
      </c>
    </row>
    <row r="20" spans="1:2" ht="15">
      <c r="A20" s="5" t="s">
        <v>6</v>
      </c>
      <c r="B20" s="2">
        <v>1376.9699999999998</v>
      </c>
    </row>
    <row r="21" spans="1:2" ht="15">
      <c r="A21" s="5" t="s">
        <v>7</v>
      </c>
      <c r="B21" s="2">
        <v>1109563.1200000001</v>
      </c>
    </row>
    <row r="22" spans="1:2" ht="15">
      <c r="A22" s="5" t="s">
        <v>8</v>
      </c>
      <c r="B22" s="3">
        <v>28535</v>
      </c>
    </row>
    <row r="23" spans="1:2" ht="15">
      <c r="A23" s="6" t="s">
        <v>27</v>
      </c>
      <c r="B23" s="1">
        <f>SUM(B14:B22)</f>
        <v>1518897.7200000002</v>
      </c>
    </row>
    <row r="25" spans="1:2" ht="15">
      <c r="A25" s="5" t="s">
        <v>24</v>
      </c>
      <c r="B25" s="7">
        <v>5</v>
      </c>
    </row>
    <row r="26" spans="1:3" ht="15">
      <c r="A26" s="5" t="s">
        <v>26</v>
      </c>
      <c r="B26" s="1">
        <f>ROUND(B23/B25,2)</f>
        <v>303779.53999999998</v>
      </c>
      <c r="C26" t="s">
        <v>28</v>
      </c>
    </row>
    <row r="28" spans="1:1" ht="15">
      <c r="A28" t="s">
        <v>11</v>
      </c>
    </row>
    <row r="29" spans="1:6" ht="29.1" customHeight="1">
      <c r="A29" s="8" t="s">
        <v>12</v>
      </c>
      <c r="B29" s="8"/>
      <c r="C29" s="8"/>
      <c r="D29" s="8"/>
      <c r="E29" s="8"/>
      <c r="F29" s="8"/>
    </row>
    <row r="30" spans="1:6" ht="58.5" customHeight="1">
      <c r="A30" s="8" t="s">
        <v>17</v>
      </c>
      <c r="B30" s="8"/>
      <c r="C30" s="8"/>
      <c r="D30" s="8"/>
      <c r="E30" s="8"/>
      <c r="F30" s="8"/>
    </row>
    <row r="31" spans="1:6" ht="29.1" customHeight="1">
      <c r="A31" s="8" t="s">
        <v>13</v>
      </c>
      <c r="B31" s="8"/>
      <c r="C31" s="8"/>
      <c r="D31" s="8"/>
      <c r="E31" s="8"/>
      <c r="F31" s="8"/>
    </row>
    <row r="32" spans="1:6" ht="29.1" customHeight="1">
      <c r="A32" s="8" t="s">
        <v>21</v>
      </c>
      <c r="B32" s="8"/>
      <c r="C32" s="8"/>
      <c r="D32" s="8"/>
      <c r="E32" s="8"/>
      <c r="F32" s="8"/>
    </row>
    <row r="33" spans="1:6" ht="77.1" customHeight="1">
      <c r="A33" s="8" t="s">
        <v>15</v>
      </c>
      <c r="B33" s="8"/>
      <c r="C33" s="8"/>
      <c r="D33" s="8"/>
      <c r="E33" s="8"/>
      <c r="F33" s="8"/>
    </row>
    <row r="34" spans="1:6" ht="163.5" customHeight="1">
      <c r="A34" s="8" t="s">
        <v>14</v>
      </c>
      <c r="B34" s="8"/>
      <c r="C34" s="8"/>
      <c r="D34" s="8"/>
      <c r="E34" s="8"/>
      <c r="F34" s="8"/>
    </row>
    <row r="36" spans="1:6" ht="29.1" customHeight="1">
      <c r="A36" s="8" t="s">
        <v>18</v>
      </c>
      <c r="B36" s="8"/>
      <c r="C36" s="8"/>
      <c r="D36" s="8"/>
      <c r="E36" s="8"/>
      <c r="F36" s="8"/>
    </row>
    <row r="38" spans="1:1" ht="15">
      <c r="A38" s="4" t="s">
        <v>16</v>
      </c>
    </row>
    <row r="39" spans="1:1" ht="15">
      <c r="A39" t="s">
        <v>20</v>
      </c>
    </row>
    <row r="40" spans="1:6" ht="44.1" customHeight="1">
      <c r="A40" s="8" t="s">
        <v>19</v>
      </c>
      <c r="B40" s="8"/>
      <c r="C40" s="8"/>
      <c r="D40" s="8"/>
      <c r="E40" s="8"/>
      <c r="F40" s="8"/>
    </row>
  </sheetData>
  <mergeCells count="9">
    <mergeCell ref="A13:F13"/>
    <mergeCell ref="A36:F36"/>
    <mergeCell ref="A40:F40"/>
    <mergeCell ref="A30:F30"/>
    <mergeCell ref="A31:F31"/>
    <mergeCell ref="A29:F29"/>
    <mergeCell ref="A33:F33"/>
    <mergeCell ref="A34:F34"/>
    <mergeCell ref="A32:F32"/>
  </mergeCells>
  <printOptions horizontalCentered="1"/>
  <pageMargins left="1.5" right="0.5" top="0.5" bottom="0.5" header="0.3" footer="0.3"/>
  <pageSetup orientation="portrait" scale="78" r:id="rId1"/>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ScaleCrop>false</ScaleCrop>
  <HeadingPairs>
    <vt:vector size="2" baseType="variant">
      <vt:variant>
        <vt:lpstr>Worksheets</vt:lpstr>
      </vt:variant>
      <vt:variant>
        <vt:i4>1</vt:i4>
      </vt:variant>
    </vt:vector>
  </HeadingPairs>
  <TitlesOfParts>
    <vt:vector size="1" baseType="lpstr">
      <vt:lpstr>WP II-E_4.1.1 Rocky Mound</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