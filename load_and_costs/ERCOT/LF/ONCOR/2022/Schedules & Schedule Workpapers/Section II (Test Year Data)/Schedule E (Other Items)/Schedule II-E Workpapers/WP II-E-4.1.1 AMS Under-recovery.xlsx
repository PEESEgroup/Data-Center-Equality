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N:\2022 Rate Case\Section II (Test Year Data)\Schedule E (Other Items)\Schedule II-E Workpapers\"/>
    </mc:Choice>
  </mc:AlternateContent>
  <bookViews>
    <workbookView xWindow="0" yWindow="0" windowWidth="28800" windowHeight="12705" activeTab="0"/>
  </bookViews>
  <sheets>
    <sheet name="WP II-E-4.1.1 AMS under-rec" sheetId="1" r:id="rId2"/>
  </sheets>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6" i="1" l="1"/>
</calcChain>
</file>

<file path=xl/sharedStrings.xml><?xml version="1.0" encoding="utf-8"?>
<sst xmlns="http://schemas.openxmlformats.org/spreadsheetml/2006/main" count="28" uniqueCount="27">
  <si>
    <t>Oncor Electric Delivery Company LLC</t>
  </si>
  <si>
    <t>Regulatory Asset Account 1824200 AMS Under-recovery</t>
  </si>
  <si>
    <t>Balance approved in Docket No. 46957</t>
  </si>
  <si>
    <t>Balance approved in Docket No. 49721</t>
  </si>
  <si>
    <t>Balance at 12-31-2021</t>
  </si>
  <si>
    <t>Docket No. 46957 base rates effective 11-27-2017</t>
  </si>
  <si>
    <t>11-27-2017 through 12-31-2017</t>
  </si>
  <si>
    <t>Increase in amortization from Docket No. 46957 base-rate recovery</t>
  </si>
  <si>
    <t>1. Oncor's application to reconcile its AMS costs from January 1, through November 26, 2017 is approved to the extent provided in this Order. 2. Oncor must add the approved under-recovered $6.384 million of AMS costs that Oncor incurred from January 1, 2017 through November 26, 2017 to Oncor's existing AMS under-recovered regulatory asset approved by the Commission in Docket No. 46957, which reflects the differences between the AMS surcharges billed and the net revenue requirements based on the actual expenses and net investment, and must recover that additional under-recovered amount in future base rates. 3. Oncor must record the costs of this reconciliation as a regulatory asset, and those costs must be reviewed in Oncor's next base-rate case.</t>
  </si>
  <si>
    <t>Ordering Paragraphs from Order:</t>
  </si>
  <si>
    <t>11. Oncor's regulatory-asset balances shall be amortized over 10 years as shown below, beginning on November 27, 2017:</t>
  </si>
  <si>
    <t xml:space="preserve">AMS: Balance — $204,757,130 Annual Amortization — $20,475,713 </t>
  </si>
  <si>
    <t>12. If Oncor recovers more than its approved balance of AMS regulatory asset, Oncor shall refund the over-recovered amount.</t>
  </si>
  <si>
    <t>Docket No. 46957 Application of Oncor for Authority to Change Rates (2017 base rate case)</t>
  </si>
  <si>
    <t>Docket No. 49721 Reconciliation of 2017 AMS Costs and Final Determination of Net Operating Cost Savings from AMS Deployment</t>
  </si>
  <si>
    <t>Page 1 of 1</t>
  </si>
  <si>
    <t>Amortization by year (AMS under-recovery asset was approved with a 10-year amortization in Docket No. 46957)</t>
  </si>
  <si>
    <t>AMCRF cancel/rebills 11-27-2017 through 12-31-2021</t>
  </si>
  <si>
    <t>Unamortized balance approved in Docket No. 46957</t>
  </si>
  <si>
    <t>Annual amortization approved in Docket No. 46957 of $20,475,713 reduces billed base rate revenues and the AMS under-recovery reg asset.</t>
  </si>
  <si>
    <t>Sch II-E-4.1 and II-E-4.1.1</t>
  </si>
  <si>
    <t>Annual amortization - five-year recovery requested in this docket</t>
  </si>
  <si>
    <t>WP/II-E-4.1.1 AMS Under-recovery reg asset</t>
  </si>
  <si>
    <t>2022 Rate Case</t>
  </si>
  <si>
    <t>For Test Year Ending December 31, 2021</t>
  </si>
  <si>
    <t>Sponsor:  W. Alan Ledbetter</t>
  </si>
  <si>
    <t>Requested annual amortization over five-years will reduce billed base rate revenues and the AMS under-recovery reg asset.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</si>
</sst>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6">
    <font>
      <sz val="11"/>
      <color theme="1"/>
      <name val="Calibri"/>
      <family val="2"/>
      <scheme val="minor"/>
    </font>
    <font>
      <sz val="10"/>
      <color theme="1"/>
      <name val="Arial"/>
      <family val="2"/>
    </font>
    <font>
      <b/>
      <sz val="11"/>
      <color theme="1"/>
      <name val="Calibri"/>
      <family val="2"/>
      <scheme val="minor"/>
    </font>
    <font>
      <i/>
      <sz val="11"/>
      <color theme="1"/>
      <name val="Calibri"/>
      <family val="2"/>
      <scheme val="minor"/>
    </font>
    <font>
      <sz val="10"/>
      <name val="Arial"/>
      <family val="2"/>
    </font>
    <font>
      <b/>
      <sz val="10"/>
      <name val="Arial"/>
      <family val="2"/>
    </font>
  </fonts>
  <fills count="2">
    <fill>
      <patternFill patternType="none"/>
    </fill>
    <fill>
      <patternFill patternType="gray125"/>
    </fill>
  </fills>
  <borders count="2">
    <border>
      <left/>
      <right/>
      <top/>
      <bottom/>
      <diagonal/>
    </border>
    <border>
      <left/>
      <right/>
      <top/>
      <bottom style="thin">
        <color auto="1"/>
      </bottom>
    </border>
  </borders>
  <cellStyleXfs count="2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0"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4" fillId="0" borderId="0">
      <alignment/>
      <protection/>
    </xf>
  </cellStyleXfs>
  <cellXfs count="10">
    <xf numFmtId="0" fontId="0" fillId="0" borderId="0" xfId="0"/>
    <xf numFmtId="44" fontId="0" fillId="0" borderId="1" xfId="16" applyFont="1" applyFill="1" applyBorder="1"/>
    <xf numFmtId="0" fontId="0" fillId="0" borderId="0" xfId="0" applyFill="1"/>
    <xf numFmtId="0" fontId="2" fillId="0" borderId="0" xfId="0" applyFont="1" applyFill="1"/>
    <xf numFmtId="44" fontId="0" fillId="0" borderId="0" xfId="16" applyFont="1" applyFill="1"/>
    <xf numFmtId="0" fontId="0" fillId="0" borderId="0" xfId="0" applyFill="1" applyAlignment="1">
      <alignment horizontal="left" indent="1"/>
    </xf>
    <xf numFmtId="44" fontId="0" fillId="0" borderId="0" xfId="0" applyNumberFormat="1" applyFill="1"/>
    <xf numFmtId="0" fontId="3" fillId="0" borderId="0" xfId="0" applyFont="1" applyFill="1"/>
    <xf numFmtId="0" fontId="0" fillId="0" borderId="0" xfId="0" applyFill="1" applyAlignment="1">
      <alignment wrapText="1"/>
    </xf>
    <xf numFmtId="0" fontId="5" fillId="0" borderId="0" xfId="20" applyFont="1" applyFill="1" applyAlignment="1">
      <alignment horizontal="right"/>
      <protection/>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codeName="Sheet1">
    <pageSetUpPr fitToPage="1"/>
  </sheetPr>
  <dimension ref="A1:K38"/>
  <sheetViews>
    <sheetView tabSelected="1" workbookViewId="0" topLeftCell="A1">
      <selection pane="topLeft" activeCell="A1" sqref="A1:G6"/>
    </sheetView>
  </sheetViews>
  <sheetFormatPr defaultRowHeight="15"/>
  <cols>
    <col min="1" max="1" width="47.8571428571429" style="2" bestFit="1" customWidth="1"/>
    <col min="2" max="2" width="17.1428571428571" style="2" customWidth="1"/>
    <col min="3" max="3" width="16.7142857142857" style="2" customWidth="1"/>
    <col min="4" max="10" width="9.14285714285714" style="2"/>
    <col min="11" max="11" width="15.2857142857143" style="2" bestFit="1" customWidth="1"/>
    <col min="12" max="16384" width="9.14285714285714" style="2"/>
  </cols>
  <sheetData>
    <row r="1" spans="1:7" ht="15">
      <c r="A1" s="3" t="s">
        <v>23</v>
      </c>
      <c r="B1" s="3"/>
      <c r="C1" s="3"/>
      <c r="D1" s="3"/>
      <c r="E1" s="3"/>
      <c r="F1" s="3"/>
      <c r="G1" s="9" t="s">
        <v>22</v>
      </c>
    </row>
    <row r="2" spans="1:7" ht="15">
      <c r="A2" s="3" t="s">
        <v>0</v>
      </c>
      <c r="B2" s="3"/>
      <c r="C2" s="3"/>
      <c r="D2" s="3"/>
      <c r="E2" s="3"/>
      <c r="F2" s="3"/>
      <c r="G2" s="9" t="s">
        <v>15</v>
      </c>
    </row>
    <row r="3" spans="1:7" ht="15">
      <c r="A3" s="3" t="s">
        <v>1</v>
      </c>
      <c r="B3" s="3"/>
      <c r="C3" s="3"/>
      <c r="D3" s="3"/>
      <c r="E3" s="3"/>
      <c r="F3" s="3"/>
      <c r="G3" s="3"/>
    </row>
    <row r="4" spans="1:7" ht="15">
      <c r="A4" s="3" t="s">
        <v>24</v>
      </c>
      <c r="B4" s="3"/>
      <c r="C4" s="3"/>
      <c r="D4" s="3"/>
      <c r="E4" s="3"/>
      <c r="F4" s="3"/>
      <c r="G4" s="3"/>
    </row>
    <row r="5" spans="1:7" ht="15">
      <c r="A5" s="3" t="s">
        <v>25</v>
      </c>
      <c r="B5" s="3"/>
      <c r="C5" s="3"/>
      <c r="D5" s="3"/>
      <c r="E5" s="3"/>
      <c r="F5" s="3"/>
      <c r="G5" s="3"/>
    </row>
    <row r="6" spans="1:7" ht="15">
      <c r="A6" s="3"/>
      <c r="B6" s="3"/>
      <c r="C6" s="3"/>
      <c r="D6" s="3"/>
      <c r="E6" s="3"/>
      <c r="F6" s="3"/>
      <c r="G6" s="3"/>
    </row>
    <row r="7" spans="1:3" ht="15">
      <c r="A7" s="2" t="s">
        <v>2</v>
      </c>
      <c r="B7" s="4">
        <v>204757130.59999999</v>
      </c>
      <c r="C7" s="4"/>
    </row>
    <row r="8" spans="2:3" ht="15">
      <c r="B8" s="4"/>
      <c r="C8" s="4"/>
    </row>
    <row r="9" spans="1:3" ht="15">
      <c r="A9" s="2" t="s">
        <v>16</v>
      </c>
      <c r="B9" s="4"/>
      <c r="C9" s="4"/>
    </row>
    <row r="10" spans="1:3" ht="15">
      <c r="A10" s="2" t="s">
        <v>19</v>
      </c>
      <c r="B10" s="4"/>
      <c r="C10" s="4"/>
    </row>
    <row r="11" spans="1:3" ht="15">
      <c r="A11" s="5" t="s">
        <v>6</v>
      </c>
      <c r="B11" s="4">
        <v>-1933817.9399999999</v>
      </c>
      <c r="C11" s="4" t="s">
        <v>5</v>
      </c>
    </row>
    <row r="12" spans="1:3" ht="15">
      <c r="A12" s="5">
        <v>2018</v>
      </c>
      <c r="B12" s="4">
        <f>-(1706309.42*11)-1706309.38</f>
        <v>-20475712.999999996</v>
      </c>
      <c r="C12" s="4"/>
    </row>
    <row r="13" spans="1:3" ht="15">
      <c r="A13" s="5">
        <v>2019</v>
      </c>
      <c r="B13" s="4">
        <f>B12</f>
        <v>-20475712.999999996</v>
      </c>
      <c r="C13" s="4"/>
    </row>
    <row r="14" spans="1:11" ht="15">
      <c r="A14" s="5">
        <v>2020</v>
      </c>
      <c r="B14" s="4">
        <f t="shared" si="0" ref="B14">B13</f>
        <v>-20475712.999999996</v>
      </c>
      <c r="C14" s="4"/>
      <c r="K14" s="6"/>
    </row>
    <row r="15" spans="1:2" ht="15">
      <c r="A15" s="5">
        <v>2021</v>
      </c>
      <c r="B15" s="1">
        <f>B14</f>
        <v>-20475712.999999996</v>
      </c>
    </row>
    <row r="16" spans="1:3" ht="15">
      <c r="A16" s="5" t="s">
        <v>18</v>
      </c>
      <c r="B16" s="4"/>
      <c r="C16" s="4">
        <f>SUM(B7:B15)</f>
        <v>120920460.66</v>
      </c>
    </row>
    <row r="17" spans="2:3" ht="15">
      <c r="B17" s="4"/>
      <c r="C17" s="4"/>
    </row>
    <row r="18" spans="1:3" ht="15">
      <c r="A18" s="2" t="s">
        <v>3</v>
      </c>
      <c r="B18" s="4"/>
      <c r="C18" s="4">
        <v>6384000</v>
      </c>
    </row>
    <row r="19" spans="1:3" ht="15">
      <c r="A19" s="2" t="s">
        <v>17</v>
      </c>
      <c r="B19" s="4"/>
      <c r="C19" s="1">
        <v>-4669.2799999999997</v>
      </c>
    </row>
    <row r="20" spans="2:3" ht="15">
      <c r="B20" s="4"/>
      <c r="C20" s="4"/>
    </row>
    <row r="21" spans="1:3" ht="15">
      <c r="A21" s="2" t="s">
        <v>4</v>
      </c>
      <c r="B21" s="4"/>
      <c r="C21" s="4">
        <f>SUM(C16:C20)</f>
        <v>127299791.38</v>
      </c>
    </row>
    <row r="22" spans="2:3" ht="15">
      <c r="B22" s="4"/>
      <c r="C22" s="4"/>
    </row>
    <row r="24" spans="1:4" ht="15">
      <c r="A24" s="2" t="s">
        <v>21</v>
      </c>
      <c r="C24" s="6">
        <f>C21/5</f>
        <v>25459958.276000001</v>
      </c>
      <c r="D24" s="2" t="s">
        <v>20</v>
      </c>
    </row>
    <row r="26" spans="1:3" ht="15">
      <c r="A26" s="2" t="s">
        <v>7</v>
      </c>
      <c r="C26" s="6">
        <f>C24+B15</f>
        <v>4984245.2760000043</v>
      </c>
    </row>
    <row r="27" spans="3:3" ht="15">
      <c r="C27" s="6"/>
    </row>
    <row r="28" spans="1:3" ht="15">
      <c r="A28" s="2" t="s">
        <v>26</v>
      </c>
      <c r="C28" s="6"/>
    </row>
    <row r="30" spans="1:1" s="7" customFormat="1" ht="15">
      <c r="A30" s="7" t="s">
        <v>13</v>
      </c>
    </row>
    <row r="31" spans="1:1" ht="15">
      <c r="A31" s="2" t="s">
        <v>9</v>
      </c>
    </row>
    <row r="32" spans="1:1" ht="15">
      <c r="A32" s="2" t="s">
        <v>10</v>
      </c>
    </row>
    <row r="33" spans="1:1" ht="15">
      <c r="A33" s="2" t="s">
        <v>11</v>
      </c>
    </row>
    <row r="34" spans="1:1" ht="15">
      <c r="A34" s="2" t="s">
        <v>12</v>
      </c>
    </row>
    <row r="36" spans="1:1" s="7" customFormat="1" ht="15">
      <c r="A36" s="7" t="s">
        <v>14</v>
      </c>
    </row>
    <row r="37" spans="1:1" ht="15">
      <c r="A37" s="2" t="s">
        <v>9</v>
      </c>
    </row>
    <row r="38" spans="1:7" ht="87.6" customHeight="1">
      <c r="A38" s="8" t="s">
        <v>8</v>
      </c>
      <c r="B38" s="8"/>
      <c r="C38" s="8"/>
      <c r="D38" s="8"/>
      <c r="E38" s="8"/>
      <c r="F38" s="8"/>
      <c r="G38" s="8"/>
    </row>
  </sheetData>
  <mergeCells count="1">
    <mergeCell ref="A38:G38"/>
  </mergeCells>
  <printOptions horizontalCentered="1"/>
  <pageMargins left="0.5" right="0.5" top="1.5" bottom="0.5" header="0.3" footer="0.3"/>
  <pageSetup orientation="landscape" scale="74" r:id="rId1"/>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vt:i4>
      </vt:variant>
    </vt:vector>
  </HeadingPairs>
  <TitlesOfParts>
    <vt:vector size="1" baseType="lpstr">
      <vt:lpstr>WP II-E-4.1.1 AMS under-rec</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