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8800" windowHeight="12045" activeTab="0"/>
  </bookViews>
  <sheets>
    <sheet name="WP II-E-4.1.1 AMS Cust Ed" sheetId="1" r:id="rId2"/>
  </sheets>
  <definedNames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lj2" hidden="1">{"cap_structure",#N/A,FALSE,"Graph-Mkt Cap";"price",#N/A,FALSE,"Graph-Price";"ebit",#N/A,FALSE,"Graph-EBITDA";"ebitda",#N/A,FALSE,"Graph-EBITDA"}</definedName>
    <definedName name="____g2" hidden="1">{#N/A,"DR",FALSE,"increm pf";#N/A,"MAMSI",FALSE,"increm pf";#N/A,"MAXI",FALSE,"increm pf";#N/A,"PCAM",FALSE,"increm pf";#N/A,"PHSV",FALSE,"increm pf";#N/A,"SIE",FALSE,"increm pf"}</definedName>
    <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h5" hidden="1">{#N/A,"DR",FALSE,"increm pf";#N/A,"MAMSI",FALSE,"increm pf";#N/A,"MAXI",FALSE,"increm pf";#N/A,"PCAM",FALSE,"increm pf";#N/A,"PHSV",FALSE,"increm pf";#N/A,"SIE",FALSE,"increm pf"}</definedName>
    <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_jjj2" hidden="1">{"summary1",#N/A,TRUE,"Comps";"summary2",#N/A,TRUE,"Comps";"summary3",#N/A,TRUE,"Comps"}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sdf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_xlfn.RTD" hidden="1">#NAME?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lj2" hidden="1">{"cap_structure",#N/A,FALSE,"Graph-Mkt Cap";"price",#N/A,FALSE,"Graph-Price";"ebit",#N/A,FALSE,"Graph-EBITDA";"ebitda",#N/A,FALSE,"Graph-EBITDA"}</definedName>
    <definedName name="___g2" hidden="1">{#N/A,"DR",FALSE,"increm pf";#N/A,"MAMSI",FALSE,"increm pf";#N/A,"MAXI",FALSE,"increm pf";#N/A,"PCAM",FALSE,"increm pf";#N/A,"PHSV",FALSE,"increm pf";#N/A,"SIE",FALSE,"increm pf"}</definedName>
    <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h5" hidden="1">{#N/A,"DR",FALSE,"increm pf";#N/A,"MAMSI",FALSE,"increm pf";#N/A,"MAXI",FALSE,"increm pf";#N/A,"PCAM",FALSE,"increm pf";#N/A,"PHSV",FALSE,"increm pf";#N/A,"SIE",FALSE,"increm pf"}</definedName>
    <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jjj2" hidden="1">{"summary1",#N/A,TRUE,"Comps";"summary2",#N/A,TRUE,"Comps";"summary3",#N/A,TRUE,"Comps"}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df2" hidden="1">{#N/A,#N/A,FALSE,"Calc";#N/A,#N/A,FALSE,"Sensitivity";#N/A,#N/A,FALSE,"LT Earn.Dil.";#N/A,#N/A,FALSE,"Dil. AVP"}</definedName>
    <definedName name="___wrn2" hidden="1">{#N/A,#N/A,FALSE,"Calc";#N/A,#N/A,FALSE,"Sensitivity";#N/A,#N/A,FALSE,"LT Earn.Dil.";#N/A,#N/A,FALSE,"Dil. AVP"}</definedName>
    <definedName name="___xlfn.RTD" hidden="1">#NAME?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lj2" hidden="1">{"cap_structure",#N/A,FALSE,"Graph-Mkt Cap";"price",#N/A,FALSE,"Graph-Price";"ebit",#N/A,FALSE,"Graph-EBITDA";"ebitda",#N/A,FALSE,"Graph-EBITDA"}</definedName>
    <definedName name="__FDS_HYPERLINK_TOGGLE_STATE__" hidden="1">"ON"</definedName>
    <definedName name="__g2" hidden="1">{#N/A,"DR",FALSE,"increm pf";#N/A,"MAMSI",FALSE,"increm pf";#N/A,"MAXI",FALSE,"increm pf";#N/A,"PCAM",FALSE,"increm pf";#N/A,"PHSV",FALSE,"increm pf";#N/A,"SIE",FALSE,"increm pf"}</definedName>
    <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h5" hidden="1">{#N/A,"DR",FALSE,"increm pf";#N/A,"MAMSI",FALSE,"increm pf";#N/A,"MAXI",FALSE,"increm pf";#N/A,"PCAM",FALSE,"increm pf";#N/A,"PHSV",FALSE,"increm pf";#N/A,"SIE",FALSE,"increm pf"}</definedName>
    <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jjj2" hidden="1">{"summary1",#N/A,TRUE,"Comps";"summary2",#N/A,TRUE,"Comps";"summary3",#N/A,TRUE,"Comps"}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sdf2" hidden="1">{#N/A,#N/A,FALSE,"Calc";#N/A,#N/A,FALSE,"Sensitivity";#N/A,#N/A,FALSE,"LT Earn.Dil.";#N/A,#N/A,FALSE,"Dil. AVP"}</definedName>
    <definedName name="__wrn2" hidden="1">{#N/A,#N/A,FALSE,"Calc";#N/A,#N/A,FALSE,"Sensitivity";#N/A,#N/A,FALSE,"LT Earn.Dil.";#N/A,#N/A,FALSE,"Dil. AVP"}</definedName>
    <definedName name="__xlfn.BAHTTEXT" hidden="1">#NAME?</definedName>
    <definedName name="__xlfn.RTD" hidden="1">#NAME?</definedName>
    <definedName name="_12__123Graph_ACHART_3" hidden="1">#REF!</definedName>
    <definedName name="_14__123Graph_BCHART_3" hidden="1">#REF!</definedName>
    <definedName name="_18__123Graph_LBL_ACHART_3" hidden="1">#REF!</definedName>
    <definedName name="_2___123Graph_ACHART_3" hidden="1">#REF!</definedName>
    <definedName name="_21___0__123Grap" hidden="1">#REF!</definedName>
    <definedName name="_22___0__123Grap" hidden="1">#REF!</definedName>
    <definedName name="_23_0__123Grap" hidden="1">#REF!</definedName>
    <definedName name="_24_0__123Grap" hidden="1">#REF!</definedName>
    <definedName name="_4___123Graph_BCHART_3" hidden="1">#REF!</definedName>
    <definedName name="_8___123Graph_LBL_ACHART_3" hidden="1">#REF!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bdm.FastTrackBookmark.10_10_2005_10_18_01_AM.edm" hidden="1">#REF!</definedName>
    <definedName name="_bdm.FastTrackBookmark.10_10_2005_10_18_06_AM.edm" hidden="1">#REF!</definedName>
    <definedName name="_dlj2" hidden="1">{"cap_structure",#N/A,FALSE,"Graph-Mkt Cap";"price",#N/A,FALSE,"Graph-Price";"ebit",#N/A,FALSE,"Graph-EBITDA";"ebitda",#N/A,FALSE,"Graph-EBITDA"}</definedName>
    <definedName name="_Fill" hidden="1">#REF!</definedName>
    <definedName name="_g2" hidden="1">{#N/A,"DR",FALSE,"increm pf";#N/A,"MAMSI",FALSE,"increm pf";#N/A,"MAXI",FALSE,"increm pf";#N/A,"PCAM",FALSE,"increm pf";#N/A,"PHSV",FALSE,"increm pf";#N/A,"SIE",FALSE,"increm pf"}</definedName>
    <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h5" hidden="1">{#N/A,"DR",FALSE,"increm pf";#N/A,"MAMSI",FALSE,"increm pf";#N/A,"MAXI",FALSE,"increm pf";#N/A,"PCAM",FALSE,"increm pf";#N/A,"PHSV",FALSE,"increm pf";#N/A,"SIE",FALSE,"increm pf"}</definedName>
    <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jj2" hidden="1">{"summary1",#N/A,TRUE,"Comps";"summary2",#N/A,TRUE,"Comps";"summary3",#N/A,TRUE,"Comps"}</definedName>
    <definedName name="_Key1" hidden="1">#REF!</definedName>
    <definedName name="_Key2" hidden="1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Regression_X" hidden="1">#REF!</definedName>
    <definedName name="_Regression_Y" hidden="1">#REF!</definedName>
    <definedName name="_sdf2" hidden="1">{#N/A,#N/A,FALSE,"Calc";#N/A,#N/A,FALSE,"Sensitivity";#N/A,#N/A,FALSE,"LT Earn.Dil.";#N/A,#N/A,FALSE,"Dil. AVP"}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rn2" hidden="1">{#N/A,#N/A,FALSE,"Calc";#N/A,#N/A,FALSE,"Sensitivity";#N/A,#N/A,FALSE,"LT Earn.Dil.";#N/A,#N/A,FALSE,"Dil. AVP"}</definedName>
    <definedName name="AAA_DOCTOPS" hidden="1">"AAA_SET"</definedName>
    <definedName name="AAA_duser" hidden="1">"OFF"</definedName>
    <definedName name="aaaa" hidden="1">{#N/A,#N/A,TRUE,"financial";#N/A,#N/A,TRUE,"plants"}</definedName>
    <definedName name="aaaaaaaaaaaaaaaaaa" hidden="1">{#N/A,#N/A,FALSE,"Calc";#N/A,#N/A,FALSE,"Sensitivity";#N/A,#N/A,FALSE,"LT Earn.Dil.";#N/A,#N/A,FALSE,"Dil. AVP"}</definedName>
    <definedName name="AAB_Addin5" hidden="1">"AAB_Description for addin 5,Description for addin 5,Description for addin 5,Description for addin 5,Description for addin 5,Description for addin 5"</definedName>
    <definedName name="ab" hidden="1">{#N/A,#N/A,TRUE,"Pro Forma";#N/A,#N/A,TRUE,"PF_Bal";#N/A,#N/A,TRUE,"PF_INC";#N/A,#N/A,TRUE,"CBE";#N/A,#N/A,TRUE,"SWK"}</definedName>
    <definedName name="addg" hidden="1">{#N/A,#N/A,FALSE,"CBE";#N/A,#N/A,FALSE,"SWK"}</definedName>
    <definedName name="ADLJK" hidden="1">{"inputs raw data",#N/A,TRUE,"INPUT"}</definedName>
    <definedName name="adljk2" hidden="1">{"inputs raw data",#N/A,TRUE,"INPUT"}</definedName>
    <definedName name="andy" hidden="1">{#N/A,#N/A,TRUE,"financial";#N/A,#N/A,TRUE,"plants"}</definedName>
    <definedName name="anscount" hidden="1">1</definedName>
    <definedName name="AS2DocOpenMode" hidden="1">"AS2DocumentBrowse"</definedName>
    <definedName name="asad" hidden="1">{"away stand alones",#N/A,FALSE,"Target"}</definedName>
    <definedName name="asdas" hidden="1">{"summary1",#N/A,TRUE,"Comps";"summary2",#N/A,TRUE,"Comps";"summary3",#N/A,TRUE,"Comps"}</definedName>
    <definedName name="asdaw" hidden="1">{"FCB_ALL",#N/A,FALSE,"FCB"}</definedName>
    <definedName name="asdf" hidden="1">{#N/A,#N/A,FALSE,"Calc";#N/A,#N/A,FALSE,"Sensitivity";#N/A,#N/A,FALSE,"LT Earn.Dil.";#N/A,#N/A,FALSE,"Dil. AVP"}</definedName>
    <definedName name="ATA" hidden="1">{#N/A,#N/A,FALSE,"Aging Summary";#N/A,#N/A,FALSE,"Ratio Analysis";#N/A,#N/A,FALSE,"Test 120 Day Accts";#N/A,#N/A,FALSE,"Tickmarks"}</definedName>
    <definedName name="avdd" hidden="1">{#N/A,#N/A,FALSE,"Calc";#N/A,#N/A,FALSE,"Sensitivity";#N/A,#N/A,FALSE,"LT Earn.Dil.";#N/A,#N/A,FALSE,"Dil. AVP"}</definedName>
    <definedName name="BLPH1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nkj" hidden="1">{#N/A,#N/A,FALSE,"output";#N/A,#N/A,FALSE,"contrib";#N/A,#N/A,FALSE,"profile";#N/A,#N/A,FALSE,"comps"}</definedName>
    <definedName name="Cable" hidden="1">{#N/A,#N/A,FALSE,"Operations";#N/A,#N/A,FALSE,"Financials"}</definedName>
    <definedName name="Cable2" hidden="1">{#N/A,#N/A,FALSE,"Operations";#N/A,#N/A,FALSE,"Financials"}</definedName>
    <definedName name="CBWorkbookPriority" hidden="1">-31260691</definedName>
    <definedName name="cc" hidden="1">{#N/A,#N/A,FALSE,"CBE";#N/A,#N/A,FALSE,"SWK"}</definedName>
    <definedName name="confused" hidden="1">{"BS",#N/A,FALSE,"NGC";"PL",#N/A,FALSE,"NGC";"CF",#N/A,FALSE,"NGC"}</definedName>
    <definedName name="cooper2" hidden="1">{#N/A,#N/A,TRUE,"Pro Forma";#N/A,#N/A,TRUE,"PF_Bal";#N/A,#N/A,TRUE,"PF_INC";#N/A,#N/A,TRUE,"CBE";#N/A,#N/A,TRUE,"SWK"}</definedName>
    <definedName name="Cwvu.GREY_ALL." hidden="1">#REF!</definedName>
    <definedName name="Cwvy.GREY_ALL._dcf" hidden="1">#REF!</definedName>
    <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" hidden="1">{"FCB_ALL",#N/A,FALSE,"FCB";"GREY_ALL",#N/A,FALSE,"GREY"}</definedName>
    <definedName name="df" hidden="1">{"comps",#N/A,FALSE,"comps";"notes",#N/A,FALSE,"comps"}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adsfa" hidden="1">{#N/A,#N/A,FALSE,"Calc";#N/A,#N/A,FALSE,"Sensitivity";#N/A,#N/A,FALSE,"LT Earn.Dil.";#N/A,#N/A,FALSE,"Dil. AVP"}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yr" hidden="1">{"hiden",#N/A,FALSE,"14";"hidden",#N/A,FALSE,"16";"hidden",#N/A,FALSE,"18";"hidden",#N/A,FALSE,"20"}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f" hidden="1">{"Application Management",#N/A,FALSE,"Total Costs"}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{"comps",#N/A,FALSE,"comps";"notes",#N/A,FALSE,"comps"}</definedName>
    <definedName name="fdsf" hidden="1">{"general",#N/A,FALSE,"Assumptions"}</definedName>
    <definedName name="fins1" hidden="1">{#N/A,#N/A,FALSE,"Calc";#N/A,#N/A,FALSE,"Sensitivity";#N/A,#N/A,FALSE,"LT Earn.Dil.";#N/A,#N/A,FALSE,"Dil. AVP"}</definedName>
    <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g" hidden="1">{#N/A,"DR",FALSE,"increm pf";#N/A,"MAMSI",FALSE,"increm pf";#N/A,"MAXI",FALSE,"increm pf";#N/A,"PCAM",FALSE,"increm pf";#N/A,"PHSV",FALSE,"increm pf";#N/A,"SIE",FALSE,"increm pf"}</definedName>
    <definedName name="ggf" hidden="1">{"comps",#N/A,FALSE,"comps";"notes",#N/A,FALSE,"comps"}</definedName>
    <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hhsdf" hidden="1">{"up stand alones",#N/A,FALSE,"Acquiror"}</definedName>
    <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ik" hidden="1">{"casespecific",#N/A,FALSE,"Assumptions"}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38961.7261689815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IT" hidden="1">{"equity comps",#N/A,FALSE,"CS Comps";"equity comps",#N/A,FALSE,"PS Comps";"equity comps",#N/A,FALSE,"GIC_Comps";"equity comps",#N/A,FALSE,"GIC2_Comps"}</definedName>
    <definedName name="kol" hidden="1">{"away stand alones",#N/A,FALSE,"Target"}</definedName>
    <definedName name="limcount" hidden="1">1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vsEndTime">41940.5704513889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P" hidden="1">{#N/A,#N/A,FALSE,"Operations";#N/A,#N/A,FALSE,"Financials"}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_xlnm.Print_Area" localSheetId="0">'WP II-E-4.1.1 AMS Cust Ed'!$A$11:$K$207</definedName>
    <definedName name="_xlnm.Print_Titles" localSheetId="0">'WP II-E-4.1.1 AMS Cust Ed'!$11:$11</definedName>
    <definedName name="prout" hidden="1">{"comp1",#N/A,FALSE,"COMPS";"footnotes",#N/A,FALSE,"COMPS"}</definedName>
    <definedName name="qewreqrqwer" hidden="1">{"comp1",#N/A,FALSE,"COMPS";"footnotes",#N/A,FALSE,"COMPS"}</definedName>
    <definedName name="qq" hidden="1">{"equity comps",#N/A,FALSE,"CS Comps";"equity comps",#N/A,FALSE,"PS Comps";"equity comps",#N/A,FALSE,"GIC_Comps";"equity comps",#N/A,FALSE,"GIC2_Comps"}</definedName>
    <definedName name="qqqqqq" hidden="1">{"FCB_ALL",#N/A,FALSE,"FCB"}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rrr" hidden="1">{"comp1",#N/A,FALSE,"COMPS";"footnotes",#N/A,FALSE,"COMPS"}</definedName>
    <definedName name="rty" hidden="1">{#N/A,#N/A,TRUE,"Pro Forma";#N/A,#N/A,TRUE,"PF_Bal";#N/A,#N/A,TRUE,"PF_INC";#N/A,#N/A,TRUE,"CBE";#N/A,#N/A,TRUE,"SWK"}</definedName>
    <definedName name="saaaaaaaaaaaaaaa" hidden="1">{"up stand alones",#N/A,FALSE,"Acquiror"}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PBEXdnldView" hidden="1">"D3F6J5CPI9NGORO9TICK7IUYB"</definedName>
    <definedName name="SAPBEXsysID" hidden="1">"HBP"</definedName>
    <definedName name="Scenarios" hidden="1">{#N/A,"ICF Downside",FALSE,"Inputs";#N/A,"High Inflation",FALSE,"Inputs"}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{#N/A,#N/A,FALSE,"Calc";#N/A,#N/A,FALSE,"Sensitivity";#N/A,#N/A,FALSE,"LT Earn.Dil.";#N/A,#N/A,FALSE,"Dil. AVP"}</definedName>
    <definedName name="sdfsdfsdfsafsdf" hidden="1">{"FCB_ALL",#N/A,FALSE,"FCB"}</definedName>
    <definedName name="sdgdfghfhgfjhgfjhjjjg" hidden="1">{"general",#N/A,FALSE,"Assumptions"}</definedName>
    <definedName name="se" hidden="1">{"consolidated",#N/A,FALSE,"Sheet1";"cms",#N/A,FALSE,"Sheet1";"fse",#N/A,FALSE,"Sheet1"}</definedName>
    <definedName name="sencount" hidden="1">1</definedName>
    <definedName name="sfs" hidden="1">{"comps",#N/A,FALSE,"HANDPACK";"footnotes",#N/A,FALSE,"HANDPACK"}</definedName>
    <definedName name="SPS" hidden="1">{#N/A,#N/A,TRUE,"financial";#N/A,#N/A,TRUE,"plants"}</definedName>
    <definedName name="ss" hidden="1">{#N/A,#N/A,TRUE,"Pro Forma";#N/A,#N/A,TRUE,"PF_Bal";#N/A,#N/A,TRUE,"PF_INC";#N/A,#N/A,TRUE,"CBE";#N/A,#N/A,TRUE,"SWK"}</definedName>
    <definedName name="svfs" hidden="1">{"comps2",#N/A,FALSE,"AERO";"footnotes",#N/A,FALSE,"AERO"}</definedName>
    <definedName name="ththt" hidden="1">{#N/A,"DR",FALSE,"increm pf";#N/A,"MAMSI",FALSE,"increm pf";#N/A,"MAXI",FALSE,"increm pf";#N/A,"PCAM",FALSE,"increm pf";#N/A,"PHSV",FALSE,"increm pf";#N/A,"SIE",FALSE,"increm pf"}</definedName>
    <definedName name="tt" hidden="1">{"away stand alones",#N/A,FALSE,"Target"}</definedName>
    <definedName name="tyu" hidden="1">{"consolidated",#N/A,FALSE,"Sheet1";"cms",#N/A,FALSE,"Sheet1";"fse",#N/A,FALSE,"Sheet1"}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" hidden="1">{"away stand alones",#N/A,FALSE,"Target"}</definedName>
    <definedName name="vsv" hidden="1">{"comp",#N/A,FALSE,"SPEC";"footnotes",#N/A,FALSE,"SPEC"}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here" hidden="1">{"inputs raw data",#N/A,TRUE,"INPUT"}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_.year._.indices." hidden="1">{#N/A,#N/A,FALSE,"20 yrindrefema";#N/A,#N/A,FALSE,"20yrindloema";#N/A,#N/A,FALSE,"20yrindhiema"}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stsl1" hidden="1">{"Help Desk",#N/A,FALSE,"Total Costs";"Server Management",#N/A,FALSE,"Total Costs";"Application Management",#N/A,FALSE,"Total Costs"}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Reports." hidden="1">{"BS",#N/A,FALSE,"NGC";"PL",#N/A,FALSE,"NGC";"CF",#N/A,FALSE,"NGC"}</definedName>
    <definedName name="wrn.All._.Total._.Costsl." hidden="1">{"Help Desk",#N/A,FALSE,"Total Costs";"Server Management",#N/A,FALSE,"Total Costs";"Application Management",#N/A,FALSE,"Total Costs"}</definedName>
    <definedName name="wrn.all._.Total._Costsl2." hidden="1">{"Help Desk",#N/A,FALSE,"Total Costs";"Server Management",#N/A,FALSE,"Total Costs";"Application Management",#N/A,FALSE,"Total Costs"}</definedName>
    <definedName name="wrn.All._.Up." hidden="1">{"All Up",#N/A,FALSE,"Feedstock"}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pplication._.Management._.Total._.Costs." hidden="1">{"Application Management",#N/A,FALSE,"Total Costs"}</definedName>
    <definedName name="wrn.Assumptions." hidden="1">{"Assumptions",#N/A,FALSE,"Assum"}</definedName>
    <definedName name="wrn.away." hidden="1">{"away stand alones",#N/A,FALSE,"Target"}</definedName>
    <definedName name="wrn.BidCo." hidden="1">{#N/A,#N/A,FALSE,"BidCo Assumptions";#N/A,#N/A,FALSE,"Credit Stats";#N/A,#N/A,FALSE,"Bidco Summary";#N/A,#N/A,FALSE,"BIDCO Consolidated"}</definedName>
    <definedName name="wrn.brian." hidden="1">{#N/A,#N/A,FALSE,"output";#N/A,#N/A,FALSE,"contrib";#N/A,#N/A,FALSE,"profile";#N/A,#N/A,FALSE,"comps"}</definedName>
    <definedName name="wrn.Budget." hidden="1">{"Budget",#N/A,FALSE,"Summary"}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_.Only." hidden="1">{"vi1",#N/A,FALSE,"6_30_96";"vi2",#N/A,FALSE,"6_30_96";"vi3",#N/A,FALSE,"6_30_96"}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PB." hidden="1">{#N/A,#N/A,FALSE,"CPB"}</definedName>
    <definedName name="wrn.Credit._.Summary." hidden="1">{#N/A,#N/A,FALSE,"Credit Summary"}</definedName>
    <definedName name="wrn.DCF._.Valuation." hidden="1">{"value box",#N/A,TRUE,"DPL Inc. Fin Statements";"unlevered free cash flows",#N/A,TRUE,"DPL Inc. Fin Statements"}</definedName>
    <definedName name="wrn.Detailed._.Report." hidden="1">{"fullreport",#N/A,FALSE,"DetailRpt"}</definedName>
    <definedName name="wrn.DevRptMatz." hidden="1">{"DevSumm-Matz",#N/A,FALSE,"DevSumm-Matz";"DevSumm-Matz,2",#N/A,FALSE,"DevSumm-Matz";"DevSumm-Matz,3",#N/A,FALSE,"DevSumm-Matz"}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quity._.comps." hidden="1">{"equity comps",#N/A,FALSE,"CS Comps";"equity comps",#N/A,FALSE,"PS Comps";"equity comps",#N/A,FALSE,"GIC_Comps";"equity comps",#N/A,FALSE,"GIC2_Comps"}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edstock." hidden="1">{"Feedstock",#N/A,FALSE,"Feedstock"}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GIS." hidden="1">{#N/A,#N/A,FALSE,"GIS"}</definedName>
    <definedName name="wrn.Help._.Desk._.Total._.Costs." hidden="1">{"Help Desk",#N/A,FALSE,"Total Costs"}</definedName>
    <definedName name="wrn.HNZ." hidden="1">{#N/A,#N/A,FALSE,"HNZ"}</definedName>
    <definedName name="wrn.INDEPS." hidden="1">{"page1",#N/A,FALSE,"TIND_CC1";"page2",#N/A,FALSE,"TIND_CC1";"page3",#N/A,FALSE,"TIND_CC1";"page4",#N/A,FALSE,"TIND_CC1";"page5",#N/A,FALSE,"TIND_CC1"}</definedName>
    <definedName name="wrn.K." hidden="1">{#N/A,#N/A,FALSE,"K"}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_.no._.Notes." hidden="1">{"Without Notes",#N/A,FALSE,"23 Mo Forecast"}</definedName>
    <definedName name="wrn.Monthly._.with._.Notes." hidden="1">{"With Notes",#N/A,FALSE,"23 Mo Forecast"}</definedName>
    <definedName name="wrn.NA." hidden="1">{#N/A,#N/A,FALSE,"NA"}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Paging._.Compco." hidden="1">{"financials",#N/A,TRUE,"6_30_96";"footnotes",#N/A,TRUE,"6_30_96";"valuation",#N/A,TRUE,"6_30_96"}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rint." hidden="1">{"ass",#N/A,FALSE,"Assumptions";#N/A,#N/A,FALSE,"Merg";"sens",#N/A,FALSE,"Assumptions";#N/A,#N/A,FALSE,"Bach";#N/A,#N/A,FALSE,"Kent";#N/A,#N/A,FALSE,"Bell"}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{"PA1",#N/A,TRUE,"BORDMW";"pa2",#N/A,TRUE,"BORDMW";"PA3",#N/A,TRUE,"BORDMW";"PA4",#N/A,TRUE,"BORDMW"}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Report1." hidden="1">{#N/A,#N/A,FALSE,"Operations";#N/A,#N/A,FALSE,"Financials"}</definedName>
    <definedName name="wrn.sales." hidden="1">{"sales",#N/A,FALSE,"Sales";"sales existing",#N/A,FALSE,"Sales";"sales rd1",#N/A,FALSE,"Sales";"sales rd2",#N/A,FALSE,"Sales"}</definedName>
    <definedName name="wrn.Scenarios." hidden="1">{#N/A,"ICF Downside",FALSE,"Inputs";#N/A,"High Inflation",FALSE,"Inputs"}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rver._.Management._.Total._.Costs." hidden="1">{"Server Management",#N/A,FALSE,"Total Costs"}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{#N/A,#N/A,FALSE,"Summary3";#N/A,#N/A,FALSE,"Summary1";#N/A,#N/A,FALSE,"Summary2";#N/A,#N/A,FALSE,"Sensitivities1";#N/A,#N/A,FALSE,"Sensitivities2"}</definedName>
    <definedName name="wrn.Summary._.Report." hidden="1">{"summaryall",#N/A,FALSE,"SumryRpt"}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2.Document" hidden="1">{"consolidated",#N/A,FALSE,"Sheet1";"cms",#N/A,FALSE,"Sheet1";"fse",#N/A,FALSE,"Sheet1"}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hidden="1">{#N/A,#N/A,FALSE,"Aging Summary";#N/A,#N/A,FALSE,"Ratio Analysis";#N/A,#N/A,FALSE,"Test 120 Day Accts";#N/A,#N/A,FALSE,"Tickmarks"}</definedName>
    <definedName name="Z_2891AF67_639B_11D2_AA4E_AB73DC59AB4D_.wvu.PrintArea" hidden="1">#REF!</definedName>
    <definedName name="Z_2891AF68_639B_11D2_AA4E_AB73DC59AB4D_.wvu.PrintArea" hidden="1">#REF!</definedName>
    <definedName name="Z_D5258982_C814_11D7_9311_00065B14ACBA_.wvu.FilterData" hidden="1">#REF!</definedName>
    <definedName name="Z_D5258982_C814_11D7_9311_00065B14ACBA_.wvu.PrintArea" hidden="1">#REF!</definedName>
    <definedName name="Z_D5258982_C814_11D7_9311_00065B14ACBA_.wvu.PrintTitles" hidden="1">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5" i="1" l="1"/>
</calcChain>
</file>

<file path=xl/sharedStrings.xml><?xml version="1.0" encoding="utf-8"?>
<sst xmlns="http://schemas.openxmlformats.org/spreadsheetml/2006/main" count="34" uniqueCount="34">
  <si>
    <t>Current Month</t>
  </si>
  <si>
    <t>Beg/End Bal Month</t>
  </si>
  <si>
    <t xml:space="preserve"> Beginning Bal</t>
  </si>
  <si>
    <t>Prior month amortization</t>
  </si>
  <si>
    <t>Activity</t>
  </si>
  <si>
    <t>Ending Balance</t>
  </si>
  <si>
    <t>Amortization Periods</t>
  </si>
  <si>
    <t>Current Month Amortization</t>
  </si>
  <si>
    <t>26 days of amort based on prior rate case amortization of 11 years</t>
  </si>
  <si>
    <t>4 days of amortization based on Dkt 46957 amort of 5 years</t>
  </si>
  <si>
    <t>11/27/2017 - 11/30/2017</t>
  </si>
  <si>
    <t>November 26, 2017 Unamortized Bal</t>
  </si>
  <si>
    <t>Monthly Amortization</t>
  </si>
  <si>
    <t>months (5-year amortization)</t>
  </si>
  <si>
    <t>per year</t>
  </si>
  <si>
    <t>Test year amortization</t>
  </si>
  <si>
    <t>A908</t>
  </si>
  <si>
    <t>Five-year amortization was approved in Docket No. 46957 and began 11-27-2017 when rates were effective.  (Previously, recovered through AMCRF which ended 11-26-2017.)</t>
  </si>
  <si>
    <t>36. All Oncor investment, including advanced metering system (AMS) investment, through</t>
  </si>
  <si>
    <t>the end of the test year (December 31, 2016) of $10,989,502,464, including</t>
  </si>
  <si>
    <t>$12,570,327,998 of net plant in service, as presented in Oncor's RFP, is prudent and</t>
  </si>
  <si>
    <t>includable in rate base, except that the six neighborhood reliability lithium-ion batteries</t>
  </si>
  <si>
    <t>used by Oncor are not included in this finding. Oncor can seek a prudence finding related</t>
  </si>
  <si>
    <t>to these batteries in a future proceeding.</t>
  </si>
  <si>
    <t>37. All investment in the distribution and transmission assets that are provided to Oncor in the</t>
  </si>
  <si>
    <t>Sharyland Transaction are used by and useful to Oncor in providing service, are prudent,</t>
  </si>
  <si>
    <t>reasonable, and necessary, and are includable in Oncor's rate base, which with the</t>
  </si>
  <si>
    <t>inclusion of those assets is $10,991,993,213.</t>
  </si>
  <si>
    <t>Reference Docket No. 46957 Finding of Fact Nos.:</t>
  </si>
  <si>
    <t>AMS Customer Education costs were approved in Docket No. 46957.</t>
  </si>
  <si>
    <t>partial month (26 days)</t>
  </si>
  <si>
    <t>K&amp;M O&amp;M adjustment #34</t>
  </si>
  <si>
    <t>If approved in 2022 base rate case, amortization schedule will be revised to reflect five-year recovery of 12-31-2021 balance.</t>
  </si>
  <si>
    <t>Requesting five-year amortization in the 2022 base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</si>
</sst>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3" formatCode="_(* #,##0.00_);_(* \(#,##0.00\);_(* &quot;-&quot;??_);_(@_)"/>
    <numFmt numFmtId="164" formatCode="[$-409]mmmm\-yy;@"/>
    <numFmt numFmtId="165" formatCode="_(* #,##0_);_(* \(#,##0\);_(* &quot;-&quot;??_);_(@_)"/>
    <numFmt numFmtId="166" formatCode="[$-409]mmm\-yy;@"/>
    <numFmt numFmtId="167" formatCode="#,##0.00;[Red]#,##0.00"/>
    <numFmt numFmtId="168" formatCode="mm/dd/yy;@"/>
  </numFmts>
  <fonts count="1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color indexed="12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0"/>
      <color indexed="62"/>
      <name val="Arial"/>
      <family val="2"/>
    </font>
    <font>
      <b/>
      <u val="single"/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20" applyAlignment="1">
      <alignment/>
      <protection/>
    </xf>
    <xf numFmtId="0" fontId="2" fillId="0" borderId="0" xfId="20" applyBorder="1">
      <alignment/>
      <protection/>
    </xf>
    <xf numFmtId="0" fontId="2" fillId="0" borderId="0" xfId="20">
      <alignment/>
      <protection/>
    </xf>
    <xf numFmtId="0" fontId="2" fillId="0" borderId="0" xfId="20" applyAlignment="1">
      <alignment wrapText="1"/>
      <protection/>
    </xf>
    <xf numFmtId="164" fontId="2" fillId="0" borderId="0" xfId="20" applyNumberFormat="1" applyFont="1">
      <alignment/>
      <protection/>
    </xf>
    <xf numFmtId="0" fontId="3" fillId="0" borderId="1" xfId="20" applyFont="1" applyBorder="1" applyAlignment="1">
      <alignment horizontal="center" wrapText="1"/>
      <protection/>
    </xf>
    <xf numFmtId="17" fontId="2" fillId="0" borderId="0" xfId="20" applyNumberFormat="1" applyAlignment="1">
      <alignment/>
      <protection/>
    </xf>
    <xf numFmtId="43" fontId="0" fillId="0" borderId="0" xfId="21" applyFont="1"/>
    <xf numFmtId="43" fontId="2" fillId="0" borderId="0" xfId="20" applyNumberFormat="1" applyFill="1" applyBorder="1">
      <alignment/>
      <protection/>
    </xf>
    <xf numFmtId="43" fontId="0" fillId="0" borderId="0" xfId="21" applyFont="1" applyAlignment="1">
      <alignment wrapText="1"/>
    </xf>
    <xf numFmtId="43" fontId="2" fillId="0" borderId="0" xfId="20" applyNumberFormat="1">
      <alignment/>
      <protection/>
    </xf>
    <xf numFmtId="43" fontId="0" fillId="0" borderId="0" xfId="21" applyFont="1" applyBorder="1"/>
    <xf numFmtId="165" fontId="0" fillId="0" borderId="0" xfId="21" applyNumberFormat="1" applyFont="1" applyBorder="1"/>
    <xf numFmtId="43" fontId="2" fillId="0" borderId="0" xfId="20" applyNumberFormat="1" applyBorder="1">
      <alignment/>
      <protection/>
    </xf>
    <xf numFmtId="165" fontId="0" fillId="0" borderId="0" xfId="21" applyNumberFormat="1" applyFont="1" applyFill="1" applyBorder="1"/>
    <xf numFmtId="40" fontId="2" fillId="0" borderId="0" xfId="20" applyNumberFormat="1">
      <alignment/>
      <protection/>
    </xf>
    <xf numFmtId="43" fontId="2" fillId="0" borderId="0" xfId="21" applyFont="1" applyBorder="1" applyAlignment="1">
      <alignment wrapText="1"/>
    </xf>
    <xf numFmtId="43" fontId="2" fillId="0" borderId="0" xfId="20" applyNumberFormat="1" applyAlignment="1">
      <alignment wrapText="1"/>
      <protection/>
    </xf>
    <xf numFmtId="8" fontId="2" fillId="0" borderId="0" xfId="20" applyNumberFormat="1" applyAlignment="1">
      <alignment wrapText="1"/>
      <protection/>
    </xf>
    <xf numFmtId="8" fontId="2" fillId="0" borderId="0" xfId="20" applyNumberFormat="1">
      <alignment/>
      <protection/>
    </xf>
    <xf numFmtId="17" fontId="2" fillId="0" borderId="0" xfId="20" applyNumberFormat="1" applyAlignment="1">
      <alignment wrapText="1"/>
      <protection/>
    </xf>
    <xf numFmtId="166" fontId="2" fillId="0" borderId="0" xfId="20" applyNumberFormat="1" applyBorder="1">
      <alignment/>
      <protection/>
    </xf>
    <xf numFmtId="43" fontId="0" fillId="0" borderId="0" xfId="21" applyFont="1" applyFill="1"/>
    <xf numFmtId="43" fontId="4" fillId="0" borderId="0" xfId="20" applyNumberFormat="1" applyFont="1" applyFill="1">
      <alignment/>
      <protection/>
    </xf>
    <xf numFmtId="43" fontId="0" fillId="0" borderId="0" xfId="21" applyNumberFormat="1" applyFont="1" applyFill="1"/>
    <xf numFmtId="43" fontId="3" fillId="0" borderId="0" xfId="21" applyNumberFormat="1" applyFont="1" applyFill="1" applyBorder="1" applyAlignment="1">
      <alignment horizontal="center"/>
    </xf>
    <xf numFmtId="43" fontId="0" fillId="0" borderId="0" xfId="21" applyNumberFormat="1" applyFont="1" applyFill="1" applyAlignment="1">
      <alignment horizontal="right"/>
    </xf>
    <xf numFmtId="40" fontId="5" fillId="0" borderId="0" xfId="20" applyNumberFormat="1" applyFont="1" applyFill="1">
      <alignment/>
      <protection/>
    </xf>
    <xf numFmtId="40" fontId="6" fillId="0" borderId="0" xfId="20" applyNumberFormat="1" applyFont="1" applyFill="1">
      <alignment/>
      <protection/>
    </xf>
    <xf numFmtId="165" fontId="2" fillId="0" borderId="0" xfId="20" applyNumberFormat="1">
      <alignment/>
      <protection/>
    </xf>
    <xf numFmtId="43" fontId="7" fillId="0" borderId="0" xfId="21" applyNumberFormat="1" applyFont="1" applyFill="1" applyAlignment="1" quotePrefix="1">
      <alignment horizontal="left"/>
    </xf>
    <xf numFmtId="43" fontId="3" fillId="0" borderId="0" xfId="21" applyNumberFormat="1" applyFont="1" applyFill="1" applyAlignment="1">
      <alignment horizontal="center"/>
    </xf>
    <xf numFmtId="40" fontId="6" fillId="0" borderId="0" xfId="20" applyNumberFormat="1" applyFont="1" applyFill="1" applyAlignment="1">
      <alignment horizontal="center" wrapText="1"/>
      <protection/>
    </xf>
    <xf numFmtId="40" fontId="6" fillId="0" borderId="0" xfId="20" applyNumberFormat="1" applyFont="1" applyFill="1" applyAlignment="1" quotePrefix="1">
      <alignment horizontal="center"/>
      <protection/>
    </xf>
    <xf numFmtId="43" fontId="8" fillId="0" borderId="0" xfId="21" applyNumberFormat="1" applyFont="1" applyFill="1" applyAlignment="1" quotePrefix="1">
      <alignment horizontal="left"/>
    </xf>
    <xf numFmtId="40" fontId="6" fillId="0" borderId="0" xfId="20" applyNumberFormat="1" applyFont="1" applyFill="1" applyBorder="1" applyAlignment="1">
      <alignment horizontal="center"/>
      <protection/>
    </xf>
    <xf numFmtId="40" fontId="6" fillId="0" borderId="0" xfId="20" applyNumberFormat="1" applyFont="1" applyFill="1" applyBorder="1" applyAlignment="1" quotePrefix="1">
      <alignment horizontal="left"/>
      <protection/>
    </xf>
    <xf numFmtId="43" fontId="9" fillId="0" borderId="0" xfId="21" applyNumberFormat="1" applyFont="1" applyFill="1" applyBorder="1" applyAlignment="1">
      <alignment horizontal="left"/>
    </xf>
    <xf numFmtId="43" fontId="10" fillId="0" borderId="0" xfId="21" applyNumberFormat="1" applyFont="1" applyFill="1" applyAlignment="1" quotePrefix="1">
      <alignment horizontal="right"/>
    </xf>
    <xf numFmtId="40" fontId="6" fillId="0" borderId="0" xfId="20" applyNumberFormat="1" applyFont="1" applyFill="1" applyBorder="1">
      <alignment/>
      <protection/>
    </xf>
    <xf numFmtId="40" fontId="6" fillId="0" borderId="0" xfId="20" applyNumberFormat="1" applyFont="1" applyFill="1" applyBorder="1" applyAlignment="1">
      <alignment horizontal="right"/>
      <protection/>
    </xf>
    <xf numFmtId="43" fontId="11" fillId="0" borderId="0" xfId="21" applyNumberFormat="1" applyFont="1" applyFill="1" applyAlignment="1">
      <alignment horizontal="left"/>
    </xf>
    <xf numFmtId="40" fontId="3" fillId="0" borderId="0" xfId="20" applyNumberFormat="1" applyFont="1" applyFill="1" applyBorder="1" applyAlignment="1">
      <alignment horizontal="left"/>
      <protection/>
    </xf>
    <xf numFmtId="40" fontId="6" fillId="0" borderId="0" xfId="20" applyNumberFormat="1" applyFont="1" applyFill="1" applyBorder="1" applyAlignment="1">
      <alignment/>
      <protection/>
    </xf>
    <xf numFmtId="40" fontId="5" fillId="0" borderId="0" xfId="20" applyNumberFormat="1" applyFont="1" applyFill="1" applyBorder="1">
      <alignment/>
      <protection/>
    </xf>
    <xf numFmtId="40" fontId="5" fillId="0" borderId="0" xfId="20" applyNumberFormat="1" applyFont="1" applyFill="1" applyBorder="1" applyAlignment="1">
      <alignment horizontal="center"/>
      <protection/>
    </xf>
    <xf numFmtId="40" fontId="6" fillId="0" borderId="0" xfId="20" applyNumberFormat="1" applyFont="1" applyFill="1" applyBorder="1" applyAlignment="1">
      <alignment horizontal="left"/>
      <protection/>
    </xf>
    <xf numFmtId="40" fontId="6" fillId="0" borderId="0" xfId="20" applyNumberFormat="1" applyFont="1" applyFill="1" applyBorder="1" applyAlignment="1">
      <alignment horizontal="center" wrapText="1"/>
      <protection/>
    </xf>
    <xf numFmtId="40" fontId="6" fillId="0" borderId="0" xfId="20" applyNumberFormat="1" applyFont="1" applyFill="1" applyBorder="1" applyAlignment="1" quotePrefix="1">
      <alignment horizontal="center"/>
      <protection/>
    </xf>
    <xf numFmtId="43" fontId="4" fillId="0" borderId="0" xfId="21" applyNumberFormat="1" applyFont="1" applyFill="1"/>
    <xf numFmtId="43" fontId="2" fillId="0" borderId="0" xfId="20" applyNumberFormat="1" applyFill="1" applyAlignment="1">
      <alignment wrapText="1"/>
      <protection/>
    </xf>
    <xf numFmtId="40" fontId="5" fillId="0" borderId="0" xfId="20" applyNumberFormat="1" applyFont="1" applyBorder="1">
      <alignment/>
      <protection/>
    </xf>
    <xf numFmtId="165" fontId="2" fillId="0" borderId="0" xfId="20" applyNumberFormat="1" applyFill="1">
      <alignment/>
      <protection/>
    </xf>
    <xf numFmtId="43" fontId="12" fillId="0" borderId="0" xfId="21" applyNumberFormat="1" applyFont="1" applyFill="1" applyAlignment="1">
      <alignment horizontal="center"/>
    </xf>
    <xf numFmtId="0" fontId="2" fillId="0" borderId="0" xfId="20" applyFill="1">
      <alignment/>
      <protection/>
    </xf>
    <xf numFmtId="0" fontId="13" fillId="0" borderId="0" xfId="20" applyFont="1">
      <alignment/>
      <protection/>
    </xf>
    <xf numFmtId="167" fontId="5" fillId="0" borderId="0" xfId="20" applyNumberFormat="1" applyFont="1" applyFill="1">
      <alignment/>
      <protection/>
    </xf>
    <xf numFmtId="167" fontId="6" fillId="0" borderId="0" xfId="20" applyNumberFormat="1" applyFont="1" applyFill="1" applyBorder="1">
      <alignment/>
      <protection/>
    </xf>
    <xf numFmtId="166" fontId="2" fillId="0" borderId="0" xfId="20" applyNumberFormat="1" applyFill="1" applyBorder="1">
      <alignment/>
      <protection/>
    </xf>
    <xf numFmtId="168" fontId="2" fillId="0" borderId="0" xfId="20" applyNumberFormat="1" applyFill="1" applyAlignment="1">
      <alignment/>
      <protection/>
    </xf>
    <xf numFmtId="43" fontId="2" fillId="0" borderId="0" xfId="20" applyNumberFormat="1" applyFill="1">
      <alignment/>
      <protection/>
    </xf>
    <xf numFmtId="0" fontId="2" fillId="0" borderId="0" xfId="20" applyFill="1" applyAlignment="1">
      <alignment wrapText="1"/>
      <protection/>
    </xf>
    <xf numFmtId="168" fontId="2" fillId="0" borderId="0" xfId="20" applyNumberFormat="1" applyFill="1" applyAlignment="1">
      <alignment horizontal="right"/>
      <protection/>
    </xf>
    <xf numFmtId="0" fontId="2" fillId="0" borderId="0" xfId="20" applyFont="1">
      <alignment/>
      <protection/>
    </xf>
    <xf numFmtId="17" fontId="2" fillId="0" borderId="0" xfId="20" applyNumberFormat="1" applyFill="1" applyAlignment="1">
      <alignment/>
      <protection/>
    </xf>
    <xf numFmtId="43" fontId="0" fillId="0" borderId="2" xfId="21" applyFont="1" applyBorder="1"/>
    <xf numFmtId="0" fontId="2" fillId="0" borderId="0" xfId="20" applyFill="1" applyBorder="1">
      <alignment/>
      <protection/>
    </xf>
    <xf numFmtId="0" fontId="15" fillId="0" borderId="0" xfId="20" applyFont="1">
      <alignment/>
      <protection/>
    </xf>
    <xf numFmtId="0" fontId="2" fillId="0" borderId="0" xfId="20" applyFont="1" applyAlignment="1">
      <alignment horizontal="left"/>
      <protection/>
    </xf>
    <xf numFmtId="0" fontId="2" fillId="0" borderId="0" xfId="20" applyAlignment="1">
      <alignment horizontal="right"/>
      <protection/>
    </xf>
    <xf numFmtId="0" fontId="16" fillId="0" borderId="0" xfId="20" applyFont="1">
      <alignment/>
      <protection/>
    </xf>
    <xf numFmtId="43" fontId="2" fillId="0" borderId="2" xfId="20" applyNumberFormat="1" applyFill="1" applyBorder="1">
      <alignment/>
      <protection/>
    </xf>
    <xf numFmtId="43" fontId="14" fillId="0" borderId="0" xfId="21" applyFont="1"/>
    <xf numFmtId="17" fontId="3" fillId="0" borderId="0" xfId="20" applyNumberFormat="1" applyFont="1" applyAlignment="1">
      <alignment/>
      <protection/>
    </xf>
    <xf numFmtId="0" fontId="2" fillId="0" borderId="0" xfId="20" applyFill="1" applyAlignment="1">
      <alignment horizontal="right"/>
      <protection/>
    </xf>
    <xf numFmtId="43" fontId="0" fillId="0" borderId="0" xfId="21" applyFont="1" applyFill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Comma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E207"/>
  <sheetViews>
    <sheetView tabSelected="1" workbookViewId="0" topLeftCell="A1">
      <selection pane="topLeft" activeCell="L18" sqref="L18"/>
    </sheetView>
  </sheetViews>
  <sheetFormatPr defaultRowHeight="12.75"/>
  <cols>
    <col min="1" max="1" width="9.14285714285714" style="2"/>
    <col min="2" max="2" width="20.1428571428571" style="1" customWidth="1"/>
    <col min="3" max="3" width="16.4285714285714" style="4" customWidth="1"/>
    <col min="4" max="4" width="14.7142857142857" style="4" customWidth="1"/>
    <col min="5" max="5" width="14.8571428571429" style="4" customWidth="1"/>
    <col min="6" max="6" width="14.5714285714286" style="3" customWidth="1"/>
    <col min="7" max="7" width="13.7142857142857" style="3" customWidth="1"/>
    <col min="8" max="8" width="13.8571428571429" style="3" bestFit="1" customWidth="1"/>
    <col min="9" max="9" width="11.1428571428571" style="3" customWidth="1"/>
    <col min="10" max="10" width="13.7142857142857" style="3" customWidth="1"/>
    <col min="11" max="11" width="18.5714285714286" style="3" customWidth="1"/>
    <col min="12" max="12" width="17.8571428571429" style="3" customWidth="1"/>
    <col min="13" max="13" width="17.1428571428571" style="3" customWidth="1"/>
    <col min="14" max="14" width="33.5714285714286" style="2" customWidth="1"/>
    <col min="15" max="15" width="12" style="2" customWidth="1"/>
    <col min="16" max="16" width="13.4285714285714" style="2" customWidth="1"/>
    <col min="17" max="17" width="11.8571428571429" style="2" bestFit="1" customWidth="1"/>
    <col min="18" max="18" width="12.8571428571429" style="2" customWidth="1"/>
    <col min="19" max="19" width="11.5714285714286" style="2" customWidth="1"/>
    <col min="20" max="20" width="12.5714285714286" style="2" customWidth="1"/>
    <col min="21" max="21" width="14.4285714285714" style="2" customWidth="1"/>
    <col min="22" max="22" width="11.7142857142857" style="2" customWidth="1"/>
    <col min="23" max="23" width="12.5714285714286" style="2" customWidth="1"/>
    <col min="24" max="24" width="14.5714285714286" style="2" customWidth="1"/>
    <col min="25" max="25" width="13.1428571428571" style="2" customWidth="1"/>
    <col min="26" max="257" width="9.14285714285714" style="2"/>
    <col min="258" max="258" width="8.28571428571429" style="2" customWidth="1"/>
    <col min="259" max="259" width="16.4285714285714" style="2" customWidth="1"/>
    <col min="260" max="260" width="14.7142857142857" style="2" customWidth="1"/>
    <col min="261" max="261" width="14.8571428571429" style="2" customWidth="1"/>
    <col min="262" max="262" width="14.5714285714286" style="2" customWidth="1"/>
    <col min="263" max="263" width="13.7142857142857" style="2" customWidth="1"/>
    <col min="264" max="264" width="13.8571428571429" style="2" bestFit="1" customWidth="1"/>
    <col min="265" max="265" width="11.1428571428571" style="2" customWidth="1"/>
    <col min="266" max="266" width="12.7142857142857" style="2" customWidth="1"/>
    <col min="267" max="267" width="11.8571428571429" style="2" customWidth="1"/>
    <col min="268" max="268" width="11.1428571428571" style="2" customWidth="1"/>
    <col min="269" max="269" width="11.2857142857143" style="2" customWidth="1"/>
    <col min="270" max="270" width="13" style="2" customWidth="1"/>
    <col min="271" max="271" width="12" style="2" customWidth="1"/>
    <col min="272" max="272" width="13.4285714285714" style="2" customWidth="1"/>
    <col min="273" max="273" width="11.4285714285714" style="2" customWidth="1"/>
    <col min="274" max="513" width="9.14285714285714" style="2"/>
    <col min="514" max="514" width="8.28571428571429" style="2" customWidth="1"/>
    <col min="515" max="515" width="16.4285714285714" style="2" customWidth="1"/>
    <col min="516" max="516" width="14.7142857142857" style="2" customWidth="1"/>
    <col min="517" max="517" width="14.8571428571429" style="2" customWidth="1"/>
    <col min="518" max="518" width="14.5714285714286" style="2" customWidth="1"/>
    <col min="519" max="519" width="13.7142857142857" style="2" customWidth="1"/>
    <col min="520" max="520" width="13.8571428571429" style="2" bestFit="1" customWidth="1"/>
    <col min="521" max="521" width="11.1428571428571" style="2" customWidth="1"/>
    <col min="522" max="522" width="12.7142857142857" style="2" customWidth="1"/>
    <col min="523" max="523" width="11.8571428571429" style="2" customWidth="1"/>
    <col min="524" max="524" width="11.1428571428571" style="2" customWidth="1"/>
    <col min="525" max="525" width="11.2857142857143" style="2" customWidth="1"/>
    <col min="526" max="526" width="13" style="2" customWidth="1"/>
    <col min="527" max="527" width="12" style="2" customWidth="1"/>
    <col min="528" max="528" width="13.4285714285714" style="2" customWidth="1"/>
    <col min="529" max="529" width="11.4285714285714" style="2" customWidth="1"/>
    <col min="530" max="769" width="9.14285714285714" style="2"/>
    <col min="770" max="770" width="8.28571428571429" style="2" customWidth="1"/>
    <col min="771" max="771" width="16.4285714285714" style="2" customWidth="1"/>
    <col min="772" max="772" width="14.7142857142857" style="2" customWidth="1"/>
    <col min="773" max="773" width="14.8571428571429" style="2" customWidth="1"/>
    <col min="774" max="774" width="14.5714285714286" style="2" customWidth="1"/>
    <col min="775" max="775" width="13.7142857142857" style="2" customWidth="1"/>
    <col min="776" max="776" width="13.8571428571429" style="2" bestFit="1" customWidth="1"/>
    <col min="777" max="777" width="11.1428571428571" style="2" customWidth="1"/>
    <col min="778" max="778" width="12.7142857142857" style="2" customWidth="1"/>
    <col min="779" max="779" width="11.8571428571429" style="2" customWidth="1"/>
    <col min="780" max="780" width="11.1428571428571" style="2" customWidth="1"/>
    <col min="781" max="781" width="11.2857142857143" style="2" customWidth="1"/>
    <col min="782" max="782" width="13" style="2" customWidth="1"/>
    <col min="783" max="783" width="12" style="2" customWidth="1"/>
    <col min="784" max="784" width="13.4285714285714" style="2" customWidth="1"/>
    <col min="785" max="785" width="11.4285714285714" style="2" customWidth="1"/>
    <col min="786" max="1025" width="9.14285714285714" style="2"/>
    <col min="1026" max="1026" width="8.28571428571429" style="2" customWidth="1"/>
    <col min="1027" max="1027" width="16.4285714285714" style="2" customWidth="1"/>
    <col min="1028" max="1028" width="14.7142857142857" style="2" customWidth="1"/>
    <col min="1029" max="1029" width="14.8571428571429" style="2" customWidth="1"/>
    <col min="1030" max="1030" width="14.5714285714286" style="2" customWidth="1"/>
    <col min="1031" max="1031" width="13.7142857142857" style="2" customWidth="1"/>
    <col min="1032" max="1032" width="13.8571428571429" style="2" bestFit="1" customWidth="1"/>
    <col min="1033" max="1033" width="11.1428571428571" style="2" customWidth="1"/>
    <col min="1034" max="1034" width="12.7142857142857" style="2" customWidth="1"/>
    <col min="1035" max="1035" width="11.8571428571429" style="2" customWidth="1"/>
    <col min="1036" max="1036" width="11.1428571428571" style="2" customWidth="1"/>
    <col min="1037" max="1037" width="11.2857142857143" style="2" customWidth="1"/>
    <col min="1038" max="1038" width="13" style="2" customWidth="1"/>
    <col min="1039" max="1039" width="12" style="2" customWidth="1"/>
    <col min="1040" max="1040" width="13.4285714285714" style="2" customWidth="1"/>
    <col min="1041" max="1041" width="11.4285714285714" style="2" customWidth="1"/>
    <col min="1042" max="1281" width="9.14285714285714" style="2"/>
    <col min="1282" max="1282" width="8.28571428571429" style="2" customWidth="1"/>
    <col min="1283" max="1283" width="16.4285714285714" style="2" customWidth="1"/>
    <col min="1284" max="1284" width="14.7142857142857" style="2" customWidth="1"/>
    <col min="1285" max="1285" width="14.8571428571429" style="2" customWidth="1"/>
    <col min="1286" max="1286" width="14.5714285714286" style="2" customWidth="1"/>
    <col min="1287" max="1287" width="13.7142857142857" style="2" customWidth="1"/>
    <col min="1288" max="1288" width="13.8571428571429" style="2" bestFit="1" customWidth="1"/>
    <col min="1289" max="1289" width="11.1428571428571" style="2" customWidth="1"/>
    <col min="1290" max="1290" width="12.7142857142857" style="2" customWidth="1"/>
    <col min="1291" max="1291" width="11.8571428571429" style="2" customWidth="1"/>
    <col min="1292" max="1292" width="11.1428571428571" style="2" customWidth="1"/>
    <col min="1293" max="1293" width="11.2857142857143" style="2" customWidth="1"/>
    <col min="1294" max="1294" width="13" style="2" customWidth="1"/>
    <col min="1295" max="1295" width="12" style="2" customWidth="1"/>
    <col min="1296" max="1296" width="13.4285714285714" style="2" customWidth="1"/>
    <col min="1297" max="1297" width="11.4285714285714" style="2" customWidth="1"/>
    <col min="1298" max="1537" width="9.14285714285714" style="2"/>
    <col min="1538" max="1538" width="8.28571428571429" style="2" customWidth="1"/>
    <col min="1539" max="1539" width="16.4285714285714" style="2" customWidth="1"/>
    <col min="1540" max="1540" width="14.7142857142857" style="2" customWidth="1"/>
    <col min="1541" max="1541" width="14.8571428571429" style="2" customWidth="1"/>
    <col min="1542" max="1542" width="14.5714285714286" style="2" customWidth="1"/>
    <col min="1543" max="1543" width="13.7142857142857" style="2" customWidth="1"/>
    <col min="1544" max="1544" width="13.8571428571429" style="2" bestFit="1" customWidth="1"/>
    <col min="1545" max="1545" width="11.1428571428571" style="2" customWidth="1"/>
    <col min="1546" max="1546" width="12.7142857142857" style="2" customWidth="1"/>
    <col min="1547" max="1547" width="11.8571428571429" style="2" customWidth="1"/>
    <col min="1548" max="1548" width="11.1428571428571" style="2" customWidth="1"/>
    <col min="1549" max="1549" width="11.2857142857143" style="2" customWidth="1"/>
    <col min="1550" max="1550" width="13" style="2" customWidth="1"/>
    <col min="1551" max="1551" width="12" style="2" customWidth="1"/>
    <col min="1552" max="1552" width="13.4285714285714" style="2" customWidth="1"/>
    <col min="1553" max="1553" width="11.4285714285714" style="2" customWidth="1"/>
    <col min="1554" max="1793" width="9.14285714285714" style="2"/>
    <col min="1794" max="1794" width="8.28571428571429" style="2" customWidth="1"/>
    <col min="1795" max="1795" width="16.4285714285714" style="2" customWidth="1"/>
    <col min="1796" max="1796" width="14.7142857142857" style="2" customWidth="1"/>
    <col min="1797" max="1797" width="14.8571428571429" style="2" customWidth="1"/>
    <col min="1798" max="1798" width="14.5714285714286" style="2" customWidth="1"/>
    <col min="1799" max="1799" width="13.7142857142857" style="2" customWidth="1"/>
    <col min="1800" max="1800" width="13.8571428571429" style="2" bestFit="1" customWidth="1"/>
    <col min="1801" max="1801" width="11.1428571428571" style="2" customWidth="1"/>
    <col min="1802" max="1802" width="12.7142857142857" style="2" customWidth="1"/>
    <col min="1803" max="1803" width="11.8571428571429" style="2" customWidth="1"/>
    <col min="1804" max="1804" width="11.1428571428571" style="2" customWidth="1"/>
    <col min="1805" max="1805" width="11.2857142857143" style="2" customWidth="1"/>
    <col min="1806" max="1806" width="13" style="2" customWidth="1"/>
    <col min="1807" max="1807" width="12" style="2" customWidth="1"/>
    <col min="1808" max="1808" width="13.4285714285714" style="2" customWidth="1"/>
    <col min="1809" max="1809" width="11.4285714285714" style="2" customWidth="1"/>
    <col min="1810" max="2049" width="9.14285714285714" style="2"/>
    <col min="2050" max="2050" width="8.28571428571429" style="2" customWidth="1"/>
    <col min="2051" max="2051" width="16.4285714285714" style="2" customWidth="1"/>
    <col min="2052" max="2052" width="14.7142857142857" style="2" customWidth="1"/>
    <col min="2053" max="2053" width="14.8571428571429" style="2" customWidth="1"/>
    <col min="2054" max="2054" width="14.5714285714286" style="2" customWidth="1"/>
    <col min="2055" max="2055" width="13.7142857142857" style="2" customWidth="1"/>
    <col min="2056" max="2056" width="13.8571428571429" style="2" bestFit="1" customWidth="1"/>
    <col min="2057" max="2057" width="11.1428571428571" style="2" customWidth="1"/>
    <col min="2058" max="2058" width="12.7142857142857" style="2" customWidth="1"/>
    <col min="2059" max="2059" width="11.8571428571429" style="2" customWidth="1"/>
    <col min="2060" max="2060" width="11.1428571428571" style="2" customWidth="1"/>
    <col min="2061" max="2061" width="11.2857142857143" style="2" customWidth="1"/>
    <col min="2062" max="2062" width="13" style="2" customWidth="1"/>
    <col min="2063" max="2063" width="12" style="2" customWidth="1"/>
    <col min="2064" max="2064" width="13.4285714285714" style="2" customWidth="1"/>
    <col min="2065" max="2065" width="11.4285714285714" style="2" customWidth="1"/>
    <col min="2066" max="2305" width="9.14285714285714" style="2"/>
    <col min="2306" max="2306" width="8.28571428571429" style="2" customWidth="1"/>
    <col min="2307" max="2307" width="16.4285714285714" style="2" customWidth="1"/>
    <col min="2308" max="2308" width="14.7142857142857" style="2" customWidth="1"/>
    <col min="2309" max="2309" width="14.8571428571429" style="2" customWidth="1"/>
    <col min="2310" max="2310" width="14.5714285714286" style="2" customWidth="1"/>
    <col min="2311" max="2311" width="13.7142857142857" style="2" customWidth="1"/>
    <col min="2312" max="2312" width="13.8571428571429" style="2" bestFit="1" customWidth="1"/>
    <col min="2313" max="2313" width="11.1428571428571" style="2" customWidth="1"/>
    <col min="2314" max="2314" width="12.7142857142857" style="2" customWidth="1"/>
    <col min="2315" max="2315" width="11.8571428571429" style="2" customWidth="1"/>
    <col min="2316" max="2316" width="11.1428571428571" style="2" customWidth="1"/>
    <col min="2317" max="2317" width="11.2857142857143" style="2" customWidth="1"/>
    <col min="2318" max="2318" width="13" style="2" customWidth="1"/>
    <col min="2319" max="2319" width="12" style="2" customWidth="1"/>
    <col min="2320" max="2320" width="13.4285714285714" style="2" customWidth="1"/>
    <col min="2321" max="2321" width="11.4285714285714" style="2" customWidth="1"/>
    <col min="2322" max="2561" width="9.14285714285714" style="2"/>
    <col min="2562" max="2562" width="8.28571428571429" style="2" customWidth="1"/>
    <col min="2563" max="2563" width="16.4285714285714" style="2" customWidth="1"/>
    <col min="2564" max="2564" width="14.7142857142857" style="2" customWidth="1"/>
    <col min="2565" max="2565" width="14.8571428571429" style="2" customWidth="1"/>
    <col min="2566" max="2566" width="14.5714285714286" style="2" customWidth="1"/>
    <col min="2567" max="2567" width="13.7142857142857" style="2" customWidth="1"/>
    <col min="2568" max="2568" width="13.8571428571429" style="2" bestFit="1" customWidth="1"/>
    <col min="2569" max="2569" width="11.1428571428571" style="2" customWidth="1"/>
    <col min="2570" max="2570" width="12.7142857142857" style="2" customWidth="1"/>
    <col min="2571" max="2571" width="11.8571428571429" style="2" customWidth="1"/>
    <col min="2572" max="2572" width="11.1428571428571" style="2" customWidth="1"/>
    <col min="2573" max="2573" width="11.2857142857143" style="2" customWidth="1"/>
    <col min="2574" max="2574" width="13" style="2" customWidth="1"/>
    <col min="2575" max="2575" width="12" style="2" customWidth="1"/>
    <col min="2576" max="2576" width="13.4285714285714" style="2" customWidth="1"/>
    <col min="2577" max="2577" width="11.4285714285714" style="2" customWidth="1"/>
    <col min="2578" max="2817" width="9.14285714285714" style="2"/>
    <col min="2818" max="2818" width="8.28571428571429" style="2" customWidth="1"/>
    <col min="2819" max="2819" width="16.4285714285714" style="2" customWidth="1"/>
    <col min="2820" max="2820" width="14.7142857142857" style="2" customWidth="1"/>
    <col min="2821" max="2821" width="14.8571428571429" style="2" customWidth="1"/>
    <col min="2822" max="2822" width="14.5714285714286" style="2" customWidth="1"/>
    <col min="2823" max="2823" width="13.7142857142857" style="2" customWidth="1"/>
    <col min="2824" max="2824" width="13.8571428571429" style="2" bestFit="1" customWidth="1"/>
    <col min="2825" max="2825" width="11.1428571428571" style="2" customWidth="1"/>
    <col min="2826" max="2826" width="12.7142857142857" style="2" customWidth="1"/>
    <col min="2827" max="2827" width="11.8571428571429" style="2" customWidth="1"/>
    <col min="2828" max="2828" width="11.1428571428571" style="2" customWidth="1"/>
    <col min="2829" max="2829" width="11.2857142857143" style="2" customWidth="1"/>
    <col min="2830" max="2830" width="13" style="2" customWidth="1"/>
    <col min="2831" max="2831" width="12" style="2" customWidth="1"/>
    <col min="2832" max="2832" width="13.4285714285714" style="2" customWidth="1"/>
    <col min="2833" max="2833" width="11.4285714285714" style="2" customWidth="1"/>
    <col min="2834" max="3073" width="9.14285714285714" style="2"/>
    <col min="3074" max="3074" width="8.28571428571429" style="2" customWidth="1"/>
    <col min="3075" max="3075" width="16.4285714285714" style="2" customWidth="1"/>
    <col min="3076" max="3076" width="14.7142857142857" style="2" customWidth="1"/>
    <col min="3077" max="3077" width="14.8571428571429" style="2" customWidth="1"/>
    <col min="3078" max="3078" width="14.5714285714286" style="2" customWidth="1"/>
    <col min="3079" max="3079" width="13.7142857142857" style="2" customWidth="1"/>
    <col min="3080" max="3080" width="13.8571428571429" style="2" bestFit="1" customWidth="1"/>
    <col min="3081" max="3081" width="11.1428571428571" style="2" customWidth="1"/>
    <col min="3082" max="3082" width="12.7142857142857" style="2" customWidth="1"/>
    <col min="3083" max="3083" width="11.8571428571429" style="2" customWidth="1"/>
    <col min="3084" max="3084" width="11.1428571428571" style="2" customWidth="1"/>
    <col min="3085" max="3085" width="11.2857142857143" style="2" customWidth="1"/>
    <col min="3086" max="3086" width="13" style="2" customWidth="1"/>
    <col min="3087" max="3087" width="12" style="2" customWidth="1"/>
    <col min="3088" max="3088" width="13.4285714285714" style="2" customWidth="1"/>
    <col min="3089" max="3089" width="11.4285714285714" style="2" customWidth="1"/>
    <col min="3090" max="3329" width="9.14285714285714" style="2"/>
    <col min="3330" max="3330" width="8.28571428571429" style="2" customWidth="1"/>
    <col min="3331" max="3331" width="16.4285714285714" style="2" customWidth="1"/>
    <col min="3332" max="3332" width="14.7142857142857" style="2" customWidth="1"/>
    <col min="3333" max="3333" width="14.8571428571429" style="2" customWidth="1"/>
    <col min="3334" max="3334" width="14.5714285714286" style="2" customWidth="1"/>
    <col min="3335" max="3335" width="13.7142857142857" style="2" customWidth="1"/>
    <col min="3336" max="3336" width="13.8571428571429" style="2" bestFit="1" customWidth="1"/>
    <col min="3337" max="3337" width="11.1428571428571" style="2" customWidth="1"/>
    <col min="3338" max="3338" width="12.7142857142857" style="2" customWidth="1"/>
    <col min="3339" max="3339" width="11.8571428571429" style="2" customWidth="1"/>
    <col min="3340" max="3340" width="11.1428571428571" style="2" customWidth="1"/>
    <col min="3341" max="3341" width="11.2857142857143" style="2" customWidth="1"/>
    <col min="3342" max="3342" width="13" style="2" customWidth="1"/>
    <col min="3343" max="3343" width="12" style="2" customWidth="1"/>
    <col min="3344" max="3344" width="13.4285714285714" style="2" customWidth="1"/>
    <col min="3345" max="3345" width="11.4285714285714" style="2" customWidth="1"/>
    <col min="3346" max="3585" width="9.14285714285714" style="2"/>
    <col min="3586" max="3586" width="8.28571428571429" style="2" customWidth="1"/>
    <col min="3587" max="3587" width="16.4285714285714" style="2" customWidth="1"/>
    <col min="3588" max="3588" width="14.7142857142857" style="2" customWidth="1"/>
    <col min="3589" max="3589" width="14.8571428571429" style="2" customWidth="1"/>
    <col min="3590" max="3590" width="14.5714285714286" style="2" customWidth="1"/>
    <col min="3591" max="3591" width="13.7142857142857" style="2" customWidth="1"/>
    <col min="3592" max="3592" width="13.8571428571429" style="2" bestFit="1" customWidth="1"/>
    <col min="3593" max="3593" width="11.1428571428571" style="2" customWidth="1"/>
    <col min="3594" max="3594" width="12.7142857142857" style="2" customWidth="1"/>
    <col min="3595" max="3595" width="11.8571428571429" style="2" customWidth="1"/>
    <col min="3596" max="3596" width="11.1428571428571" style="2" customWidth="1"/>
    <col min="3597" max="3597" width="11.2857142857143" style="2" customWidth="1"/>
    <col min="3598" max="3598" width="13" style="2" customWidth="1"/>
    <col min="3599" max="3599" width="12" style="2" customWidth="1"/>
    <col min="3600" max="3600" width="13.4285714285714" style="2" customWidth="1"/>
    <col min="3601" max="3601" width="11.4285714285714" style="2" customWidth="1"/>
    <col min="3602" max="3841" width="9.14285714285714" style="2"/>
    <col min="3842" max="3842" width="8.28571428571429" style="2" customWidth="1"/>
    <col min="3843" max="3843" width="16.4285714285714" style="2" customWidth="1"/>
    <col min="3844" max="3844" width="14.7142857142857" style="2" customWidth="1"/>
    <col min="3845" max="3845" width="14.8571428571429" style="2" customWidth="1"/>
    <col min="3846" max="3846" width="14.5714285714286" style="2" customWidth="1"/>
    <col min="3847" max="3847" width="13.7142857142857" style="2" customWidth="1"/>
    <col min="3848" max="3848" width="13.8571428571429" style="2" bestFit="1" customWidth="1"/>
    <col min="3849" max="3849" width="11.1428571428571" style="2" customWidth="1"/>
    <col min="3850" max="3850" width="12.7142857142857" style="2" customWidth="1"/>
    <col min="3851" max="3851" width="11.8571428571429" style="2" customWidth="1"/>
    <col min="3852" max="3852" width="11.1428571428571" style="2" customWidth="1"/>
    <col min="3853" max="3853" width="11.2857142857143" style="2" customWidth="1"/>
    <col min="3854" max="3854" width="13" style="2" customWidth="1"/>
    <col min="3855" max="3855" width="12" style="2" customWidth="1"/>
    <col min="3856" max="3856" width="13.4285714285714" style="2" customWidth="1"/>
    <col min="3857" max="3857" width="11.4285714285714" style="2" customWidth="1"/>
    <col min="3858" max="4097" width="9.14285714285714" style="2"/>
    <col min="4098" max="4098" width="8.28571428571429" style="2" customWidth="1"/>
    <col min="4099" max="4099" width="16.4285714285714" style="2" customWidth="1"/>
    <col min="4100" max="4100" width="14.7142857142857" style="2" customWidth="1"/>
    <col min="4101" max="4101" width="14.8571428571429" style="2" customWidth="1"/>
    <col min="4102" max="4102" width="14.5714285714286" style="2" customWidth="1"/>
    <col min="4103" max="4103" width="13.7142857142857" style="2" customWidth="1"/>
    <col min="4104" max="4104" width="13.8571428571429" style="2" bestFit="1" customWidth="1"/>
    <col min="4105" max="4105" width="11.1428571428571" style="2" customWidth="1"/>
    <col min="4106" max="4106" width="12.7142857142857" style="2" customWidth="1"/>
    <col min="4107" max="4107" width="11.8571428571429" style="2" customWidth="1"/>
    <col min="4108" max="4108" width="11.1428571428571" style="2" customWidth="1"/>
    <col min="4109" max="4109" width="11.2857142857143" style="2" customWidth="1"/>
    <col min="4110" max="4110" width="13" style="2" customWidth="1"/>
    <col min="4111" max="4111" width="12" style="2" customWidth="1"/>
    <col min="4112" max="4112" width="13.4285714285714" style="2" customWidth="1"/>
    <col min="4113" max="4113" width="11.4285714285714" style="2" customWidth="1"/>
    <col min="4114" max="4353" width="9.14285714285714" style="2"/>
    <col min="4354" max="4354" width="8.28571428571429" style="2" customWidth="1"/>
    <col min="4355" max="4355" width="16.4285714285714" style="2" customWidth="1"/>
    <col min="4356" max="4356" width="14.7142857142857" style="2" customWidth="1"/>
    <col min="4357" max="4357" width="14.8571428571429" style="2" customWidth="1"/>
    <col min="4358" max="4358" width="14.5714285714286" style="2" customWidth="1"/>
    <col min="4359" max="4359" width="13.7142857142857" style="2" customWidth="1"/>
    <col min="4360" max="4360" width="13.8571428571429" style="2" bestFit="1" customWidth="1"/>
    <col min="4361" max="4361" width="11.1428571428571" style="2" customWidth="1"/>
    <col min="4362" max="4362" width="12.7142857142857" style="2" customWidth="1"/>
    <col min="4363" max="4363" width="11.8571428571429" style="2" customWidth="1"/>
    <col min="4364" max="4364" width="11.1428571428571" style="2" customWidth="1"/>
    <col min="4365" max="4365" width="11.2857142857143" style="2" customWidth="1"/>
    <col min="4366" max="4366" width="13" style="2" customWidth="1"/>
    <col min="4367" max="4367" width="12" style="2" customWidth="1"/>
    <col min="4368" max="4368" width="13.4285714285714" style="2" customWidth="1"/>
    <col min="4369" max="4369" width="11.4285714285714" style="2" customWidth="1"/>
    <col min="4370" max="4609" width="9.14285714285714" style="2"/>
    <col min="4610" max="4610" width="8.28571428571429" style="2" customWidth="1"/>
    <col min="4611" max="4611" width="16.4285714285714" style="2" customWidth="1"/>
    <col min="4612" max="4612" width="14.7142857142857" style="2" customWidth="1"/>
    <col min="4613" max="4613" width="14.8571428571429" style="2" customWidth="1"/>
    <col min="4614" max="4614" width="14.5714285714286" style="2" customWidth="1"/>
    <col min="4615" max="4615" width="13.7142857142857" style="2" customWidth="1"/>
    <col min="4616" max="4616" width="13.8571428571429" style="2" bestFit="1" customWidth="1"/>
    <col min="4617" max="4617" width="11.1428571428571" style="2" customWidth="1"/>
    <col min="4618" max="4618" width="12.7142857142857" style="2" customWidth="1"/>
    <col min="4619" max="4619" width="11.8571428571429" style="2" customWidth="1"/>
    <col min="4620" max="4620" width="11.1428571428571" style="2" customWidth="1"/>
    <col min="4621" max="4621" width="11.2857142857143" style="2" customWidth="1"/>
    <col min="4622" max="4622" width="13" style="2" customWidth="1"/>
    <col min="4623" max="4623" width="12" style="2" customWidth="1"/>
    <col min="4624" max="4624" width="13.4285714285714" style="2" customWidth="1"/>
    <col min="4625" max="4625" width="11.4285714285714" style="2" customWidth="1"/>
    <col min="4626" max="4865" width="9.14285714285714" style="2"/>
    <col min="4866" max="4866" width="8.28571428571429" style="2" customWidth="1"/>
    <col min="4867" max="4867" width="16.4285714285714" style="2" customWidth="1"/>
    <col min="4868" max="4868" width="14.7142857142857" style="2" customWidth="1"/>
    <col min="4869" max="4869" width="14.8571428571429" style="2" customWidth="1"/>
    <col min="4870" max="4870" width="14.5714285714286" style="2" customWidth="1"/>
    <col min="4871" max="4871" width="13.7142857142857" style="2" customWidth="1"/>
    <col min="4872" max="4872" width="13.8571428571429" style="2" bestFit="1" customWidth="1"/>
    <col min="4873" max="4873" width="11.1428571428571" style="2" customWidth="1"/>
    <col min="4874" max="4874" width="12.7142857142857" style="2" customWidth="1"/>
    <col min="4875" max="4875" width="11.8571428571429" style="2" customWidth="1"/>
    <col min="4876" max="4876" width="11.1428571428571" style="2" customWidth="1"/>
    <col min="4877" max="4877" width="11.2857142857143" style="2" customWidth="1"/>
    <col min="4878" max="4878" width="13" style="2" customWidth="1"/>
    <col min="4879" max="4879" width="12" style="2" customWidth="1"/>
    <col min="4880" max="4880" width="13.4285714285714" style="2" customWidth="1"/>
    <col min="4881" max="4881" width="11.4285714285714" style="2" customWidth="1"/>
    <col min="4882" max="5121" width="9.14285714285714" style="2"/>
    <col min="5122" max="5122" width="8.28571428571429" style="2" customWidth="1"/>
    <col min="5123" max="5123" width="16.4285714285714" style="2" customWidth="1"/>
    <col min="5124" max="5124" width="14.7142857142857" style="2" customWidth="1"/>
    <col min="5125" max="5125" width="14.8571428571429" style="2" customWidth="1"/>
    <col min="5126" max="5126" width="14.5714285714286" style="2" customWidth="1"/>
    <col min="5127" max="5127" width="13.7142857142857" style="2" customWidth="1"/>
    <col min="5128" max="5128" width="13.8571428571429" style="2" bestFit="1" customWidth="1"/>
    <col min="5129" max="5129" width="11.1428571428571" style="2" customWidth="1"/>
    <col min="5130" max="5130" width="12.7142857142857" style="2" customWidth="1"/>
    <col min="5131" max="5131" width="11.8571428571429" style="2" customWidth="1"/>
    <col min="5132" max="5132" width="11.1428571428571" style="2" customWidth="1"/>
    <col min="5133" max="5133" width="11.2857142857143" style="2" customWidth="1"/>
    <col min="5134" max="5134" width="13" style="2" customWidth="1"/>
    <col min="5135" max="5135" width="12" style="2" customWidth="1"/>
    <col min="5136" max="5136" width="13.4285714285714" style="2" customWidth="1"/>
    <col min="5137" max="5137" width="11.4285714285714" style="2" customWidth="1"/>
    <col min="5138" max="5377" width="9.14285714285714" style="2"/>
    <col min="5378" max="5378" width="8.28571428571429" style="2" customWidth="1"/>
    <col min="5379" max="5379" width="16.4285714285714" style="2" customWidth="1"/>
    <col min="5380" max="5380" width="14.7142857142857" style="2" customWidth="1"/>
    <col min="5381" max="5381" width="14.8571428571429" style="2" customWidth="1"/>
    <col min="5382" max="5382" width="14.5714285714286" style="2" customWidth="1"/>
    <col min="5383" max="5383" width="13.7142857142857" style="2" customWidth="1"/>
    <col min="5384" max="5384" width="13.8571428571429" style="2" bestFit="1" customWidth="1"/>
    <col min="5385" max="5385" width="11.1428571428571" style="2" customWidth="1"/>
    <col min="5386" max="5386" width="12.7142857142857" style="2" customWidth="1"/>
    <col min="5387" max="5387" width="11.8571428571429" style="2" customWidth="1"/>
    <col min="5388" max="5388" width="11.1428571428571" style="2" customWidth="1"/>
    <col min="5389" max="5389" width="11.2857142857143" style="2" customWidth="1"/>
    <col min="5390" max="5390" width="13" style="2" customWidth="1"/>
    <col min="5391" max="5391" width="12" style="2" customWidth="1"/>
    <col min="5392" max="5392" width="13.4285714285714" style="2" customWidth="1"/>
    <col min="5393" max="5393" width="11.4285714285714" style="2" customWidth="1"/>
    <col min="5394" max="5633" width="9.14285714285714" style="2"/>
    <col min="5634" max="5634" width="8.28571428571429" style="2" customWidth="1"/>
    <col min="5635" max="5635" width="16.4285714285714" style="2" customWidth="1"/>
    <col min="5636" max="5636" width="14.7142857142857" style="2" customWidth="1"/>
    <col min="5637" max="5637" width="14.8571428571429" style="2" customWidth="1"/>
    <col min="5638" max="5638" width="14.5714285714286" style="2" customWidth="1"/>
    <col min="5639" max="5639" width="13.7142857142857" style="2" customWidth="1"/>
    <col min="5640" max="5640" width="13.8571428571429" style="2" bestFit="1" customWidth="1"/>
    <col min="5641" max="5641" width="11.1428571428571" style="2" customWidth="1"/>
    <col min="5642" max="5642" width="12.7142857142857" style="2" customWidth="1"/>
    <col min="5643" max="5643" width="11.8571428571429" style="2" customWidth="1"/>
    <col min="5644" max="5644" width="11.1428571428571" style="2" customWidth="1"/>
    <col min="5645" max="5645" width="11.2857142857143" style="2" customWidth="1"/>
    <col min="5646" max="5646" width="13" style="2" customWidth="1"/>
    <col min="5647" max="5647" width="12" style="2" customWidth="1"/>
    <col min="5648" max="5648" width="13.4285714285714" style="2" customWidth="1"/>
    <col min="5649" max="5649" width="11.4285714285714" style="2" customWidth="1"/>
    <col min="5650" max="5889" width="9.14285714285714" style="2"/>
    <col min="5890" max="5890" width="8.28571428571429" style="2" customWidth="1"/>
    <col min="5891" max="5891" width="16.4285714285714" style="2" customWidth="1"/>
    <col min="5892" max="5892" width="14.7142857142857" style="2" customWidth="1"/>
    <col min="5893" max="5893" width="14.8571428571429" style="2" customWidth="1"/>
    <col min="5894" max="5894" width="14.5714285714286" style="2" customWidth="1"/>
    <col min="5895" max="5895" width="13.7142857142857" style="2" customWidth="1"/>
    <col min="5896" max="5896" width="13.8571428571429" style="2" bestFit="1" customWidth="1"/>
    <col min="5897" max="5897" width="11.1428571428571" style="2" customWidth="1"/>
    <col min="5898" max="5898" width="12.7142857142857" style="2" customWidth="1"/>
    <col min="5899" max="5899" width="11.8571428571429" style="2" customWidth="1"/>
    <col min="5900" max="5900" width="11.1428571428571" style="2" customWidth="1"/>
    <col min="5901" max="5901" width="11.2857142857143" style="2" customWidth="1"/>
    <col min="5902" max="5902" width="13" style="2" customWidth="1"/>
    <col min="5903" max="5903" width="12" style="2" customWidth="1"/>
    <col min="5904" max="5904" width="13.4285714285714" style="2" customWidth="1"/>
    <col min="5905" max="5905" width="11.4285714285714" style="2" customWidth="1"/>
    <col min="5906" max="6145" width="9.14285714285714" style="2"/>
    <col min="6146" max="6146" width="8.28571428571429" style="2" customWidth="1"/>
    <col min="6147" max="6147" width="16.4285714285714" style="2" customWidth="1"/>
    <col min="6148" max="6148" width="14.7142857142857" style="2" customWidth="1"/>
    <col min="6149" max="6149" width="14.8571428571429" style="2" customWidth="1"/>
    <col min="6150" max="6150" width="14.5714285714286" style="2" customWidth="1"/>
    <col min="6151" max="6151" width="13.7142857142857" style="2" customWidth="1"/>
    <col min="6152" max="6152" width="13.8571428571429" style="2" bestFit="1" customWidth="1"/>
    <col min="6153" max="6153" width="11.1428571428571" style="2" customWidth="1"/>
    <col min="6154" max="6154" width="12.7142857142857" style="2" customWidth="1"/>
    <col min="6155" max="6155" width="11.8571428571429" style="2" customWidth="1"/>
    <col min="6156" max="6156" width="11.1428571428571" style="2" customWidth="1"/>
    <col min="6157" max="6157" width="11.2857142857143" style="2" customWidth="1"/>
    <col min="6158" max="6158" width="13" style="2" customWidth="1"/>
    <col min="6159" max="6159" width="12" style="2" customWidth="1"/>
    <col min="6160" max="6160" width="13.4285714285714" style="2" customWidth="1"/>
    <col min="6161" max="6161" width="11.4285714285714" style="2" customWidth="1"/>
    <col min="6162" max="6401" width="9.14285714285714" style="2"/>
    <col min="6402" max="6402" width="8.28571428571429" style="2" customWidth="1"/>
    <col min="6403" max="6403" width="16.4285714285714" style="2" customWidth="1"/>
    <col min="6404" max="6404" width="14.7142857142857" style="2" customWidth="1"/>
    <col min="6405" max="6405" width="14.8571428571429" style="2" customWidth="1"/>
    <col min="6406" max="6406" width="14.5714285714286" style="2" customWidth="1"/>
    <col min="6407" max="6407" width="13.7142857142857" style="2" customWidth="1"/>
    <col min="6408" max="6408" width="13.8571428571429" style="2" bestFit="1" customWidth="1"/>
    <col min="6409" max="6409" width="11.1428571428571" style="2" customWidth="1"/>
    <col min="6410" max="6410" width="12.7142857142857" style="2" customWidth="1"/>
    <col min="6411" max="6411" width="11.8571428571429" style="2" customWidth="1"/>
    <col min="6412" max="6412" width="11.1428571428571" style="2" customWidth="1"/>
    <col min="6413" max="6413" width="11.2857142857143" style="2" customWidth="1"/>
    <col min="6414" max="6414" width="13" style="2" customWidth="1"/>
    <col min="6415" max="6415" width="12" style="2" customWidth="1"/>
    <col min="6416" max="6416" width="13.4285714285714" style="2" customWidth="1"/>
    <col min="6417" max="6417" width="11.4285714285714" style="2" customWidth="1"/>
    <col min="6418" max="6657" width="9.14285714285714" style="2"/>
    <col min="6658" max="6658" width="8.28571428571429" style="2" customWidth="1"/>
    <col min="6659" max="6659" width="16.4285714285714" style="2" customWidth="1"/>
    <col min="6660" max="6660" width="14.7142857142857" style="2" customWidth="1"/>
    <col min="6661" max="6661" width="14.8571428571429" style="2" customWidth="1"/>
    <col min="6662" max="6662" width="14.5714285714286" style="2" customWidth="1"/>
    <col min="6663" max="6663" width="13.7142857142857" style="2" customWidth="1"/>
    <col min="6664" max="6664" width="13.8571428571429" style="2" bestFit="1" customWidth="1"/>
    <col min="6665" max="6665" width="11.1428571428571" style="2" customWidth="1"/>
    <col min="6666" max="6666" width="12.7142857142857" style="2" customWidth="1"/>
    <col min="6667" max="6667" width="11.8571428571429" style="2" customWidth="1"/>
    <col min="6668" max="6668" width="11.1428571428571" style="2" customWidth="1"/>
    <col min="6669" max="6669" width="11.2857142857143" style="2" customWidth="1"/>
    <col min="6670" max="6670" width="13" style="2" customWidth="1"/>
    <col min="6671" max="6671" width="12" style="2" customWidth="1"/>
    <col min="6672" max="6672" width="13.4285714285714" style="2" customWidth="1"/>
    <col min="6673" max="6673" width="11.4285714285714" style="2" customWidth="1"/>
    <col min="6674" max="6913" width="9.14285714285714" style="2"/>
    <col min="6914" max="6914" width="8.28571428571429" style="2" customWidth="1"/>
    <col min="6915" max="6915" width="16.4285714285714" style="2" customWidth="1"/>
    <col min="6916" max="6916" width="14.7142857142857" style="2" customWidth="1"/>
    <col min="6917" max="6917" width="14.8571428571429" style="2" customWidth="1"/>
    <col min="6918" max="6918" width="14.5714285714286" style="2" customWidth="1"/>
    <col min="6919" max="6919" width="13.7142857142857" style="2" customWidth="1"/>
    <col min="6920" max="6920" width="13.8571428571429" style="2" bestFit="1" customWidth="1"/>
    <col min="6921" max="6921" width="11.1428571428571" style="2" customWidth="1"/>
    <col min="6922" max="6922" width="12.7142857142857" style="2" customWidth="1"/>
    <col min="6923" max="6923" width="11.8571428571429" style="2" customWidth="1"/>
    <col min="6924" max="6924" width="11.1428571428571" style="2" customWidth="1"/>
    <col min="6925" max="6925" width="11.2857142857143" style="2" customWidth="1"/>
    <col min="6926" max="6926" width="13" style="2" customWidth="1"/>
    <col min="6927" max="6927" width="12" style="2" customWidth="1"/>
    <col min="6928" max="6928" width="13.4285714285714" style="2" customWidth="1"/>
    <col min="6929" max="6929" width="11.4285714285714" style="2" customWidth="1"/>
    <col min="6930" max="7169" width="9.14285714285714" style="2"/>
    <col min="7170" max="7170" width="8.28571428571429" style="2" customWidth="1"/>
    <col min="7171" max="7171" width="16.4285714285714" style="2" customWidth="1"/>
    <col min="7172" max="7172" width="14.7142857142857" style="2" customWidth="1"/>
    <col min="7173" max="7173" width="14.8571428571429" style="2" customWidth="1"/>
    <col min="7174" max="7174" width="14.5714285714286" style="2" customWidth="1"/>
    <col min="7175" max="7175" width="13.7142857142857" style="2" customWidth="1"/>
    <col min="7176" max="7176" width="13.8571428571429" style="2" bestFit="1" customWidth="1"/>
    <col min="7177" max="7177" width="11.1428571428571" style="2" customWidth="1"/>
    <col min="7178" max="7178" width="12.7142857142857" style="2" customWidth="1"/>
    <col min="7179" max="7179" width="11.8571428571429" style="2" customWidth="1"/>
    <col min="7180" max="7180" width="11.1428571428571" style="2" customWidth="1"/>
    <col min="7181" max="7181" width="11.2857142857143" style="2" customWidth="1"/>
    <col min="7182" max="7182" width="13" style="2" customWidth="1"/>
    <col min="7183" max="7183" width="12" style="2" customWidth="1"/>
    <col min="7184" max="7184" width="13.4285714285714" style="2" customWidth="1"/>
    <col min="7185" max="7185" width="11.4285714285714" style="2" customWidth="1"/>
    <col min="7186" max="7425" width="9.14285714285714" style="2"/>
    <col min="7426" max="7426" width="8.28571428571429" style="2" customWidth="1"/>
    <col min="7427" max="7427" width="16.4285714285714" style="2" customWidth="1"/>
    <col min="7428" max="7428" width="14.7142857142857" style="2" customWidth="1"/>
    <col min="7429" max="7429" width="14.8571428571429" style="2" customWidth="1"/>
    <col min="7430" max="7430" width="14.5714285714286" style="2" customWidth="1"/>
    <col min="7431" max="7431" width="13.7142857142857" style="2" customWidth="1"/>
    <col min="7432" max="7432" width="13.8571428571429" style="2" bestFit="1" customWidth="1"/>
    <col min="7433" max="7433" width="11.1428571428571" style="2" customWidth="1"/>
    <col min="7434" max="7434" width="12.7142857142857" style="2" customWidth="1"/>
    <col min="7435" max="7435" width="11.8571428571429" style="2" customWidth="1"/>
    <col min="7436" max="7436" width="11.1428571428571" style="2" customWidth="1"/>
    <col min="7437" max="7437" width="11.2857142857143" style="2" customWidth="1"/>
    <col min="7438" max="7438" width="13" style="2" customWidth="1"/>
    <col min="7439" max="7439" width="12" style="2" customWidth="1"/>
    <col min="7440" max="7440" width="13.4285714285714" style="2" customWidth="1"/>
    <col min="7441" max="7441" width="11.4285714285714" style="2" customWidth="1"/>
    <col min="7442" max="7681" width="9.14285714285714" style="2"/>
    <col min="7682" max="7682" width="8.28571428571429" style="2" customWidth="1"/>
    <col min="7683" max="7683" width="16.4285714285714" style="2" customWidth="1"/>
    <col min="7684" max="7684" width="14.7142857142857" style="2" customWidth="1"/>
    <col min="7685" max="7685" width="14.8571428571429" style="2" customWidth="1"/>
    <col min="7686" max="7686" width="14.5714285714286" style="2" customWidth="1"/>
    <col min="7687" max="7687" width="13.7142857142857" style="2" customWidth="1"/>
    <col min="7688" max="7688" width="13.8571428571429" style="2" bestFit="1" customWidth="1"/>
    <col min="7689" max="7689" width="11.1428571428571" style="2" customWidth="1"/>
    <col min="7690" max="7690" width="12.7142857142857" style="2" customWidth="1"/>
    <col min="7691" max="7691" width="11.8571428571429" style="2" customWidth="1"/>
    <col min="7692" max="7692" width="11.1428571428571" style="2" customWidth="1"/>
    <col min="7693" max="7693" width="11.2857142857143" style="2" customWidth="1"/>
    <col min="7694" max="7694" width="13" style="2" customWidth="1"/>
    <col min="7695" max="7695" width="12" style="2" customWidth="1"/>
    <col min="7696" max="7696" width="13.4285714285714" style="2" customWidth="1"/>
    <col min="7697" max="7697" width="11.4285714285714" style="2" customWidth="1"/>
    <col min="7698" max="7937" width="9.14285714285714" style="2"/>
    <col min="7938" max="7938" width="8.28571428571429" style="2" customWidth="1"/>
    <col min="7939" max="7939" width="16.4285714285714" style="2" customWidth="1"/>
    <col min="7940" max="7940" width="14.7142857142857" style="2" customWidth="1"/>
    <col min="7941" max="7941" width="14.8571428571429" style="2" customWidth="1"/>
    <col min="7942" max="7942" width="14.5714285714286" style="2" customWidth="1"/>
    <col min="7943" max="7943" width="13.7142857142857" style="2" customWidth="1"/>
    <col min="7944" max="7944" width="13.8571428571429" style="2" bestFit="1" customWidth="1"/>
    <col min="7945" max="7945" width="11.1428571428571" style="2" customWidth="1"/>
    <col min="7946" max="7946" width="12.7142857142857" style="2" customWidth="1"/>
    <col min="7947" max="7947" width="11.8571428571429" style="2" customWidth="1"/>
    <col min="7948" max="7948" width="11.1428571428571" style="2" customWidth="1"/>
    <col min="7949" max="7949" width="11.2857142857143" style="2" customWidth="1"/>
    <col min="7950" max="7950" width="13" style="2" customWidth="1"/>
    <col min="7951" max="7951" width="12" style="2" customWidth="1"/>
    <col min="7952" max="7952" width="13.4285714285714" style="2" customWidth="1"/>
    <col min="7953" max="7953" width="11.4285714285714" style="2" customWidth="1"/>
    <col min="7954" max="8193" width="9.14285714285714" style="2"/>
    <col min="8194" max="8194" width="8.28571428571429" style="2" customWidth="1"/>
    <col min="8195" max="8195" width="16.4285714285714" style="2" customWidth="1"/>
    <col min="8196" max="8196" width="14.7142857142857" style="2" customWidth="1"/>
    <col min="8197" max="8197" width="14.8571428571429" style="2" customWidth="1"/>
    <col min="8198" max="8198" width="14.5714285714286" style="2" customWidth="1"/>
    <col min="8199" max="8199" width="13.7142857142857" style="2" customWidth="1"/>
    <col min="8200" max="8200" width="13.8571428571429" style="2" bestFit="1" customWidth="1"/>
    <col min="8201" max="8201" width="11.1428571428571" style="2" customWidth="1"/>
    <col min="8202" max="8202" width="12.7142857142857" style="2" customWidth="1"/>
    <col min="8203" max="8203" width="11.8571428571429" style="2" customWidth="1"/>
    <col min="8204" max="8204" width="11.1428571428571" style="2" customWidth="1"/>
    <col min="8205" max="8205" width="11.2857142857143" style="2" customWidth="1"/>
    <col min="8206" max="8206" width="13" style="2" customWidth="1"/>
    <col min="8207" max="8207" width="12" style="2" customWidth="1"/>
    <col min="8208" max="8208" width="13.4285714285714" style="2" customWidth="1"/>
    <col min="8209" max="8209" width="11.4285714285714" style="2" customWidth="1"/>
    <col min="8210" max="8449" width="9.14285714285714" style="2"/>
    <col min="8450" max="8450" width="8.28571428571429" style="2" customWidth="1"/>
    <col min="8451" max="8451" width="16.4285714285714" style="2" customWidth="1"/>
    <col min="8452" max="8452" width="14.7142857142857" style="2" customWidth="1"/>
    <col min="8453" max="8453" width="14.8571428571429" style="2" customWidth="1"/>
    <col min="8454" max="8454" width="14.5714285714286" style="2" customWidth="1"/>
    <col min="8455" max="8455" width="13.7142857142857" style="2" customWidth="1"/>
    <col min="8456" max="8456" width="13.8571428571429" style="2" bestFit="1" customWidth="1"/>
    <col min="8457" max="8457" width="11.1428571428571" style="2" customWidth="1"/>
    <col min="8458" max="8458" width="12.7142857142857" style="2" customWidth="1"/>
    <col min="8459" max="8459" width="11.8571428571429" style="2" customWidth="1"/>
    <col min="8460" max="8460" width="11.1428571428571" style="2" customWidth="1"/>
    <col min="8461" max="8461" width="11.2857142857143" style="2" customWidth="1"/>
    <col min="8462" max="8462" width="13" style="2" customWidth="1"/>
    <col min="8463" max="8463" width="12" style="2" customWidth="1"/>
    <col min="8464" max="8464" width="13.4285714285714" style="2" customWidth="1"/>
    <col min="8465" max="8465" width="11.4285714285714" style="2" customWidth="1"/>
    <col min="8466" max="8705" width="9.14285714285714" style="2"/>
    <col min="8706" max="8706" width="8.28571428571429" style="2" customWidth="1"/>
    <col min="8707" max="8707" width="16.4285714285714" style="2" customWidth="1"/>
    <col min="8708" max="8708" width="14.7142857142857" style="2" customWidth="1"/>
    <col min="8709" max="8709" width="14.8571428571429" style="2" customWidth="1"/>
    <col min="8710" max="8710" width="14.5714285714286" style="2" customWidth="1"/>
    <col min="8711" max="8711" width="13.7142857142857" style="2" customWidth="1"/>
    <col min="8712" max="8712" width="13.8571428571429" style="2" bestFit="1" customWidth="1"/>
    <col min="8713" max="8713" width="11.1428571428571" style="2" customWidth="1"/>
    <col min="8714" max="8714" width="12.7142857142857" style="2" customWidth="1"/>
    <col min="8715" max="8715" width="11.8571428571429" style="2" customWidth="1"/>
    <col min="8716" max="8716" width="11.1428571428571" style="2" customWidth="1"/>
    <col min="8717" max="8717" width="11.2857142857143" style="2" customWidth="1"/>
    <col min="8718" max="8718" width="13" style="2" customWidth="1"/>
    <col min="8719" max="8719" width="12" style="2" customWidth="1"/>
    <col min="8720" max="8720" width="13.4285714285714" style="2" customWidth="1"/>
    <col min="8721" max="8721" width="11.4285714285714" style="2" customWidth="1"/>
    <col min="8722" max="8961" width="9.14285714285714" style="2"/>
    <col min="8962" max="8962" width="8.28571428571429" style="2" customWidth="1"/>
    <col min="8963" max="8963" width="16.4285714285714" style="2" customWidth="1"/>
    <col min="8964" max="8964" width="14.7142857142857" style="2" customWidth="1"/>
    <col min="8965" max="8965" width="14.8571428571429" style="2" customWidth="1"/>
    <col min="8966" max="8966" width="14.5714285714286" style="2" customWidth="1"/>
    <col min="8967" max="8967" width="13.7142857142857" style="2" customWidth="1"/>
    <col min="8968" max="8968" width="13.8571428571429" style="2" bestFit="1" customWidth="1"/>
    <col min="8969" max="8969" width="11.1428571428571" style="2" customWidth="1"/>
    <col min="8970" max="8970" width="12.7142857142857" style="2" customWidth="1"/>
    <col min="8971" max="8971" width="11.8571428571429" style="2" customWidth="1"/>
    <col min="8972" max="8972" width="11.1428571428571" style="2" customWidth="1"/>
    <col min="8973" max="8973" width="11.2857142857143" style="2" customWidth="1"/>
    <col min="8974" max="8974" width="13" style="2" customWidth="1"/>
    <col min="8975" max="8975" width="12" style="2" customWidth="1"/>
    <col min="8976" max="8976" width="13.4285714285714" style="2" customWidth="1"/>
    <col min="8977" max="8977" width="11.4285714285714" style="2" customWidth="1"/>
    <col min="8978" max="9217" width="9.14285714285714" style="2"/>
    <col min="9218" max="9218" width="8.28571428571429" style="2" customWidth="1"/>
    <col min="9219" max="9219" width="16.4285714285714" style="2" customWidth="1"/>
    <col min="9220" max="9220" width="14.7142857142857" style="2" customWidth="1"/>
    <col min="9221" max="9221" width="14.8571428571429" style="2" customWidth="1"/>
    <col min="9222" max="9222" width="14.5714285714286" style="2" customWidth="1"/>
    <col min="9223" max="9223" width="13.7142857142857" style="2" customWidth="1"/>
    <col min="9224" max="9224" width="13.8571428571429" style="2" bestFit="1" customWidth="1"/>
    <col min="9225" max="9225" width="11.1428571428571" style="2" customWidth="1"/>
    <col min="9226" max="9226" width="12.7142857142857" style="2" customWidth="1"/>
    <col min="9227" max="9227" width="11.8571428571429" style="2" customWidth="1"/>
    <col min="9228" max="9228" width="11.1428571428571" style="2" customWidth="1"/>
    <col min="9229" max="9229" width="11.2857142857143" style="2" customWidth="1"/>
    <col min="9230" max="9230" width="13" style="2" customWidth="1"/>
    <col min="9231" max="9231" width="12" style="2" customWidth="1"/>
    <col min="9232" max="9232" width="13.4285714285714" style="2" customWidth="1"/>
    <col min="9233" max="9233" width="11.4285714285714" style="2" customWidth="1"/>
    <col min="9234" max="9473" width="9.14285714285714" style="2"/>
    <col min="9474" max="9474" width="8.28571428571429" style="2" customWidth="1"/>
    <col min="9475" max="9475" width="16.4285714285714" style="2" customWidth="1"/>
    <col min="9476" max="9476" width="14.7142857142857" style="2" customWidth="1"/>
    <col min="9477" max="9477" width="14.8571428571429" style="2" customWidth="1"/>
    <col min="9478" max="9478" width="14.5714285714286" style="2" customWidth="1"/>
    <col min="9479" max="9479" width="13.7142857142857" style="2" customWidth="1"/>
    <col min="9480" max="9480" width="13.8571428571429" style="2" bestFit="1" customWidth="1"/>
    <col min="9481" max="9481" width="11.1428571428571" style="2" customWidth="1"/>
    <col min="9482" max="9482" width="12.7142857142857" style="2" customWidth="1"/>
    <col min="9483" max="9483" width="11.8571428571429" style="2" customWidth="1"/>
    <col min="9484" max="9484" width="11.1428571428571" style="2" customWidth="1"/>
    <col min="9485" max="9485" width="11.2857142857143" style="2" customWidth="1"/>
    <col min="9486" max="9486" width="13" style="2" customWidth="1"/>
    <col min="9487" max="9487" width="12" style="2" customWidth="1"/>
    <col min="9488" max="9488" width="13.4285714285714" style="2" customWidth="1"/>
    <col min="9489" max="9489" width="11.4285714285714" style="2" customWidth="1"/>
    <col min="9490" max="9729" width="9.14285714285714" style="2"/>
    <col min="9730" max="9730" width="8.28571428571429" style="2" customWidth="1"/>
    <col min="9731" max="9731" width="16.4285714285714" style="2" customWidth="1"/>
    <col min="9732" max="9732" width="14.7142857142857" style="2" customWidth="1"/>
    <col min="9733" max="9733" width="14.8571428571429" style="2" customWidth="1"/>
    <col min="9734" max="9734" width="14.5714285714286" style="2" customWidth="1"/>
    <col min="9735" max="9735" width="13.7142857142857" style="2" customWidth="1"/>
    <col min="9736" max="9736" width="13.8571428571429" style="2" bestFit="1" customWidth="1"/>
    <col min="9737" max="9737" width="11.1428571428571" style="2" customWidth="1"/>
    <col min="9738" max="9738" width="12.7142857142857" style="2" customWidth="1"/>
    <col min="9739" max="9739" width="11.8571428571429" style="2" customWidth="1"/>
    <col min="9740" max="9740" width="11.1428571428571" style="2" customWidth="1"/>
    <col min="9741" max="9741" width="11.2857142857143" style="2" customWidth="1"/>
    <col min="9742" max="9742" width="13" style="2" customWidth="1"/>
    <col min="9743" max="9743" width="12" style="2" customWidth="1"/>
    <col min="9744" max="9744" width="13.4285714285714" style="2" customWidth="1"/>
    <col min="9745" max="9745" width="11.4285714285714" style="2" customWidth="1"/>
    <col min="9746" max="9985" width="9.14285714285714" style="2"/>
    <col min="9986" max="9986" width="8.28571428571429" style="2" customWidth="1"/>
    <col min="9987" max="9987" width="16.4285714285714" style="2" customWidth="1"/>
    <col min="9988" max="9988" width="14.7142857142857" style="2" customWidth="1"/>
    <col min="9989" max="9989" width="14.8571428571429" style="2" customWidth="1"/>
    <col min="9990" max="9990" width="14.5714285714286" style="2" customWidth="1"/>
    <col min="9991" max="9991" width="13.7142857142857" style="2" customWidth="1"/>
    <col min="9992" max="9992" width="13.8571428571429" style="2" bestFit="1" customWidth="1"/>
    <col min="9993" max="9993" width="11.1428571428571" style="2" customWidth="1"/>
    <col min="9994" max="9994" width="12.7142857142857" style="2" customWidth="1"/>
    <col min="9995" max="9995" width="11.8571428571429" style="2" customWidth="1"/>
    <col min="9996" max="9996" width="11.1428571428571" style="2" customWidth="1"/>
    <col min="9997" max="9997" width="11.2857142857143" style="2" customWidth="1"/>
    <col min="9998" max="9998" width="13" style="2" customWidth="1"/>
    <col min="9999" max="9999" width="12" style="2" customWidth="1"/>
    <col min="10000" max="10000" width="13.4285714285714" style="2" customWidth="1"/>
    <col min="10001" max="10001" width="11.4285714285714" style="2" customWidth="1"/>
    <col min="10002" max="10241" width="9.14285714285714" style="2"/>
    <col min="10242" max="10242" width="8.28571428571429" style="2" customWidth="1"/>
    <col min="10243" max="10243" width="16.4285714285714" style="2" customWidth="1"/>
    <col min="10244" max="10244" width="14.7142857142857" style="2" customWidth="1"/>
    <col min="10245" max="10245" width="14.8571428571429" style="2" customWidth="1"/>
    <col min="10246" max="10246" width="14.5714285714286" style="2" customWidth="1"/>
    <col min="10247" max="10247" width="13.7142857142857" style="2" customWidth="1"/>
    <col min="10248" max="10248" width="13.8571428571429" style="2" bestFit="1" customWidth="1"/>
    <col min="10249" max="10249" width="11.1428571428571" style="2" customWidth="1"/>
    <col min="10250" max="10250" width="12.7142857142857" style="2" customWidth="1"/>
    <col min="10251" max="10251" width="11.8571428571429" style="2" customWidth="1"/>
    <col min="10252" max="10252" width="11.1428571428571" style="2" customWidth="1"/>
    <col min="10253" max="10253" width="11.2857142857143" style="2" customWidth="1"/>
    <col min="10254" max="10254" width="13" style="2" customWidth="1"/>
    <col min="10255" max="10255" width="12" style="2" customWidth="1"/>
    <col min="10256" max="10256" width="13.4285714285714" style="2" customWidth="1"/>
    <col min="10257" max="10257" width="11.4285714285714" style="2" customWidth="1"/>
    <col min="10258" max="10497" width="9.14285714285714" style="2"/>
    <col min="10498" max="10498" width="8.28571428571429" style="2" customWidth="1"/>
    <col min="10499" max="10499" width="16.4285714285714" style="2" customWidth="1"/>
    <col min="10500" max="10500" width="14.7142857142857" style="2" customWidth="1"/>
    <col min="10501" max="10501" width="14.8571428571429" style="2" customWidth="1"/>
    <col min="10502" max="10502" width="14.5714285714286" style="2" customWidth="1"/>
    <col min="10503" max="10503" width="13.7142857142857" style="2" customWidth="1"/>
    <col min="10504" max="10504" width="13.8571428571429" style="2" bestFit="1" customWidth="1"/>
    <col min="10505" max="10505" width="11.1428571428571" style="2" customWidth="1"/>
    <col min="10506" max="10506" width="12.7142857142857" style="2" customWidth="1"/>
    <col min="10507" max="10507" width="11.8571428571429" style="2" customWidth="1"/>
    <col min="10508" max="10508" width="11.1428571428571" style="2" customWidth="1"/>
    <col min="10509" max="10509" width="11.2857142857143" style="2" customWidth="1"/>
    <col min="10510" max="10510" width="13" style="2" customWidth="1"/>
    <col min="10511" max="10511" width="12" style="2" customWidth="1"/>
    <col min="10512" max="10512" width="13.4285714285714" style="2" customWidth="1"/>
    <col min="10513" max="10513" width="11.4285714285714" style="2" customWidth="1"/>
    <col min="10514" max="10753" width="9.14285714285714" style="2"/>
    <col min="10754" max="10754" width="8.28571428571429" style="2" customWidth="1"/>
    <col min="10755" max="10755" width="16.4285714285714" style="2" customWidth="1"/>
    <col min="10756" max="10756" width="14.7142857142857" style="2" customWidth="1"/>
    <col min="10757" max="10757" width="14.8571428571429" style="2" customWidth="1"/>
    <col min="10758" max="10758" width="14.5714285714286" style="2" customWidth="1"/>
    <col min="10759" max="10759" width="13.7142857142857" style="2" customWidth="1"/>
    <col min="10760" max="10760" width="13.8571428571429" style="2" bestFit="1" customWidth="1"/>
    <col min="10761" max="10761" width="11.1428571428571" style="2" customWidth="1"/>
    <col min="10762" max="10762" width="12.7142857142857" style="2" customWidth="1"/>
    <col min="10763" max="10763" width="11.8571428571429" style="2" customWidth="1"/>
    <col min="10764" max="10764" width="11.1428571428571" style="2" customWidth="1"/>
    <col min="10765" max="10765" width="11.2857142857143" style="2" customWidth="1"/>
    <col min="10766" max="10766" width="13" style="2" customWidth="1"/>
    <col min="10767" max="10767" width="12" style="2" customWidth="1"/>
    <col min="10768" max="10768" width="13.4285714285714" style="2" customWidth="1"/>
    <col min="10769" max="10769" width="11.4285714285714" style="2" customWidth="1"/>
    <col min="10770" max="11009" width="9.14285714285714" style="2"/>
    <col min="11010" max="11010" width="8.28571428571429" style="2" customWidth="1"/>
    <col min="11011" max="11011" width="16.4285714285714" style="2" customWidth="1"/>
    <col min="11012" max="11012" width="14.7142857142857" style="2" customWidth="1"/>
    <col min="11013" max="11013" width="14.8571428571429" style="2" customWidth="1"/>
    <col min="11014" max="11014" width="14.5714285714286" style="2" customWidth="1"/>
    <col min="11015" max="11015" width="13.7142857142857" style="2" customWidth="1"/>
    <col min="11016" max="11016" width="13.8571428571429" style="2" bestFit="1" customWidth="1"/>
    <col min="11017" max="11017" width="11.1428571428571" style="2" customWidth="1"/>
    <col min="11018" max="11018" width="12.7142857142857" style="2" customWidth="1"/>
    <col min="11019" max="11019" width="11.8571428571429" style="2" customWidth="1"/>
    <col min="11020" max="11020" width="11.1428571428571" style="2" customWidth="1"/>
    <col min="11021" max="11021" width="11.2857142857143" style="2" customWidth="1"/>
    <col min="11022" max="11022" width="13" style="2" customWidth="1"/>
    <col min="11023" max="11023" width="12" style="2" customWidth="1"/>
    <col min="11024" max="11024" width="13.4285714285714" style="2" customWidth="1"/>
    <col min="11025" max="11025" width="11.4285714285714" style="2" customWidth="1"/>
    <col min="11026" max="11265" width="9.14285714285714" style="2"/>
    <col min="11266" max="11266" width="8.28571428571429" style="2" customWidth="1"/>
    <col min="11267" max="11267" width="16.4285714285714" style="2" customWidth="1"/>
    <col min="11268" max="11268" width="14.7142857142857" style="2" customWidth="1"/>
    <col min="11269" max="11269" width="14.8571428571429" style="2" customWidth="1"/>
    <col min="11270" max="11270" width="14.5714285714286" style="2" customWidth="1"/>
    <col min="11271" max="11271" width="13.7142857142857" style="2" customWidth="1"/>
    <col min="11272" max="11272" width="13.8571428571429" style="2" bestFit="1" customWidth="1"/>
    <col min="11273" max="11273" width="11.1428571428571" style="2" customWidth="1"/>
    <col min="11274" max="11274" width="12.7142857142857" style="2" customWidth="1"/>
    <col min="11275" max="11275" width="11.8571428571429" style="2" customWidth="1"/>
    <col min="11276" max="11276" width="11.1428571428571" style="2" customWidth="1"/>
    <col min="11277" max="11277" width="11.2857142857143" style="2" customWidth="1"/>
    <col min="11278" max="11278" width="13" style="2" customWidth="1"/>
    <col min="11279" max="11279" width="12" style="2" customWidth="1"/>
    <col min="11280" max="11280" width="13.4285714285714" style="2" customWidth="1"/>
    <col min="11281" max="11281" width="11.4285714285714" style="2" customWidth="1"/>
    <col min="11282" max="11521" width="9.14285714285714" style="2"/>
    <col min="11522" max="11522" width="8.28571428571429" style="2" customWidth="1"/>
    <col min="11523" max="11523" width="16.4285714285714" style="2" customWidth="1"/>
    <col min="11524" max="11524" width="14.7142857142857" style="2" customWidth="1"/>
    <col min="11525" max="11525" width="14.8571428571429" style="2" customWidth="1"/>
    <col min="11526" max="11526" width="14.5714285714286" style="2" customWidth="1"/>
    <col min="11527" max="11527" width="13.7142857142857" style="2" customWidth="1"/>
    <col min="11528" max="11528" width="13.8571428571429" style="2" bestFit="1" customWidth="1"/>
    <col min="11529" max="11529" width="11.1428571428571" style="2" customWidth="1"/>
    <col min="11530" max="11530" width="12.7142857142857" style="2" customWidth="1"/>
    <col min="11531" max="11531" width="11.8571428571429" style="2" customWidth="1"/>
    <col min="11532" max="11532" width="11.1428571428571" style="2" customWidth="1"/>
    <col min="11533" max="11533" width="11.2857142857143" style="2" customWidth="1"/>
    <col min="11534" max="11534" width="13" style="2" customWidth="1"/>
    <col min="11535" max="11535" width="12" style="2" customWidth="1"/>
    <col min="11536" max="11536" width="13.4285714285714" style="2" customWidth="1"/>
    <col min="11537" max="11537" width="11.4285714285714" style="2" customWidth="1"/>
    <col min="11538" max="11777" width="9.14285714285714" style="2"/>
    <col min="11778" max="11778" width="8.28571428571429" style="2" customWidth="1"/>
    <col min="11779" max="11779" width="16.4285714285714" style="2" customWidth="1"/>
    <col min="11780" max="11780" width="14.7142857142857" style="2" customWidth="1"/>
    <col min="11781" max="11781" width="14.8571428571429" style="2" customWidth="1"/>
    <col min="11782" max="11782" width="14.5714285714286" style="2" customWidth="1"/>
    <col min="11783" max="11783" width="13.7142857142857" style="2" customWidth="1"/>
    <col min="11784" max="11784" width="13.8571428571429" style="2" bestFit="1" customWidth="1"/>
    <col min="11785" max="11785" width="11.1428571428571" style="2" customWidth="1"/>
    <col min="11786" max="11786" width="12.7142857142857" style="2" customWidth="1"/>
    <col min="11787" max="11787" width="11.8571428571429" style="2" customWidth="1"/>
    <col min="11788" max="11788" width="11.1428571428571" style="2" customWidth="1"/>
    <col min="11789" max="11789" width="11.2857142857143" style="2" customWidth="1"/>
    <col min="11790" max="11790" width="13" style="2" customWidth="1"/>
    <col min="11791" max="11791" width="12" style="2" customWidth="1"/>
    <col min="11792" max="11792" width="13.4285714285714" style="2" customWidth="1"/>
    <col min="11793" max="11793" width="11.4285714285714" style="2" customWidth="1"/>
    <col min="11794" max="12033" width="9.14285714285714" style="2"/>
    <col min="12034" max="12034" width="8.28571428571429" style="2" customWidth="1"/>
    <col min="12035" max="12035" width="16.4285714285714" style="2" customWidth="1"/>
    <col min="12036" max="12036" width="14.7142857142857" style="2" customWidth="1"/>
    <col min="12037" max="12037" width="14.8571428571429" style="2" customWidth="1"/>
    <col min="12038" max="12038" width="14.5714285714286" style="2" customWidth="1"/>
    <col min="12039" max="12039" width="13.7142857142857" style="2" customWidth="1"/>
    <col min="12040" max="12040" width="13.8571428571429" style="2" bestFit="1" customWidth="1"/>
    <col min="12041" max="12041" width="11.1428571428571" style="2" customWidth="1"/>
    <col min="12042" max="12042" width="12.7142857142857" style="2" customWidth="1"/>
    <col min="12043" max="12043" width="11.8571428571429" style="2" customWidth="1"/>
    <col min="12044" max="12044" width="11.1428571428571" style="2" customWidth="1"/>
    <col min="12045" max="12045" width="11.2857142857143" style="2" customWidth="1"/>
    <col min="12046" max="12046" width="13" style="2" customWidth="1"/>
    <col min="12047" max="12047" width="12" style="2" customWidth="1"/>
    <col min="12048" max="12048" width="13.4285714285714" style="2" customWidth="1"/>
    <col min="12049" max="12049" width="11.4285714285714" style="2" customWidth="1"/>
    <col min="12050" max="12289" width="9.14285714285714" style="2"/>
    <col min="12290" max="12290" width="8.28571428571429" style="2" customWidth="1"/>
    <col min="12291" max="12291" width="16.4285714285714" style="2" customWidth="1"/>
    <col min="12292" max="12292" width="14.7142857142857" style="2" customWidth="1"/>
    <col min="12293" max="12293" width="14.8571428571429" style="2" customWidth="1"/>
    <col min="12294" max="12294" width="14.5714285714286" style="2" customWidth="1"/>
    <col min="12295" max="12295" width="13.7142857142857" style="2" customWidth="1"/>
    <col min="12296" max="12296" width="13.8571428571429" style="2" bestFit="1" customWidth="1"/>
    <col min="12297" max="12297" width="11.1428571428571" style="2" customWidth="1"/>
    <col min="12298" max="12298" width="12.7142857142857" style="2" customWidth="1"/>
    <col min="12299" max="12299" width="11.8571428571429" style="2" customWidth="1"/>
    <col min="12300" max="12300" width="11.1428571428571" style="2" customWidth="1"/>
    <col min="12301" max="12301" width="11.2857142857143" style="2" customWidth="1"/>
    <col min="12302" max="12302" width="13" style="2" customWidth="1"/>
    <col min="12303" max="12303" width="12" style="2" customWidth="1"/>
    <col min="12304" max="12304" width="13.4285714285714" style="2" customWidth="1"/>
    <col min="12305" max="12305" width="11.4285714285714" style="2" customWidth="1"/>
    <col min="12306" max="12545" width="9.14285714285714" style="2"/>
    <col min="12546" max="12546" width="8.28571428571429" style="2" customWidth="1"/>
    <col min="12547" max="12547" width="16.4285714285714" style="2" customWidth="1"/>
    <col min="12548" max="12548" width="14.7142857142857" style="2" customWidth="1"/>
    <col min="12549" max="12549" width="14.8571428571429" style="2" customWidth="1"/>
    <col min="12550" max="12550" width="14.5714285714286" style="2" customWidth="1"/>
    <col min="12551" max="12551" width="13.7142857142857" style="2" customWidth="1"/>
    <col min="12552" max="12552" width="13.8571428571429" style="2" bestFit="1" customWidth="1"/>
    <col min="12553" max="12553" width="11.1428571428571" style="2" customWidth="1"/>
    <col min="12554" max="12554" width="12.7142857142857" style="2" customWidth="1"/>
    <col min="12555" max="12555" width="11.8571428571429" style="2" customWidth="1"/>
    <col min="12556" max="12556" width="11.1428571428571" style="2" customWidth="1"/>
    <col min="12557" max="12557" width="11.2857142857143" style="2" customWidth="1"/>
    <col min="12558" max="12558" width="13" style="2" customWidth="1"/>
    <col min="12559" max="12559" width="12" style="2" customWidth="1"/>
    <col min="12560" max="12560" width="13.4285714285714" style="2" customWidth="1"/>
    <col min="12561" max="12561" width="11.4285714285714" style="2" customWidth="1"/>
    <col min="12562" max="12801" width="9.14285714285714" style="2"/>
    <col min="12802" max="12802" width="8.28571428571429" style="2" customWidth="1"/>
    <col min="12803" max="12803" width="16.4285714285714" style="2" customWidth="1"/>
    <col min="12804" max="12804" width="14.7142857142857" style="2" customWidth="1"/>
    <col min="12805" max="12805" width="14.8571428571429" style="2" customWidth="1"/>
    <col min="12806" max="12806" width="14.5714285714286" style="2" customWidth="1"/>
    <col min="12807" max="12807" width="13.7142857142857" style="2" customWidth="1"/>
    <col min="12808" max="12808" width="13.8571428571429" style="2" bestFit="1" customWidth="1"/>
    <col min="12809" max="12809" width="11.1428571428571" style="2" customWidth="1"/>
    <col min="12810" max="12810" width="12.7142857142857" style="2" customWidth="1"/>
    <col min="12811" max="12811" width="11.8571428571429" style="2" customWidth="1"/>
    <col min="12812" max="12812" width="11.1428571428571" style="2" customWidth="1"/>
    <col min="12813" max="12813" width="11.2857142857143" style="2" customWidth="1"/>
    <col min="12814" max="12814" width="13" style="2" customWidth="1"/>
    <col min="12815" max="12815" width="12" style="2" customWidth="1"/>
    <col min="12816" max="12816" width="13.4285714285714" style="2" customWidth="1"/>
    <col min="12817" max="12817" width="11.4285714285714" style="2" customWidth="1"/>
    <col min="12818" max="13057" width="9.14285714285714" style="2"/>
    <col min="13058" max="13058" width="8.28571428571429" style="2" customWidth="1"/>
    <col min="13059" max="13059" width="16.4285714285714" style="2" customWidth="1"/>
    <col min="13060" max="13060" width="14.7142857142857" style="2" customWidth="1"/>
    <col min="13061" max="13061" width="14.8571428571429" style="2" customWidth="1"/>
    <col min="13062" max="13062" width="14.5714285714286" style="2" customWidth="1"/>
    <col min="13063" max="13063" width="13.7142857142857" style="2" customWidth="1"/>
    <col min="13064" max="13064" width="13.8571428571429" style="2" bestFit="1" customWidth="1"/>
    <col min="13065" max="13065" width="11.1428571428571" style="2" customWidth="1"/>
    <col min="13066" max="13066" width="12.7142857142857" style="2" customWidth="1"/>
    <col min="13067" max="13067" width="11.8571428571429" style="2" customWidth="1"/>
    <col min="13068" max="13068" width="11.1428571428571" style="2" customWidth="1"/>
    <col min="13069" max="13069" width="11.2857142857143" style="2" customWidth="1"/>
    <col min="13070" max="13070" width="13" style="2" customWidth="1"/>
    <col min="13071" max="13071" width="12" style="2" customWidth="1"/>
    <col min="13072" max="13072" width="13.4285714285714" style="2" customWidth="1"/>
    <col min="13073" max="13073" width="11.4285714285714" style="2" customWidth="1"/>
    <col min="13074" max="13313" width="9.14285714285714" style="2"/>
    <col min="13314" max="13314" width="8.28571428571429" style="2" customWidth="1"/>
    <col min="13315" max="13315" width="16.4285714285714" style="2" customWidth="1"/>
    <col min="13316" max="13316" width="14.7142857142857" style="2" customWidth="1"/>
    <col min="13317" max="13317" width="14.8571428571429" style="2" customWidth="1"/>
    <col min="13318" max="13318" width="14.5714285714286" style="2" customWidth="1"/>
    <col min="13319" max="13319" width="13.7142857142857" style="2" customWidth="1"/>
    <col min="13320" max="13320" width="13.8571428571429" style="2" bestFit="1" customWidth="1"/>
    <col min="13321" max="13321" width="11.1428571428571" style="2" customWidth="1"/>
    <col min="13322" max="13322" width="12.7142857142857" style="2" customWidth="1"/>
    <col min="13323" max="13323" width="11.8571428571429" style="2" customWidth="1"/>
    <col min="13324" max="13324" width="11.1428571428571" style="2" customWidth="1"/>
    <col min="13325" max="13325" width="11.2857142857143" style="2" customWidth="1"/>
    <col min="13326" max="13326" width="13" style="2" customWidth="1"/>
    <col min="13327" max="13327" width="12" style="2" customWidth="1"/>
    <col min="13328" max="13328" width="13.4285714285714" style="2" customWidth="1"/>
    <col min="13329" max="13329" width="11.4285714285714" style="2" customWidth="1"/>
    <col min="13330" max="13569" width="9.14285714285714" style="2"/>
    <col min="13570" max="13570" width="8.28571428571429" style="2" customWidth="1"/>
    <col min="13571" max="13571" width="16.4285714285714" style="2" customWidth="1"/>
    <col min="13572" max="13572" width="14.7142857142857" style="2" customWidth="1"/>
    <col min="13573" max="13573" width="14.8571428571429" style="2" customWidth="1"/>
    <col min="13574" max="13574" width="14.5714285714286" style="2" customWidth="1"/>
    <col min="13575" max="13575" width="13.7142857142857" style="2" customWidth="1"/>
    <col min="13576" max="13576" width="13.8571428571429" style="2" bestFit="1" customWidth="1"/>
    <col min="13577" max="13577" width="11.1428571428571" style="2" customWidth="1"/>
    <col min="13578" max="13578" width="12.7142857142857" style="2" customWidth="1"/>
    <col min="13579" max="13579" width="11.8571428571429" style="2" customWidth="1"/>
    <col min="13580" max="13580" width="11.1428571428571" style="2" customWidth="1"/>
    <col min="13581" max="13581" width="11.2857142857143" style="2" customWidth="1"/>
    <col min="13582" max="13582" width="13" style="2" customWidth="1"/>
    <col min="13583" max="13583" width="12" style="2" customWidth="1"/>
    <col min="13584" max="13584" width="13.4285714285714" style="2" customWidth="1"/>
    <col min="13585" max="13585" width="11.4285714285714" style="2" customWidth="1"/>
    <col min="13586" max="13825" width="9.14285714285714" style="2"/>
    <col min="13826" max="13826" width="8.28571428571429" style="2" customWidth="1"/>
    <col min="13827" max="13827" width="16.4285714285714" style="2" customWidth="1"/>
    <col min="13828" max="13828" width="14.7142857142857" style="2" customWidth="1"/>
    <col min="13829" max="13829" width="14.8571428571429" style="2" customWidth="1"/>
    <col min="13830" max="13830" width="14.5714285714286" style="2" customWidth="1"/>
    <col min="13831" max="13831" width="13.7142857142857" style="2" customWidth="1"/>
    <col min="13832" max="13832" width="13.8571428571429" style="2" bestFit="1" customWidth="1"/>
    <col min="13833" max="13833" width="11.1428571428571" style="2" customWidth="1"/>
    <col min="13834" max="13834" width="12.7142857142857" style="2" customWidth="1"/>
    <col min="13835" max="13835" width="11.8571428571429" style="2" customWidth="1"/>
    <col min="13836" max="13836" width="11.1428571428571" style="2" customWidth="1"/>
    <col min="13837" max="13837" width="11.2857142857143" style="2" customWidth="1"/>
    <col min="13838" max="13838" width="13" style="2" customWidth="1"/>
    <col min="13839" max="13839" width="12" style="2" customWidth="1"/>
    <col min="13840" max="13840" width="13.4285714285714" style="2" customWidth="1"/>
    <col min="13841" max="13841" width="11.4285714285714" style="2" customWidth="1"/>
    <col min="13842" max="14081" width="9.14285714285714" style="2"/>
    <col min="14082" max="14082" width="8.28571428571429" style="2" customWidth="1"/>
    <col min="14083" max="14083" width="16.4285714285714" style="2" customWidth="1"/>
    <col min="14084" max="14084" width="14.7142857142857" style="2" customWidth="1"/>
    <col min="14085" max="14085" width="14.8571428571429" style="2" customWidth="1"/>
    <col min="14086" max="14086" width="14.5714285714286" style="2" customWidth="1"/>
    <col min="14087" max="14087" width="13.7142857142857" style="2" customWidth="1"/>
    <col min="14088" max="14088" width="13.8571428571429" style="2" bestFit="1" customWidth="1"/>
    <col min="14089" max="14089" width="11.1428571428571" style="2" customWidth="1"/>
    <col min="14090" max="14090" width="12.7142857142857" style="2" customWidth="1"/>
    <col min="14091" max="14091" width="11.8571428571429" style="2" customWidth="1"/>
    <col min="14092" max="14092" width="11.1428571428571" style="2" customWidth="1"/>
    <col min="14093" max="14093" width="11.2857142857143" style="2" customWidth="1"/>
    <col min="14094" max="14094" width="13" style="2" customWidth="1"/>
    <col min="14095" max="14095" width="12" style="2" customWidth="1"/>
    <col min="14096" max="14096" width="13.4285714285714" style="2" customWidth="1"/>
    <col min="14097" max="14097" width="11.4285714285714" style="2" customWidth="1"/>
    <col min="14098" max="14337" width="9.14285714285714" style="2"/>
    <col min="14338" max="14338" width="8.28571428571429" style="2" customWidth="1"/>
    <col min="14339" max="14339" width="16.4285714285714" style="2" customWidth="1"/>
    <col min="14340" max="14340" width="14.7142857142857" style="2" customWidth="1"/>
    <col min="14341" max="14341" width="14.8571428571429" style="2" customWidth="1"/>
    <col min="14342" max="14342" width="14.5714285714286" style="2" customWidth="1"/>
    <col min="14343" max="14343" width="13.7142857142857" style="2" customWidth="1"/>
    <col min="14344" max="14344" width="13.8571428571429" style="2" bestFit="1" customWidth="1"/>
    <col min="14345" max="14345" width="11.1428571428571" style="2" customWidth="1"/>
    <col min="14346" max="14346" width="12.7142857142857" style="2" customWidth="1"/>
    <col min="14347" max="14347" width="11.8571428571429" style="2" customWidth="1"/>
    <col min="14348" max="14348" width="11.1428571428571" style="2" customWidth="1"/>
    <col min="14349" max="14349" width="11.2857142857143" style="2" customWidth="1"/>
    <col min="14350" max="14350" width="13" style="2" customWidth="1"/>
    <col min="14351" max="14351" width="12" style="2" customWidth="1"/>
    <col min="14352" max="14352" width="13.4285714285714" style="2" customWidth="1"/>
    <col min="14353" max="14353" width="11.4285714285714" style="2" customWidth="1"/>
    <col min="14354" max="14593" width="9.14285714285714" style="2"/>
    <col min="14594" max="14594" width="8.28571428571429" style="2" customWidth="1"/>
    <col min="14595" max="14595" width="16.4285714285714" style="2" customWidth="1"/>
    <col min="14596" max="14596" width="14.7142857142857" style="2" customWidth="1"/>
    <col min="14597" max="14597" width="14.8571428571429" style="2" customWidth="1"/>
    <col min="14598" max="14598" width="14.5714285714286" style="2" customWidth="1"/>
    <col min="14599" max="14599" width="13.7142857142857" style="2" customWidth="1"/>
    <col min="14600" max="14600" width="13.8571428571429" style="2" bestFit="1" customWidth="1"/>
    <col min="14601" max="14601" width="11.1428571428571" style="2" customWidth="1"/>
    <col min="14602" max="14602" width="12.7142857142857" style="2" customWidth="1"/>
    <col min="14603" max="14603" width="11.8571428571429" style="2" customWidth="1"/>
    <col min="14604" max="14604" width="11.1428571428571" style="2" customWidth="1"/>
    <col min="14605" max="14605" width="11.2857142857143" style="2" customWidth="1"/>
    <col min="14606" max="14606" width="13" style="2" customWidth="1"/>
    <col min="14607" max="14607" width="12" style="2" customWidth="1"/>
    <col min="14608" max="14608" width="13.4285714285714" style="2" customWidth="1"/>
    <col min="14609" max="14609" width="11.4285714285714" style="2" customWidth="1"/>
    <col min="14610" max="14849" width="9.14285714285714" style="2"/>
    <col min="14850" max="14850" width="8.28571428571429" style="2" customWidth="1"/>
    <col min="14851" max="14851" width="16.4285714285714" style="2" customWidth="1"/>
    <col min="14852" max="14852" width="14.7142857142857" style="2" customWidth="1"/>
    <col min="14853" max="14853" width="14.8571428571429" style="2" customWidth="1"/>
    <col min="14854" max="14854" width="14.5714285714286" style="2" customWidth="1"/>
    <col min="14855" max="14855" width="13.7142857142857" style="2" customWidth="1"/>
    <col min="14856" max="14856" width="13.8571428571429" style="2" bestFit="1" customWidth="1"/>
    <col min="14857" max="14857" width="11.1428571428571" style="2" customWidth="1"/>
    <col min="14858" max="14858" width="12.7142857142857" style="2" customWidth="1"/>
    <col min="14859" max="14859" width="11.8571428571429" style="2" customWidth="1"/>
    <col min="14860" max="14860" width="11.1428571428571" style="2" customWidth="1"/>
    <col min="14861" max="14861" width="11.2857142857143" style="2" customWidth="1"/>
    <col min="14862" max="14862" width="13" style="2" customWidth="1"/>
    <col min="14863" max="14863" width="12" style="2" customWidth="1"/>
    <col min="14864" max="14864" width="13.4285714285714" style="2" customWidth="1"/>
    <col min="14865" max="14865" width="11.4285714285714" style="2" customWidth="1"/>
    <col min="14866" max="15105" width="9.14285714285714" style="2"/>
    <col min="15106" max="15106" width="8.28571428571429" style="2" customWidth="1"/>
    <col min="15107" max="15107" width="16.4285714285714" style="2" customWidth="1"/>
    <col min="15108" max="15108" width="14.7142857142857" style="2" customWidth="1"/>
    <col min="15109" max="15109" width="14.8571428571429" style="2" customWidth="1"/>
    <col min="15110" max="15110" width="14.5714285714286" style="2" customWidth="1"/>
    <col min="15111" max="15111" width="13.7142857142857" style="2" customWidth="1"/>
    <col min="15112" max="15112" width="13.8571428571429" style="2" bestFit="1" customWidth="1"/>
    <col min="15113" max="15113" width="11.1428571428571" style="2" customWidth="1"/>
    <col min="15114" max="15114" width="12.7142857142857" style="2" customWidth="1"/>
    <col min="15115" max="15115" width="11.8571428571429" style="2" customWidth="1"/>
    <col min="15116" max="15116" width="11.1428571428571" style="2" customWidth="1"/>
    <col min="15117" max="15117" width="11.2857142857143" style="2" customWidth="1"/>
    <col min="15118" max="15118" width="13" style="2" customWidth="1"/>
    <col min="15119" max="15119" width="12" style="2" customWidth="1"/>
    <col min="15120" max="15120" width="13.4285714285714" style="2" customWidth="1"/>
    <col min="15121" max="15121" width="11.4285714285714" style="2" customWidth="1"/>
    <col min="15122" max="15361" width="9.14285714285714" style="2"/>
    <col min="15362" max="15362" width="8.28571428571429" style="2" customWidth="1"/>
    <col min="15363" max="15363" width="16.4285714285714" style="2" customWidth="1"/>
    <col min="15364" max="15364" width="14.7142857142857" style="2" customWidth="1"/>
    <col min="15365" max="15365" width="14.8571428571429" style="2" customWidth="1"/>
    <col min="15366" max="15366" width="14.5714285714286" style="2" customWidth="1"/>
    <col min="15367" max="15367" width="13.7142857142857" style="2" customWidth="1"/>
    <col min="15368" max="15368" width="13.8571428571429" style="2" bestFit="1" customWidth="1"/>
    <col min="15369" max="15369" width="11.1428571428571" style="2" customWidth="1"/>
    <col min="15370" max="15370" width="12.7142857142857" style="2" customWidth="1"/>
    <col min="15371" max="15371" width="11.8571428571429" style="2" customWidth="1"/>
    <col min="15372" max="15372" width="11.1428571428571" style="2" customWidth="1"/>
    <col min="15373" max="15373" width="11.2857142857143" style="2" customWidth="1"/>
    <col min="15374" max="15374" width="13" style="2" customWidth="1"/>
    <col min="15375" max="15375" width="12" style="2" customWidth="1"/>
    <col min="15376" max="15376" width="13.4285714285714" style="2" customWidth="1"/>
    <col min="15377" max="15377" width="11.4285714285714" style="2" customWidth="1"/>
    <col min="15378" max="15617" width="9.14285714285714" style="2"/>
    <col min="15618" max="15618" width="8.28571428571429" style="2" customWidth="1"/>
    <col min="15619" max="15619" width="16.4285714285714" style="2" customWidth="1"/>
    <col min="15620" max="15620" width="14.7142857142857" style="2" customWidth="1"/>
    <col min="15621" max="15621" width="14.8571428571429" style="2" customWidth="1"/>
    <col min="15622" max="15622" width="14.5714285714286" style="2" customWidth="1"/>
    <col min="15623" max="15623" width="13.7142857142857" style="2" customWidth="1"/>
    <col min="15624" max="15624" width="13.8571428571429" style="2" bestFit="1" customWidth="1"/>
    <col min="15625" max="15625" width="11.1428571428571" style="2" customWidth="1"/>
    <col min="15626" max="15626" width="12.7142857142857" style="2" customWidth="1"/>
    <col min="15627" max="15627" width="11.8571428571429" style="2" customWidth="1"/>
    <col min="15628" max="15628" width="11.1428571428571" style="2" customWidth="1"/>
    <col min="15629" max="15629" width="11.2857142857143" style="2" customWidth="1"/>
    <col min="15630" max="15630" width="13" style="2" customWidth="1"/>
    <col min="15631" max="15631" width="12" style="2" customWidth="1"/>
    <col min="15632" max="15632" width="13.4285714285714" style="2" customWidth="1"/>
    <col min="15633" max="15633" width="11.4285714285714" style="2" customWidth="1"/>
    <col min="15634" max="15873" width="9.14285714285714" style="2"/>
    <col min="15874" max="15874" width="8.28571428571429" style="2" customWidth="1"/>
    <col min="15875" max="15875" width="16.4285714285714" style="2" customWidth="1"/>
    <col min="15876" max="15876" width="14.7142857142857" style="2" customWidth="1"/>
    <col min="15877" max="15877" width="14.8571428571429" style="2" customWidth="1"/>
    <col min="15878" max="15878" width="14.5714285714286" style="2" customWidth="1"/>
    <col min="15879" max="15879" width="13.7142857142857" style="2" customWidth="1"/>
    <col min="15880" max="15880" width="13.8571428571429" style="2" bestFit="1" customWidth="1"/>
    <col min="15881" max="15881" width="11.1428571428571" style="2" customWidth="1"/>
    <col min="15882" max="15882" width="12.7142857142857" style="2" customWidth="1"/>
    <col min="15883" max="15883" width="11.8571428571429" style="2" customWidth="1"/>
    <col min="15884" max="15884" width="11.1428571428571" style="2" customWidth="1"/>
    <col min="15885" max="15885" width="11.2857142857143" style="2" customWidth="1"/>
    <col min="15886" max="15886" width="13" style="2" customWidth="1"/>
    <col min="15887" max="15887" width="12" style="2" customWidth="1"/>
    <col min="15888" max="15888" width="13.4285714285714" style="2" customWidth="1"/>
    <col min="15889" max="15889" width="11.4285714285714" style="2" customWidth="1"/>
    <col min="15890" max="16129" width="9.14285714285714" style="2"/>
    <col min="16130" max="16130" width="8.28571428571429" style="2" customWidth="1"/>
    <col min="16131" max="16131" width="16.4285714285714" style="2" customWidth="1"/>
    <col min="16132" max="16132" width="14.7142857142857" style="2" customWidth="1"/>
    <col min="16133" max="16133" width="14.8571428571429" style="2" customWidth="1"/>
    <col min="16134" max="16134" width="14.5714285714286" style="2" customWidth="1"/>
    <col min="16135" max="16135" width="13.7142857142857" style="2" customWidth="1"/>
    <col min="16136" max="16136" width="13.8571428571429" style="2" bestFit="1" customWidth="1"/>
    <col min="16137" max="16137" width="11.1428571428571" style="2" customWidth="1"/>
    <col min="16138" max="16138" width="12.7142857142857" style="2" customWidth="1"/>
    <col min="16139" max="16139" width="11.8571428571429" style="2" customWidth="1"/>
    <col min="16140" max="16140" width="11.1428571428571" style="2" customWidth="1"/>
    <col min="16141" max="16141" width="11.2857142857143" style="2" customWidth="1"/>
    <col min="16142" max="16142" width="13" style="2" customWidth="1"/>
    <col min="16143" max="16143" width="12" style="2" customWidth="1"/>
    <col min="16144" max="16144" width="13.4285714285714" style="2" customWidth="1"/>
    <col min="16145" max="16145" width="11.4285714285714" style="2" customWidth="1"/>
    <col min="16146" max="16384" width="9.14285714285714" style="2"/>
  </cols>
  <sheetData>
    <row r="1" spans="14:14" ht="12.75">
      <c r="N1" s="70"/>
    </row>
    <row r="2" spans="1:14" ht="12.75">
      <c r="A2" s="69"/>
      <c r="N2" s="70"/>
    </row>
    <row r="3" spans="1:1" ht="12.75">
      <c r="A3" s="1"/>
    </row>
    <row r="4" spans="1:1" ht="12.75">
      <c r="A4" s="1"/>
    </row>
    <row r="5" spans="1:1" ht="12.75">
      <c r="A5" s="1"/>
    </row>
    <row r="6" spans="1:13" ht="12.75">
      <c r="A6" s="1"/>
      <c r="B6" s="2"/>
      <c r="C6" s="3"/>
      <c r="D6" s="3"/>
      <c r="E6" s="3"/>
      <c r="I6" s="2"/>
      <c r="J6" s="2"/>
      <c r="K6" s="2"/>
      <c r="L6" s="2"/>
      <c r="M6" s="2"/>
    </row>
    <row r="7" spans="2:13" ht="12.75">
      <c r="B7" s="2"/>
      <c r="C7" s="3"/>
      <c r="D7" s="3"/>
      <c r="E7" s="3"/>
      <c r="I7" s="2"/>
      <c r="J7" s="2"/>
      <c r="K7" s="2"/>
      <c r="L7" s="2"/>
      <c r="M7" s="2"/>
    </row>
    <row r="8" spans="2:13" ht="12.75">
      <c r="B8" s="2"/>
      <c r="C8" s="3"/>
      <c r="D8" s="3"/>
      <c r="I8" s="2"/>
      <c r="J8" s="2"/>
      <c r="K8" s="2"/>
      <c r="L8" s="2"/>
      <c r="M8" s="2"/>
    </row>
    <row r="9" spans="1:13" ht="12.75">
      <c r="A9" s="5"/>
      <c r="C9" s="3"/>
      <c r="D9" s="3"/>
      <c r="I9" s="2"/>
      <c r="J9" s="2"/>
      <c r="K9" s="2"/>
      <c r="L9" s="2"/>
      <c r="M9" s="2"/>
    </row>
    <row r="10" spans="1:13" ht="12.75">
      <c r="A10" s="5"/>
      <c r="C10" s="3"/>
      <c r="D10" s="3"/>
      <c r="I10" s="2"/>
      <c r="J10" s="2"/>
      <c r="K10" s="2"/>
      <c r="L10" s="2"/>
      <c r="M10" s="2"/>
    </row>
    <row r="11" spans="1:13" ht="38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2"/>
      <c r="K11" s="2"/>
      <c r="L11" s="2"/>
      <c r="M11" s="2"/>
    </row>
    <row r="12" spans="2:13" ht="15">
      <c r="B12" s="7">
        <v>39783</v>
      </c>
      <c r="C12" s="3"/>
      <c r="D12" s="3"/>
      <c r="F12" s="8">
        <v>1605594.1499999999</v>
      </c>
      <c r="G12" s="3">
        <v>132</v>
      </c>
      <c r="H12" s="9">
        <f t="shared" si="0" ref="H12:H75">ROUND(F12/G12,2)</f>
        <v>12163.59</v>
      </c>
      <c r="I12" s="2"/>
      <c r="K12" s="2"/>
      <c r="L12" s="2"/>
      <c r="M12" s="2"/>
    </row>
    <row r="13" spans="2:13" ht="15">
      <c r="B13" s="7">
        <v>39814</v>
      </c>
      <c r="C13" s="8">
        <v>1605594.1499999999</v>
      </c>
      <c r="D13" s="8">
        <f t="shared" si="1" ref="D13:D26">H12*-1</f>
        <v>-12163.59</v>
      </c>
      <c r="E13" s="10">
        <v>22163.099999999999</v>
      </c>
      <c r="F13" s="8">
        <f>SUM(C13:E13)</f>
        <v>1615593.6599999999</v>
      </c>
      <c r="G13" s="3">
        <v>131</v>
      </c>
      <c r="H13" s="9">
        <f t="shared" si="0"/>
        <v>12332.780000000001</v>
      </c>
      <c r="I13" s="2"/>
      <c r="K13" s="2"/>
      <c r="L13" s="2"/>
      <c r="M13" s="2"/>
    </row>
    <row r="14" spans="2:13" ht="15">
      <c r="B14" s="7">
        <v>39845</v>
      </c>
      <c r="C14" s="11">
        <f>F13</f>
        <v>1615593.6599999999</v>
      </c>
      <c r="D14" s="8">
        <f t="shared" si="1"/>
        <v>-12332.780000000001</v>
      </c>
      <c r="E14" s="10">
        <v>29661.389999999999</v>
      </c>
      <c r="F14" s="8">
        <f>SUM(C14:E14)</f>
        <v>1632922.2699999998</v>
      </c>
      <c r="G14" s="3">
        <v>130</v>
      </c>
      <c r="H14" s="9">
        <f t="shared" si="0"/>
        <v>12560.940000000001</v>
      </c>
      <c r="I14" s="2"/>
      <c r="K14" s="2"/>
      <c r="L14" s="2"/>
      <c r="M14" s="2"/>
    </row>
    <row r="15" spans="2:13" ht="15">
      <c r="B15" s="7">
        <v>39873</v>
      </c>
      <c r="C15" s="11">
        <f>F14</f>
        <v>1632922.2699999998</v>
      </c>
      <c r="D15" s="8">
        <f t="shared" si="1"/>
        <v>-12560.940000000001</v>
      </c>
      <c r="E15" s="12">
        <v>257997.20000000001</v>
      </c>
      <c r="F15" s="12">
        <f>SUM(C15:E15)</f>
        <v>1878358.5299999998</v>
      </c>
      <c r="G15" s="2">
        <v>129</v>
      </c>
      <c r="H15" s="9">
        <f t="shared" si="0"/>
        <v>14560.92</v>
      </c>
      <c r="I15" s="2"/>
      <c r="K15" s="2"/>
      <c r="L15" s="2"/>
      <c r="M15" s="2"/>
    </row>
    <row r="16" spans="2:13" ht="15">
      <c r="B16" s="7">
        <v>39904</v>
      </c>
      <c r="C16" s="11">
        <v>1878358.53</v>
      </c>
      <c r="D16" s="8">
        <f t="shared" si="1"/>
        <v>-14560.92</v>
      </c>
      <c r="E16" s="12">
        <v>253709.22</v>
      </c>
      <c r="F16" s="12">
        <f>SUM(C16:E16)</f>
        <v>2117506.8300000001</v>
      </c>
      <c r="G16" s="13">
        <v>128</v>
      </c>
      <c r="H16" s="9">
        <f t="shared" si="0"/>
        <v>16543.02</v>
      </c>
      <c r="I16" s="2"/>
      <c r="K16" s="2"/>
      <c r="L16" s="2"/>
      <c r="M16" s="2"/>
    </row>
    <row r="17" spans="2:13" ht="15">
      <c r="B17" s="7">
        <v>39934</v>
      </c>
      <c r="C17" s="11">
        <v>2117506.8311627908</v>
      </c>
      <c r="D17" s="8">
        <f t="shared" si="1"/>
        <v>-16543.02</v>
      </c>
      <c r="E17" s="14">
        <v>412594.23883720906</v>
      </c>
      <c r="F17" s="12">
        <v>2513558.0499999998</v>
      </c>
      <c r="G17" s="15">
        <v>127</v>
      </c>
      <c r="H17" s="9">
        <f t="shared" si="0"/>
        <v>19791.799999999999</v>
      </c>
      <c r="I17" s="2"/>
      <c r="K17" s="2"/>
      <c r="L17" s="2"/>
      <c r="M17" s="2"/>
    </row>
    <row r="18" spans="2:13" ht="15">
      <c r="B18" s="7">
        <v>39965</v>
      </c>
      <c r="C18" s="11">
        <v>2513558.0499999998</v>
      </c>
      <c r="D18" s="8">
        <f t="shared" si="1"/>
        <v>-19791.799999999999</v>
      </c>
      <c r="E18" s="10">
        <v>245448.01999999999</v>
      </c>
      <c r="F18" s="12">
        <v>2739214.27</v>
      </c>
      <c r="G18" s="15">
        <v>126</v>
      </c>
      <c r="H18" s="9">
        <f t="shared" si="0"/>
        <v>21739.799999999999</v>
      </c>
      <c r="I18" s="2"/>
      <c r="K18" s="2"/>
      <c r="L18" s="2"/>
      <c r="M18" s="2"/>
    </row>
    <row r="19" spans="2:13" ht="15">
      <c r="B19" s="7">
        <v>39995</v>
      </c>
      <c r="C19" s="11">
        <f>F18</f>
        <v>2739214.27</v>
      </c>
      <c r="D19" s="8">
        <f t="shared" si="1"/>
        <v>-21739.799999999999</v>
      </c>
      <c r="E19" s="10">
        <v>345179.69</v>
      </c>
      <c r="F19" s="8">
        <f>SUM(C19:E19)</f>
        <v>3062654.1600000001</v>
      </c>
      <c r="G19" s="15">
        <v>125</v>
      </c>
      <c r="H19" s="9">
        <f t="shared" si="0"/>
        <v>24501.23</v>
      </c>
      <c r="I19" s="2"/>
      <c r="K19" s="2"/>
      <c r="L19" s="2"/>
      <c r="M19" s="2"/>
    </row>
    <row r="20" spans="2:13" ht="15">
      <c r="B20" s="7">
        <v>40026</v>
      </c>
      <c r="C20" s="11">
        <f>F19</f>
        <v>3062654.1600000001</v>
      </c>
      <c r="D20" s="8">
        <f t="shared" si="1"/>
        <v>-24501.23</v>
      </c>
      <c r="E20" s="10">
        <v>283369.21999999997</v>
      </c>
      <c r="F20" s="8">
        <f>SUM(C20:E20)</f>
        <v>3321522.1500000004</v>
      </c>
      <c r="G20" s="15">
        <v>124</v>
      </c>
      <c r="H20" s="9">
        <f t="shared" si="0"/>
        <v>26786.470000000001</v>
      </c>
      <c r="I20" s="2"/>
      <c r="K20" s="2"/>
      <c r="L20" s="2"/>
      <c r="M20" s="2"/>
    </row>
    <row r="21" spans="2:13" ht="15">
      <c r="B21" s="7">
        <v>40057</v>
      </c>
      <c r="C21" s="11">
        <f>F20</f>
        <v>3321522.1500000004</v>
      </c>
      <c r="D21" s="8">
        <f t="shared" si="1"/>
        <v>-26786.470000000001</v>
      </c>
      <c r="E21" s="10">
        <f t="shared" si="2" ref="E21:E26">F21-C21-D21</f>
        <v>270143.43999999971</v>
      </c>
      <c r="F21" s="8">
        <v>3564879.1200000001</v>
      </c>
      <c r="G21" s="15">
        <v>123</v>
      </c>
      <c r="H21" s="9">
        <f t="shared" si="0"/>
        <v>28982.759999999998</v>
      </c>
      <c r="I21" s="2"/>
      <c r="K21" s="2"/>
      <c r="L21" s="2"/>
      <c r="M21" s="2"/>
    </row>
    <row r="22" spans="2:13" ht="15">
      <c r="B22" s="7">
        <v>40087</v>
      </c>
      <c r="C22" s="11">
        <f>F21</f>
        <v>3564879.1200000001</v>
      </c>
      <c r="D22" s="8">
        <f t="shared" si="1"/>
        <v>-28982.759999999998</v>
      </c>
      <c r="E22" s="10">
        <f t="shared" si="2"/>
        <v>412534.93999999971</v>
      </c>
      <c r="F22" s="16">
        <v>3948431.2999999998</v>
      </c>
      <c r="G22" s="15">
        <v>122</v>
      </c>
      <c r="H22" s="9">
        <f t="shared" si="0"/>
        <v>32364.189999999999</v>
      </c>
      <c r="I22" s="2"/>
      <c r="K22" s="2"/>
      <c r="L22" s="2"/>
      <c r="M22" s="2"/>
    </row>
    <row r="23" spans="2:13" ht="15">
      <c r="B23" s="7">
        <v>40118</v>
      </c>
      <c r="C23" s="11">
        <f>F22</f>
        <v>3948431.2999999998</v>
      </c>
      <c r="D23" s="8">
        <f t="shared" si="1"/>
        <v>-32364.189999999999</v>
      </c>
      <c r="E23" s="10">
        <f t="shared" si="2"/>
        <v>194684.5400000001</v>
      </c>
      <c r="F23" s="16">
        <v>4110751.6499999999</v>
      </c>
      <c r="G23" s="15">
        <v>121</v>
      </c>
      <c r="H23" s="9">
        <f t="shared" si="0"/>
        <v>33973.150000000001</v>
      </c>
      <c r="I23" s="2"/>
      <c r="J23" s="2"/>
      <c r="K23" s="2"/>
      <c r="L23" s="2"/>
      <c r="M23" s="2"/>
    </row>
    <row r="24" spans="2:13" ht="15">
      <c r="B24" s="7">
        <v>40148</v>
      </c>
      <c r="C24" s="8">
        <v>4110751.6499999999</v>
      </c>
      <c r="D24" s="8">
        <f t="shared" si="1"/>
        <v>-33973.150000000001</v>
      </c>
      <c r="E24" s="10">
        <f t="shared" si="2"/>
        <v>400571.38175000076</v>
      </c>
      <c r="F24" s="16">
        <v>4477349.8817500006</v>
      </c>
      <c r="G24" s="15">
        <v>120</v>
      </c>
      <c r="H24" s="9">
        <f t="shared" si="0"/>
        <v>37311.25</v>
      </c>
      <c r="I24" s="2"/>
      <c r="J24" s="2"/>
      <c r="K24" s="2"/>
      <c r="L24" s="2"/>
      <c r="M24" s="2"/>
    </row>
    <row r="25" spans="2:13" ht="15">
      <c r="B25" s="7">
        <v>40179</v>
      </c>
      <c r="C25" s="16">
        <f t="shared" si="3" ref="C25:C88">F24</f>
        <v>4477349.8817500006</v>
      </c>
      <c r="D25" s="8">
        <f t="shared" si="1"/>
        <v>-37311.25</v>
      </c>
      <c r="E25" s="10">
        <f t="shared" si="2"/>
        <v>265270.55824999977</v>
      </c>
      <c r="F25" s="16">
        <v>4705309.1900000004</v>
      </c>
      <c r="G25" s="15">
        <v>119</v>
      </c>
      <c r="H25" s="9">
        <f t="shared" si="0"/>
        <v>39540.410000000003</v>
      </c>
      <c r="I25" s="2"/>
      <c r="J25" s="2"/>
      <c r="K25" s="2"/>
      <c r="L25" s="2"/>
      <c r="M25" s="2"/>
    </row>
    <row r="26" spans="2:13" ht="15">
      <c r="B26" s="7">
        <v>40210</v>
      </c>
      <c r="C26" s="16">
        <f t="shared" si="3"/>
        <v>4705309.1900000004</v>
      </c>
      <c r="D26" s="17">
        <f t="shared" si="1"/>
        <v>-39540.410000000003</v>
      </c>
      <c r="E26" s="18">
        <f t="shared" si="2"/>
        <v>478683.06999999925</v>
      </c>
      <c r="F26" s="8">
        <v>5144451.8499999996</v>
      </c>
      <c r="G26" s="15">
        <v>118</v>
      </c>
      <c r="H26" s="9">
        <f t="shared" si="0"/>
        <v>43597.050000000003</v>
      </c>
      <c r="I26" s="2"/>
      <c r="J26" s="2"/>
      <c r="K26" s="2"/>
      <c r="L26" s="2"/>
      <c r="M26" s="2"/>
    </row>
    <row r="27" spans="2:13" ht="15">
      <c r="B27" s="7">
        <v>40238</v>
      </c>
      <c r="C27" s="11">
        <f t="shared" si="3"/>
        <v>5144451.8499999996</v>
      </c>
      <c r="D27" s="8">
        <v>-43597.050000000003</v>
      </c>
      <c r="E27" s="19">
        <v>554700.33999999997</v>
      </c>
      <c r="F27" s="16">
        <v>5655555.1399999997</v>
      </c>
      <c r="G27" s="15">
        <v>117</v>
      </c>
      <c r="H27" s="9">
        <f t="shared" si="0"/>
        <v>48338.080000000002</v>
      </c>
      <c r="I27" s="2"/>
      <c r="J27" s="2"/>
      <c r="K27" s="2"/>
      <c r="L27" s="2"/>
      <c r="M27" s="2"/>
    </row>
    <row r="28" spans="2:13" ht="15">
      <c r="B28" s="7">
        <v>40269</v>
      </c>
      <c r="C28" s="16">
        <f t="shared" si="3"/>
        <v>5655555.1399999997</v>
      </c>
      <c r="D28" s="11">
        <f>H27*-1</f>
        <v>-48338.080000000002</v>
      </c>
      <c r="E28" s="18">
        <f t="shared" si="4" ref="E28:E38">F28-D28-C28</f>
        <v>372286.37000000011</v>
      </c>
      <c r="F28" s="16">
        <v>5979503.4299999997</v>
      </c>
      <c r="G28" s="15">
        <v>116</v>
      </c>
      <c r="H28" s="9">
        <f t="shared" si="0"/>
        <v>51547.440000000002</v>
      </c>
      <c r="I28" s="2"/>
      <c r="J28" s="2"/>
      <c r="K28" s="2"/>
      <c r="L28" s="2"/>
      <c r="M28" s="2"/>
    </row>
    <row r="29" spans="2:13" ht="15">
      <c r="B29" s="7">
        <v>40299</v>
      </c>
      <c r="C29" s="16">
        <f t="shared" si="3"/>
        <v>5979503.4299999997</v>
      </c>
      <c r="D29" s="11">
        <v>-51547.440000000002</v>
      </c>
      <c r="E29" s="18">
        <f t="shared" si="4"/>
        <v>450843.48000000045</v>
      </c>
      <c r="F29" s="16">
        <v>6378799.4699999997</v>
      </c>
      <c r="G29" s="15">
        <v>115</v>
      </c>
      <c r="H29" s="9">
        <f t="shared" si="0"/>
        <v>55467.82</v>
      </c>
      <c r="I29" s="2"/>
      <c r="J29" s="2"/>
      <c r="K29" s="2"/>
      <c r="L29" s="2"/>
      <c r="M29" s="2"/>
    </row>
    <row r="30" spans="2:13" ht="15">
      <c r="B30" s="7">
        <v>40330</v>
      </c>
      <c r="C30" s="16">
        <f t="shared" si="3"/>
        <v>6378799.4699999997</v>
      </c>
      <c r="D30" s="11">
        <v>-55467.82</v>
      </c>
      <c r="E30" s="18">
        <f t="shared" si="4"/>
        <v>146690.75</v>
      </c>
      <c r="F30" s="16">
        <v>6470022.3999999994</v>
      </c>
      <c r="G30" s="15">
        <v>114</v>
      </c>
      <c r="H30" s="9">
        <f t="shared" si="0"/>
        <v>56754.580000000002</v>
      </c>
      <c r="I30" s="2"/>
      <c r="J30" s="2"/>
      <c r="K30" s="2"/>
      <c r="L30" s="2"/>
      <c r="M30" s="2"/>
    </row>
    <row r="31" spans="2:13" ht="15">
      <c r="B31" s="7">
        <v>40360</v>
      </c>
      <c r="C31" s="16">
        <f t="shared" si="3"/>
        <v>6470022.3999999994</v>
      </c>
      <c r="D31" s="11">
        <f t="shared" si="5" ref="D31:D94">H30*-1</f>
        <v>-56754.580000000002</v>
      </c>
      <c r="E31" s="18">
        <f t="shared" si="4"/>
        <v>296216.4299999997</v>
      </c>
      <c r="F31" s="8">
        <v>6709484.2499999991</v>
      </c>
      <c r="G31" s="15">
        <v>113</v>
      </c>
      <c r="H31" s="9">
        <f t="shared" si="0"/>
        <v>59375.970000000001</v>
      </c>
      <c r="I31" s="2"/>
      <c r="J31" s="2"/>
      <c r="K31" s="2"/>
      <c r="L31" s="2"/>
      <c r="M31" s="2"/>
    </row>
    <row r="32" spans="2:13" ht="15">
      <c r="B32" s="7">
        <v>40391</v>
      </c>
      <c r="C32" s="20">
        <f t="shared" si="3"/>
        <v>6709484.2499999991</v>
      </c>
      <c r="D32" s="11">
        <f t="shared" si="5"/>
        <v>-59375.970000000001</v>
      </c>
      <c r="E32" s="18">
        <f t="shared" si="4"/>
        <v>313168.14999999944</v>
      </c>
      <c r="F32" s="8">
        <v>6963276.4299999988</v>
      </c>
      <c r="G32" s="15">
        <v>112</v>
      </c>
      <c r="H32" s="9">
        <f t="shared" si="0"/>
        <v>62172.110000000001</v>
      </c>
      <c r="I32" s="2"/>
      <c r="J32" s="2"/>
      <c r="K32" s="2"/>
      <c r="L32" s="2"/>
      <c r="M32" s="2"/>
    </row>
    <row r="33" spans="2:13" ht="15">
      <c r="B33" s="7">
        <v>40422</v>
      </c>
      <c r="C33" s="20">
        <f t="shared" si="3"/>
        <v>6963276.4299999988</v>
      </c>
      <c r="D33" s="11">
        <f t="shared" si="5"/>
        <v>-62172.110000000001</v>
      </c>
      <c r="E33" s="10">
        <f t="shared" si="4"/>
        <v>302999.45000000019</v>
      </c>
      <c r="F33" s="8">
        <v>7204103.7699999986</v>
      </c>
      <c r="G33" s="15">
        <v>111</v>
      </c>
      <c r="H33" s="9">
        <f t="shared" si="0"/>
        <v>64901.839999999997</v>
      </c>
      <c r="I33" s="2"/>
      <c r="J33" s="2"/>
      <c r="K33" s="2"/>
      <c r="L33" s="2"/>
      <c r="M33" s="2"/>
    </row>
    <row r="34" spans="2:13" ht="15">
      <c r="B34" s="7">
        <v>40452</v>
      </c>
      <c r="C34" s="20">
        <f t="shared" si="3"/>
        <v>7204103.7699999986</v>
      </c>
      <c r="D34" s="11">
        <f t="shared" si="5"/>
        <v>-64901.839999999997</v>
      </c>
      <c r="E34" s="10">
        <f t="shared" si="4"/>
        <v>172841.79999999981</v>
      </c>
      <c r="F34" s="11">
        <v>7312043.7299999986</v>
      </c>
      <c r="G34" s="15">
        <v>110</v>
      </c>
      <c r="H34" s="9">
        <f t="shared" si="0"/>
        <v>66473.119999999995</v>
      </c>
      <c r="I34" s="2"/>
      <c r="J34" s="2"/>
      <c r="K34" s="2"/>
      <c r="L34" s="2"/>
      <c r="M34" s="2"/>
    </row>
    <row r="35" spans="2:13" ht="15">
      <c r="B35" s="7">
        <v>40483</v>
      </c>
      <c r="C35" s="11">
        <f t="shared" si="3"/>
        <v>7312043.7299999986</v>
      </c>
      <c r="D35" s="11">
        <f t="shared" si="5"/>
        <v>-66473.119999999995</v>
      </c>
      <c r="E35" s="10">
        <f t="shared" si="4"/>
        <v>271472.24000000022</v>
      </c>
      <c r="F35" s="11">
        <v>7517042.8499999987</v>
      </c>
      <c r="G35" s="15">
        <v>109</v>
      </c>
      <c r="H35" s="9">
        <f t="shared" si="0"/>
        <v>68963.699999999997</v>
      </c>
      <c r="I35" s="2"/>
      <c r="J35" s="2"/>
      <c r="K35" s="2"/>
      <c r="L35" s="2"/>
      <c r="M35" s="2"/>
    </row>
    <row r="36" spans="2:13" ht="15">
      <c r="B36" s="7">
        <v>40513</v>
      </c>
      <c r="C36" s="11">
        <f t="shared" si="3"/>
        <v>7517042.8499999987</v>
      </c>
      <c r="D36" s="11">
        <f t="shared" si="5"/>
        <v>-68963.699999999997</v>
      </c>
      <c r="E36" s="10">
        <f t="shared" si="4"/>
        <v>253591.27175000403</v>
      </c>
      <c r="F36" s="11">
        <v>7701670.4217500025</v>
      </c>
      <c r="G36" s="15">
        <v>108</v>
      </c>
      <c r="H36" s="9">
        <f t="shared" si="0"/>
        <v>71311.759999999995</v>
      </c>
      <c r="I36" s="2"/>
      <c r="J36" s="2"/>
      <c r="K36" s="2"/>
      <c r="L36" s="2"/>
      <c r="M36" s="2"/>
    </row>
    <row r="37" spans="2:13" ht="15">
      <c r="B37" s="7">
        <v>40544</v>
      </c>
      <c r="C37" s="11">
        <f t="shared" si="3"/>
        <v>7701670.4217500025</v>
      </c>
      <c r="D37" s="11">
        <f t="shared" si="5"/>
        <v>-71311.759999999995</v>
      </c>
      <c r="E37" s="10">
        <f t="shared" si="4"/>
        <v>201696.39824999683</v>
      </c>
      <c r="F37" s="11">
        <v>7832055.0599999996</v>
      </c>
      <c r="G37" s="15">
        <v>107</v>
      </c>
      <c r="H37" s="9">
        <f t="shared" si="0"/>
        <v>73196.779999999999</v>
      </c>
      <c r="I37" s="2"/>
      <c r="J37" s="2"/>
      <c r="K37" s="2"/>
      <c r="L37" s="2"/>
      <c r="M37" s="2"/>
    </row>
    <row r="38" spans="2:13" ht="15">
      <c r="B38" s="7">
        <v>40575</v>
      </c>
      <c r="C38" s="11">
        <f t="shared" si="3"/>
        <v>7832055.0599999996</v>
      </c>
      <c r="D38" s="11">
        <f t="shared" si="5"/>
        <v>-73196.779999999999</v>
      </c>
      <c r="E38" s="10">
        <f t="shared" si="4"/>
        <v>130281.70000000112</v>
      </c>
      <c r="F38" s="11">
        <v>7889139.9800000004</v>
      </c>
      <c r="G38" s="15">
        <v>106</v>
      </c>
      <c r="H38" s="9">
        <f t="shared" si="0"/>
        <v>74425.850000000006</v>
      </c>
      <c r="I38" s="2"/>
      <c r="J38" s="2"/>
      <c r="K38" s="2"/>
      <c r="L38" s="2"/>
      <c r="M38" s="2"/>
    </row>
    <row r="39" spans="2:13" ht="15">
      <c r="B39" s="7">
        <v>40603</v>
      </c>
      <c r="C39" s="11">
        <f t="shared" si="3"/>
        <v>7889139.9800000004</v>
      </c>
      <c r="D39" s="11">
        <f t="shared" si="5"/>
        <v>-74425.850000000006</v>
      </c>
      <c r="E39" s="10">
        <f>244388.08+74425.85</f>
        <v>318813.92999999999</v>
      </c>
      <c r="F39" s="11">
        <f>SUM(C39:E39)</f>
        <v>8133528.0600000005</v>
      </c>
      <c r="G39" s="15">
        <v>105</v>
      </c>
      <c r="H39" s="9">
        <f t="shared" si="0"/>
        <v>77462.169999999998</v>
      </c>
      <c r="I39" s="2"/>
      <c r="J39" s="2"/>
      <c r="K39" s="2"/>
      <c r="L39" s="2"/>
      <c r="M39" s="2"/>
    </row>
    <row r="40" spans="2:13" ht="15">
      <c r="B40" s="7">
        <v>40634</v>
      </c>
      <c r="C40" s="11">
        <f t="shared" si="3"/>
        <v>8133528.0600000005</v>
      </c>
      <c r="D40" s="11">
        <f t="shared" si="5"/>
        <v>-77462.169999999998</v>
      </c>
      <c r="E40" s="10">
        <f>F40-C40-D40</f>
        <v>210625.28999999916</v>
      </c>
      <c r="F40" s="11">
        <v>8266691.1799999997</v>
      </c>
      <c r="G40" s="15">
        <v>104</v>
      </c>
      <c r="H40" s="9">
        <f t="shared" si="0"/>
        <v>79487.419999999998</v>
      </c>
      <c r="I40" s="2"/>
      <c r="J40" s="2"/>
      <c r="K40" s="2"/>
      <c r="L40" s="2"/>
      <c r="M40" s="2"/>
    </row>
    <row r="41" spans="2:13" ht="15">
      <c r="B41" s="7">
        <v>40664</v>
      </c>
      <c r="C41" s="11">
        <f t="shared" si="3"/>
        <v>8266691.1799999997</v>
      </c>
      <c r="D41" s="11">
        <f t="shared" si="5"/>
        <v>-79487.419999999998</v>
      </c>
      <c r="E41" s="18">
        <v>157069.5</v>
      </c>
      <c r="F41" s="11">
        <v>8344273.2599999998</v>
      </c>
      <c r="G41" s="15">
        <v>103</v>
      </c>
      <c r="H41" s="9">
        <f t="shared" si="0"/>
        <v>81012.360000000001</v>
      </c>
      <c r="I41" s="2"/>
      <c r="J41" s="2"/>
      <c r="K41" s="2"/>
      <c r="L41" s="2"/>
      <c r="M41" s="2"/>
    </row>
    <row r="42" spans="2:13" ht="15">
      <c r="B42" s="7">
        <v>40695</v>
      </c>
      <c r="C42" s="11">
        <f t="shared" si="3"/>
        <v>8344273.2599999998</v>
      </c>
      <c r="D42" s="11">
        <f t="shared" si="5"/>
        <v>-81012.360000000001</v>
      </c>
      <c r="E42" s="18">
        <v>271166.65999999997</v>
      </c>
      <c r="F42" s="11">
        <v>8534427.5600000005</v>
      </c>
      <c r="G42" s="15">
        <v>102</v>
      </c>
      <c r="H42" s="9">
        <f t="shared" si="0"/>
        <v>83670.860000000001</v>
      </c>
      <c r="I42" s="2"/>
      <c r="J42" s="2"/>
      <c r="K42" s="2"/>
      <c r="L42" s="2"/>
      <c r="M42" s="2"/>
    </row>
    <row r="43" spans="2:13" ht="15">
      <c r="B43" s="7">
        <v>40725</v>
      </c>
      <c r="C43" s="11">
        <f t="shared" si="3"/>
        <v>8534427.5600000005</v>
      </c>
      <c r="D43" s="11">
        <f t="shared" si="5"/>
        <v>-83670.860000000001</v>
      </c>
      <c r="E43" s="10">
        <f>F43-C43-D43</f>
        <v>173098.06999999902</v>
      </c>
      <c r="F43" s="11">
        <v>8623854.7699999996</v>
      </c>
      <c r="G43" s="15">
        <v>101</v>
      </c>
      <c r="H43" s="9">
        <f t="shared" si="0"/>
        <v>85384.699999999997</v>
      </c>
      <c r="I43" s="2"/>
      <c r="J43" s="2"/>
      <c r="K43" s="2"/>
      <c r="L43" s="2"/>
      <c r="M43" s="2"/>
    </row>
    <row r="44" spans="2:13" ht="15">
      <c r="B44" s="7">
        <v>40756</v>
      </c>
      <c r="C44" s="11">
        <f t="shared" si="3"/>
        <v>8623854.7699999996</v>
      </c>
      <c r="D44" s="11">
        <f t="shared" si="5"/>
        <v>-85384.699999999997</v>
      </c>
      <c r="E44" s="10">
        <f>F44-C44-D44</f>
        <v>446556.44000000024</v>
      </c>
      <c r="F44" s="11">
        <v>8985026.5099999998</v>
      </c>
      <c r="G44" s="15">
        <v>100</v>
      </c>
      <c r="H44" s="9">
        <f t="shared" si="0"/>
        <v>89850.270000000004</v>
      </c>
      <c r="I44" s="2"/>
      <c r="J44" s="2"/>
      <c r="K44" s="2"/>
      <c r="L44" s="2"/>
      <c r="M44" s="2"/>
    </row>
    <row r="45" spans="2:13" ht="15">
      <c r="B45" s="7">
        <v>40787</v>
      </c>
      <c r="C45" s="11">
        <f t="shared" si="3"/>
        <v>8985026.5099999998</v>
      </c>
      <c r="D45" s="11">
        <f t="shared" si="5"/>
        <v>-89850.270000000004</v>
      </c>
      <c r="E45" s="8">
        <v>12993.639999999999</v>
      </c>
      <c r="F45" s="11">
        <f>C45+D45+E45</f>
        <v>8908169.8800000008</v>
      </c>
      <c r="G45" s="15">
        <v>99</v>
      </c>
      <c r="H45" s="9">
        <f t="shared" si="0"/>
        <v>89981.509999999995</v>
      </c>
      <c r="I45" s="2"/>
      <c r="J45" s="2"/>
      <c r="K45" s="2"/>
      <c r="L45" s="2"/>
      <c r="M45" s="2"/>
    </row>
    <row r="46" spans="2:13" ht="15">
      <c r="B46" s="7">
        <v>40817</v>
      </c>
      <c r="C46" s="11">
        <f t="shared" si="3"/>
        <v>8908169.8800000008</v>
      </c>
      <c r="D46" s="11">
        <f t="shared" si="5"/>
        <v>-89981.509999999995</v>
      </c>
      <c r="E46" s="10">
        <v>103998.19999999947</v>
      </c>
      <c r="F46" s="8">
        <v>8922186.5700000003</v>
      </c>
      <c r="G46" s="15">
        <v>98</v>
      </c>
      <c r="H46" s="9">
        <f t="shared" si="0"/>
        <v>91042.720000000001</v>
      </c>
      <c r="I46" s="2"/>
      <c r="J46" s="2"/>
      <c r="K46" s="2"/>
      <c r="L46" s="2"/>
      <c r="M46" s="2"/>
    </row>
    <row r="47" spans="2:13" ht="15">
      <c r="B47" s="7">
        <v>40848</v>
      </c>
      <c r="C47" s="11">
        <f t="shared" si="3"/>
        <v>8922186.5700000003</v>
      </c>
      <c r="D47" s="11">
        <f t="shared" si="5"/>
        <v>-91042.720000000001</v>
      </c>
      <c r="E47" s="10">
        <f>F47-C47-D47</f>
        <v>193384.5400000003</v>
      </c>
      <c r="F47" s="8">
        <v>9024528.3900000006</v>
      </c>
      <c r="G47" s="15">
        <v>97</v>
      </c>
      <c r="H47" s="9">
        <f t="shared" si="0"/>
        <v>93036.380000000005</v>
      </c>
      <c r="I47" s="2"/>
      <c r="J47" s="2"/>
      <c r="K47" s="2"/>
      <c r="L47" s="2"/>
      <c r="M47" s="2"/>
    </row>
    <row r="48" spans="2:13" ht="15">
      <c r="B48" s="7">
        <v>40878</v>
      </c>
      <c r="C48" s="11">
        <f t="shared" si="3"/>
        <v>9024528.3900000006</v>
      </c>
      <c r="D48" s="11">
        <f t="shared" si="5"/>
        <v>-93036.380000000005</v>
      </c>
      <c r="E48" s="10">
        <f>F48-C48-D48</f>
        <v>138250.09999999881</v>
      </c>
      <c r="F48" s="8">
        <v>9069742.1099999994</v>
      </c>
      <c r="G48" s="15">
        <v>96</v>
      </c>
      <c r="H48" s="9">
        <f t="shared" si="0"/>
        <v>94476.479999999996</v>
      </c>
      <c r="I48" s="2"/>
      <c r="J48" s="2"/>
      <c r="K48" s="2"/>
      <c r="L48" s="2"/>
      <c r="M48" s="2"/>
    </row>
    <row r="49" spans="2:13" ht="15">
      <c r="B49" s="7">
        <v>40909</v>
      </c>
      <c r="C49" s="11">
        <f t="shared" si="3"/>
        <v>9069742.1099999994</v>
      </c>
      <c r="D49" s="11">
        <f t="shared" si="5"/>
        <v>-94476.479999999996</v>
      </c>
      <c r="E49" s="10">
        <f>F49-C49-D49</f>
        <v>4383.4099999996979</v>
      </c>
      <c r="F49" s="8">
        <v>8979649.0399999991</v>
      </c>
      <c r="G49" s="15">
        <v>95</v>
      </c>
      <c r="H49" s="9">
        <f t="shared" si="0"/>
        <v>94522.619999999995</v>
      </c>
      <c r="I49" s="2"/>
      <c r="J49" s="2"/>
      <c r="K49" s="2"/>
      <c r="L49" s="2"/>
      <c r="M49" s="2"/>
    </row>
    <row r="50" spans="2:13" ht="15">
      <c r="B50" s="7">
        <v>40940</v>
      </c>
      <c r="C50" s="11">
        <f t="shared" si="3"/>
        <v>8979649.0399999991</v>
      </c>
      <c r="D50" s="11">
        <f t="shared" si="5"/>
        <v>-94522.619999999995</v>
      </c>
      <c r="E50" s="10">
        <f>94522.62-55053.95</f>
        <v>39468.669999999998</v>
      </c>
      <c r="F50" s="8">
        <f t="shared" si="6" ref="F50:F57">SUM(C50:E50)</f>
        <v>8924595.0899999999</v>
      </c>
      <c r="G50" s="15">
        <v>94</v>
      </c>
      <c r="H50" s="9">
        <f t="shared" si="0"/>
        <v>94942.5</v>
      </c>
      <c r="I50" s="2"/>
      <c r="J50" s="2"/>
      <c r="K50" s="2"/>
      <c r="L50" s="2"/>
      <c r="M50" s="2"/>
    </row>
    <row r="51" spans="2:13" ht="15">
      <c r="B51" s="7">
        <v>40969</v>
      </c>
      <c r="C51" s="11">
        <f t="shared" si="3"/>
        <v>8924595.0899999999</v>
      </c>
      <c r="D51" s="11">
        <f t="shared" si="5"/>
        <v>-94942.5</v>
      </c>
      <c r="E51" s="10">
        <f>-22551.34-D51</f>
        <v>72391.160000000003</v>
      </c>
      <c r="F51" s="8">
        <f t="shared" si="6"/>
        <v>8902043.75</v>
      </c>
      <c r="G51" s="15">
        <v>93</v>
      </c>
      <c r="H51" s="9">
        <f t="shared" si="0"/>
        <v>95720.899999999994</v>
      </c>
      <c r="I51" s="2"/>
      <c r="J51" s="2"/>
      <c r="K51" s="2"/>
      <c r="L51" s="2"/>
      <c r="M51" s="2"/>
    </row>
    <row r="52" spans="2:13" ht="15">
      <c r="B52" s="7">
        <v>41000</v>
      </c>
      <c r="C52" s="18">
        <f t="shared" si="3"/>
        <v>8902043.75</v>
      </c>
      <c r="D52" s="11">
        <f t="shared" si="5"/>
        <v>-95720.899999999994</v>
      </c>
      <c r="E52" s="4">
        <v>137370.76999999999</v>
      </c>
      <c r="F52" s="8">
        <f t="shared" si="6"/>
        <v>8943693.6199999992</v>
      </c>
      <c r="G52" s="15">
        <v>92</v>
      </c>
      <c r="H52" s="9">
        <f t="shared" si="0"/>
        <v>97214.059999999998</v>
      </c>
      <c r="I52" s="2"/>
      <c r="J52" s="2"/>
      <c r="K52" s="2"/>
      <c r="L52" s="2"/>
      <c r="M52" s="2"/>
    </row>
    <row r="53" spans="2:8" ht="15">
      <c r="B53" s="7">
        <v>41030</v>
      </c>
      <c r="C53" s="18">
        <f t="shared" si="3"/>
        <v>8943693.6199999992</v>
      </c>
      <c r="D53" s="11">
        <f t="shared" si="5"/>
        <v>-97214.059999999998</v>
      </c>
      <c r="E53" s="10">
        <v>96219.450000001118</v>
      </c>
      <c r="F53" s="8">
        <f t="shared" si="6"/>
        <v>8942699.0099999998</v>
      </c>
      <c r="G53" s="15">
        <v>91</v>
      </c>
      <c r="H53" s="9">
        <f t="shared" si="0"/>
        <v>98271.419999999998</v>
      </c>
    </row>
    <row r="54" spans="2:8" ht="15">
      <c r="B54" s="21">
        <v>41061</v>
      </c>
      <c r="C54" s="18">
        <f t="shared" si="3"/>
        <v>8942699.0099999998</v>
      </c>
      <c r="D54" s="11">
        <f t="shared" si="5"/>
        <v>-98271.419999999998</v>
      </c>
      <c r="E54" s="11">
        <v>248415.91</v>
      </c>
      <c r="F54" s="8">
        <f t="shared" si="6"/>
        <v>9092843.5</v>
      </c>
      <c r="G54" s="15">
        <v>90</v>
      </c>
      <c r="H54" s="9">
        <f t="shared" si="0"/>
        <v>101031.59</v>
      </c>
    </row>
    <row r="55" spans="2:8" ht="15">
      <c r="B55" s="21">
        <v>41091</v>
      </c>
      <c r="C55" s="18">
        <f t="shared" si="3"/>
        <v>9092843.5</v>
      </c>
      <c r="D55" s="11">
        <f t="shared" si="5"/>
        <v>-101031.59</v>
      </c>
      <c r="E55" s="10">
        <v>114342.78</v>
      </c>
      <c r="F55" s="8">
        <f t="shared" si="6"/>
        <v>9106154.6899999995</v>
      </c>
      <c r="G55" s="15">
        <v>89</v>
      </c>
      <c r="H55" s="9">
        <f t="shared" si="0"/>
        <v>102316.34</v>
      </c>
    </row>
    <row r="56" spans="2:8" ht="15">
      <c r="B56" s="21">
        <v>41122</v>
      </c>
      <c r="C56" s="18">
        <f t="shared" si="3"/>
        <v>9106154.6899999995</v>
      </c>
      <c r="D56" s="11">
        <f t="shared" si="5"/>
        <v>-102316.34</v>
      </c>
      <c r="E56" s="10">
        <v>391182.62</v>
      </c>
      <c r="F56" s="8">
        <f t="shared" si="6"/>
        <v>9395020.9699999988</v>
      </c>
      <c r="G56" s="15">
        <v>88</v>
      </c>
      <c r="H56" s="9">
        <f t="shared" si="0"/>
        <v>106761.60000000001</v>
      </c>
    </row>
    <row r="57" spans="2:8" ht="15">
      <c r="B57" s="21">
        <v>41153</v>
      </c>
      <c r="C57" s="18">
        <f t="shared" si="3"/>
        <v>9395020.9699999988</v>
      </c>
      <c r="D57" s="11">
        <f t="shared" si="5"/>
        <v>-106761.60000000001</v>
      </c>
      <c r="E57" s="10">
        <v>143564.26999999999</v>
      </c>
      <c r="F57" s="8">
        <f t="shared" si="6"/>
        <v>9431823.6399999987</v>
      </c>
      <c r="G57" s="15">
        <v>87</v>
      </c>
      <c r="H57" s="9">
        <f t="shared" si="0"/>
        <v>108411.77</v>
      </c>
    </row>
    <row r="58" spans="2:8" ht="15">
      <c r="B58" s="7">
        <v>41183</v>
      </c>
      <c r="C58" s="10">
        <f t="shared" si="3"/>
        <v>9431823.6399999987</v>
      </c>
      <c r="D58" s="11">
        <f t="shared" si="5"/>
        <v>-108411.77</v>
      </c>
      <c r="E58" s="10">
        <v>821874.22999999998</v>
      </c>
      <c r="F58" s="8">
        <v>10145286.1</v>
      </c>
      <c r="G58" s="15">
        <v>86</v>
      </c>
      <c r="H58" s="9">
        <f t="shared" si="0"/>
        <v>117968.44</v>
      </c>
    </row>
    <row r="59" spans="2:8" ht="15">
      <c r="B59" s="7">
        <v>41214</v>
      </c>
      <c r="C59" s="10">
        <f t="shared" si="3"/>
        <v>10145286.1</v>
      </c>
      <c r="D59" s="11">
        <f t="shared" si="5"/>
        <v>-117968.44</v>
      </c>
      <c r="E59" s="10">
        <v>-199600.29999999999</v>
      </c>
      <c r="F59" s="8">
        <f t="shared" si="7" ref="F59:F90">SUM(C59:E59)</f>
        <v>9827717.3599999994</v>
      </c>
      <c r="G59" s="15">
        <v>85</v>
      </c>
      <c r="H59" s="9">
        <f t="shared" si="0"/>
        <v>115620.2</v>
      </c>
    </row>
    <row r="60" spans="2:8" ht="15">
      <c r="B60" s="7">
        <v>41244</v>
      </c>
      <c r="C60" s="10">
        <f t="shared" si="3"/>
        <v>9827717.3599999994</v>
      </c>
      <c r="D60" s="11">
        <f t="shared" si="5"/>
        <v>-115620.2</v>
      </c>
      <c r="E60" s="10">
        <v>18507.07</v>
      </c>
      <c r="F60" s="8">
        <f t="shared" si="7"/>
        <v>9730604.2300000004</v>
      </c>
      <c r="G60" s="15">
        <v>84</v>
      </c>
      <c r="H60" s="9">
        <f t="shared" si="0"/>
        <v>115840.53</v>
      </c>
    </row>
    <row r="61" spans="1:8" ht="15">
      <c r="A61" s="22">
        <v>41333</v>
      </c>
      <c r="B61" s="7">
        <v>41275</v>
      </c>
      <c r="C61" s="18">
        <f t="shared" si="3"/>
        <v>9730604.2300000004</v>
      </c>
      <c r="D61" s="11">
        <f t="shared" si="5"/>
        <v>-115840.53</v>
      </c>
      <c r="E61" s="4">
        <v>0</v>
      </c>
      <c r="F61" s="23">
        <f t="shared" si="7"/>
        <v>9614763.7000000011</v>
      </c>
      <c r="G61" s="15">
        <v>83</v>
      </c>
      <c r="H61" s="9">
        <f t="shared" si="0"/>
        <v>115840.53</v>
      </c>
    </row>
    <row r="62" spans="1:17" ht="15">
      <c r="A62" s="22">
        <f>+A61+30</f>
        <v>41363</v>
      </c>
      <c r="B62" s="7">
        <f t="shared" si="8" ref="B62:B92">B61+32</f>
        <v>41307</v>
      </c>
      <c r="C62" s="18">
        <f t="shared" si="3"/>
        <v>9614763.7000000011</v>
      </c>
      <c r="D62" s="11">
        <f t="shared" si="5"/>
        <v>-115840.53</v>
      </c>
      <c r="F62" s="8">
        <f t="shared" si="7"/>
        <v>9498923.1700000018</v>
      </c>
      <c r="G62" s="15">
        <v>82</v>
      </c>
      <c r="H62" s="9">
        <f t="shared" si="0"/>
        <v>115840.53</v>
      </c>
      <c r="J62" s="24"/>
      <c r="K62" s="25"/>
      <c r="L62" s="25"/>
      <c r="M62" s="26"/>
      <c r="N62" s="27"/>
      <c r="O62" s="27"/>
      <c r="P62" s="28"/>
      <c r="Q62" s="29"/>
    </row>
    <row r="63" spans="1:17" ht="18">
      <c r="A63" s="22">
        <f t="shared" si="9" ref="A63:A126">+A62+30</f>
        <v>41393</v>
      </c>
      <c r="B63" s="7">
        <f t="shared" si="8"/>
        <v>41339</v>
      </c>
      <c r="C63" s="18">
        <f t="shared" si="3"/>
        <v>9498923.1700000018</v>
      </c>
      <c r="D63" s="11">
        <f t="shared" si="5"/>
        <v>-115840.53</v>
      </c>
      <c r="F63" s="23">
        <f t="shared" si="7"/>
        <v>9383082.6400000025</v>
      </c>
      <c r="G63" s="30">
        <f t="shared" si="10" ref="G63:G126">G62-1</f>
        <v>81</v>
      </c>
      <c r="H63" s="9">
        <f t="shared" si="0"/>
        <v>115840.53</v>
      </c>
      <c r="J63" s="31"/>
      <c r="K63" s="25"/>
      <c r="L63" s="25"/>
      <c r="M63" s="32"/>
      <c r="N63" s="70"/>
      <c r="O63" s="27"/>
      <c r="P63" s="33"/>
      <c r="Q63" s="34"/>
    </row>
    <row r="64" spans="1:17" ht="18">
      <c r="A64" s="22">
        <f t="shared" si="9"/>
        <v>41423</v>
      </c>
      <c r="B64" s="7">
        <f t="shared" si="8"/>
        <v>41371</v>
      </c>
      <c r="C64" s="18">
        <f t="shared" si="3"/>
        <v>9383082.6400000025</v>
      </c>
      <c r="D64" s="11">
        <f t="shared" si="5"/>
        <v>-115840.53</v>
      </c>
      <c r="E64" s="10">
        <v>-42678.870000000003</v>
      </c>
      <c r="F64" s="23">
        <f t="shared" si="7"/>
        <v>9224563.2400000039</v>
      </c>
      <c r="G64" s="30">
        <f t="shared" si="10"/>
        <v>80</v>
      </c>
      <c r="H64" s="9">
        <f t="shared" si="0"/>
        <v>115307.03999999999</v>
      </c>
      <c r="J64" s="35"/>
      <c r="K64" s="25"/>
      <c r="L64" s="25"/>
      <c r="M64" s="32"/>
      <c r="N64" s="70"/>
      <c r="O64" s="27"/>
      <c r="P64" s="36"/>
      <c r="Q64" s="37"/>
    </row>
    <row r="65" spans="1:17" ht="15.75">
      <c r="A65" s="22">
        <f t="shared" si="9"/>
        <v>41453</v>
      </c>
      <c r="B65" s="7">
        <f t="shared" si="8"/>
        <v>41403</v>
      </c>
      <c r="C65" s="18">
        <f t="shared" si="3"/>
        <v>9224563.2400000039</v>
      </c>
      <c r="D65" s="11">
        <f t="shared" si="5"/>
        <v>-115307.03999999999</v>
      </c>
      <c r="F65" s="23">
        <f t="shared" si="7"/>
        <v>9109256.2000000048</v>
      </c>
      <c r="G65" s="30">
        <f t="shared" si="10"/>
        <v>79</v>
      </c>
      <c r="H65" s="9">
        <f t="shared" si="0"/>
        <v>115307.03999999999</v>
      </c>
      <c r="J65" s="38"/>
      <c r="K65" s="25"/>
      <c r="L65" s="25"/>
      <c r="M65" s="32"/>
      <c r="N65" s="70"/>
      <c r="O65" s="39"/>
      <c r="P65" s="40"/>
      <c r="Q65" s="41"/>
    </row>
    <row r="66" spans="1:20" ht="15">
      <c r="A66" s="22">
        <f t="shared" si="9"/>
        <v>41483</v>
      </c>
      <c r="B66" s="7">
        <f t="shared" si="8"/>
        <v>41435</v>
      </c>
      <c r="C66" s="18">
        <f t="shared" si="3"/>
        <v>9109256.2000000048</v>
      </c>
      <c r="D66" s="11">
        <f t="shared" si="5"/>
        <v>-115307.03999999999</v>
      </c>
      <c r="F66" s="8">
        <f t="shared" si="7"/>
        <v>8993949.1600000057</v>
      </c>
      <c r="G66" s="30">
        <f t="shared" si="10"/>
        <v>78</v>
      </c>
      <c r="H66" s="9">
        <f t="shared" si="0"/>
        <v>115307.03999999999</v>
      </c>
      <c r="J66" s="42"/>
      <c r="K66" s="43"/>
      <c r="L66" s="44"/>
      <c r="M66" s="45"/>
      <c r="N66" s="70"/>
      <c r="O66" s="45"/>
      <c r="P66" s="45"/>
      <c r="Q66" s="45"/>
      <c r="R66" s="45"/>
      <c r="S66" s="45"/>
      <c r="T66" s="40"/>
    </row>
    <row r="67" spans="1:20" ht="15">
      <c r="A67" s="22">
        <f t="shared" si="9"/>
        <v>41513</v>
      </c>
      <c r="B67" s="7">
        <f t="shared" si="8"/>
        <v>41467</v>
      </c>
      <c r="C67" s="18">
        <f t="shared" si="3"/>
        <v>8993949.1600000057</v>
      </c>
      <c r="D67" s="11">
        <f t="shared" si="5"/>
        <v>-115307.03999999999</v>
      </c>
      <c r="F67" s="8">
        <f t="shared" si="7"/>
        <v>8878642.1200000066</v>
      </c>
      <c r="G67" s="30">
        <f t="shared" si="10"/>
        <v>77</v>
      </c>
      <c r="H67" s="9">
        <f t="shared" si="0"/>
        <v>115307.03999999999</v>
      </c>
      <c r="J67" s="46"/>
      <c r="K67" s="47"/>
      <c r="L67" s="41"/>
      <c r="M67" s="48"/>
      <c r="O67" s="48"/>
      <c r="P67" s="48"/>
      <c r="Q67" s="48"/>
      <c r="R67" s="48"/>
      <c r="S67" s="48"/>
      <c r="T67" s="49"/>
    </row>
    <row r="68" spans="1:20" ht="15">
      <c r="A68" s="22">
        <f t="shared" si="9"/>
        <v>41543</v>
      </c>
      <c r="B68" s="7">
        <f t="shared" si="8"/>
        <v>41499</v>
      </c>
      <c r="C68" s="18">
        <f t="shared" si="3"/>
        <v>8878642.1200000066</v>
      </c>
      <c r="D68" s="11">
        <f t="shared" si="5"/>
        <v>-115307.03999999999</v>
      </c>
      <c r="F68" s="8">
        <f t="shared" si="7"/>
        <v>8763335.0800000075</v>
      </c>
      <c r="G68" s="30">
        <f t="shared" si="10"/>
        <v>76</v>
      </c>
      <c r="H68" s="9">
        <f t="shared" si="0"/>
        <v>115307.03999999999</v>
      </c>
      <c r="J68" s="50"/>
      <c r="K68" s="47"/>
      <c r="L68" s="41"/>
      <c r="M68" s="36"/>
      <c r="N68" s="36"/>
      <c r="O68" s="36"/>
      <c r="P68" s="36"/>
      <c r="Q68" s="36"/>
      <c r="R68" s="36"/>
      <c r="S68" s="36"/>
      <c r="T68" s="37"/>
    </row>
    <row r="69" spans="1:20" ht="15">
      <c r="A69" s="22">
        <f t="shared" si="9"/>
        <v>41573</v>
      </c>
      <c r="B69" s="7">
        <f t="shared" si="8"/>
        <v>41531</v>
      </c>
      <c r="C69" s="18">
        <f t="shared" si="3"/>
        <v>8763335.0800000075</v>
      </c>
      <c r="D69" s="11">
        <f t="shared" si="5"/>
        <v>-115307.03999999999</v>
      </c>
      <c r="F69" s="8">
        <f t="shared" si="7"/>
        <v>8648028.0400000084</v>
      </c>
      <c r="G69" s="30">
        <f t="shared" si="10"/>
        <v>75</v>
      </c>
      <c r="H69" s="9">
        <f t="shared" si="0"/>
        <v>115307.03999999999</v>
      </c>
      <c r="J69" s="2"/>
      <c r="K69" s="48"/>
      <c r="L69" s="36"/>
      <c r="M69" s="40"/>
      <c r="N69" s="40"/>
      <c r="O69" s="40"/>
      <c r="P69" s="40"/>
      <c r="Q69" s="40"/>
      <c r="R69" s="40"/>
      <c r="S69" s="40"/>
      <c r="T69" s="41"/>
    </row>
    <row r="70" spans="1:20" ht="15">
      <c r="A70" s="22">
        <f t="shared" si="9"/>
        <v>41603</v>
      </c>
      <c r="B70" s="7">
        <f t="shared" si="8"/>
        <v>41563</v>
      </c>
      <c r="C70" s="51">
        <f t="shared" si="3"/>
        <v>8648028.0400000084</v>
      </c>
      <c r="D70" s="11">
        <f t="shared" si="5"/>
        <v>-115307.03999999999</v>
      </c>
      <c r="F70" s="8">
        <f t="shared" si="7"/>
        <v>8532721.0000000093</v>
      </c>
      <c r="G70" s="30">
        <f t="shared" si="10"/>
        <v>74</v>
      </c>
      <c r="H70" s="9">
        <f t="shared" si="0"/>
        <v>115307.03999999999</v>
      </c>
      <c r="J70" s="2"/>
      <c r="K70" s="46"/>
      <c r="L70" s="45"/>
      <c r="M70" s="52"/>
      <c r="N70" s="52"/>
      <c r="O70" s="52"/>
      <c r="P70" s="52"/>
      <c r="Q70" s="52"/>
      <c r="R70" s="52"/>
      <c r="S70" s="52"/>
      <c r="T70" s="40"/>
    </row>
    <row r="71" spans="1:20" ht="15">
      <c r="A71" s="22">
        <f t="shared" si="9"/>
        <v>41633</v>
      </c>
      <c r="B71" s="7">
        <f t="shared" si="8"/>
        <v>41595</v>
      </c>
      <c r="C71" s="18">
        <f t="shared" si="3"/>
        <v>8532721.0000000093</v>
      </c>
      <c r="D71" s="11">
        <f t="shared" si="5"/>
        <v>-115307.03999999999</v>
      </c>
      <c r="F71" s="8">
        <f t="shared" si="7"/>
        <v>8417413.9600000102</v>
      </c>
      <c r="G71" s="30">
        <f t="shared" si="10"/>
        <v>73</v>
      </c>
      <c r="H71" s="9">
        <f t="shared" si="0"/>
        <v>115307.03999999999</v>
      </c>
      <c r="J71" s="2"/>
      <c r="K71" s="46"/>
      <c r="L71" s="45"/>
      <c r="M71" s="52"/>
      <c r="N71" s="52"/>
      <c r="O71" s="52"/>
      <c r="P71" s="52"/>
      <c r="Q71" s="52"/>
      <c r="R71" s="52"/>
      <c r="S71" s="52"/>
      <c r="T71" s="40"/>
    </row>
    <row r="72" spans="1:20" ht="15">
      <c r="A72" s="22">
        <f t="shared" si="9"/>
        <v>41663</v>
      </c>
      <c r="B72" s="7">
        <f t="shared" si="8"/>
        <v>41627</v>
      </c>
      <c r="C72" s="18">
        <f t="shared" si="3"/>
        <v>8417413.9600000102</v>
      </c>
      <c r="D72" s="11">
        <f t="shared" si="5"/>
        <v>-115307.03999999999</v>
      </c>
      <c r="F72" s="8">
        <f t="shared" si="7"/>
        <v>8302106.9200000102</v>
      </c>
      <c r="G72" s="30">
        <f t="shared" si="10"/>
        <v>72</v>
      </c>
      <c r="H72" s="9">
        <f t="shared" si="0"/>
        <v>115307.03999999999</v>
      </c>
      <c r="J72" s="43"/>
      <c r="K72" s="46"/>
      <c r="L72" s="45"/>
      <c r="M72" s="52"/>
      <c r="N72" s="52"/>
      <c r="O72" s="52"/>
      <c r="P72" s="52"/>
      <c r="Q72" s="52"/>
      <c r="R72" s="52"/>
      <c r="S72" s="52"/>
      <c r="T72" s="40"/>
    </row>
    <row r="73" spans="1:20" ht="15">
      <c r="A73" s="22">
        <f t="shared" si="9"/>
        <v>41693</v>
      </c>
      <c r="B73" s="7">
        <f t="shared" si="8"/>
        <v>41659</v>
      </c>
      <c r="C73" s="18">
        <f t="shared" si="3"/>
        <v>8302106.9200000102</v>
      </c>
      <c r="D73" s="11">
        <f t="shared" si="5"/>
        <v>-115307.03999999999</v>
      </c>
      <c r="F73" s="8">
        <f t="shared" si="7"/>
        <v>8186799.8800000101</v>
      </c>
      <c r="G73" s="30">
        <f t="shared" si="10"/>
        <v>71</v>
      </c>
      <c r="H73" s="9">
        <f t="shared" si="0"/>
        <v>115307.03999999999</v>
      </c>
      <c r="J73" s="47"/>
      <c r="K73" s="46"/>
      <c r="L73" s="45"/>
      <c r="M73" s="52"/>
      <c r="N73" s="52"/>
      <c r="O73" s="52"/>
      <c r="P73" s="52"/>
      <c r="Q73" s="52"/>
      <c r="R73" s="52"/>
      <c r="S73" s="52"/>
      <c r="T73" s="40"/>
    </row>
    <row r="74" spans="1:20" ht="15">
      <c r="A74" s="22">
        <f t="shared" si="9"/>
        <v>41723</v>
      </c>
      <c r="B74" s="7">
        <f t="shared" si="8"/>
        <v>41691</v>
      </c>
      <c r="C74" s="18">
        <f t="shared" si="3"/>
        <v>8186799.8800000101</v>
      </c>
      <c r="D74" s="11">
        <f t="shared" si="5"/>
        <v>-115307.03999999999</v>
      </c>
      <c r="F74" s="8">
        <f t="shared" si="7"/>
        <v>8071492.8400000101</v>
      </c>
      <c r="G74" s="30">
        <f t="shared" si="10"/>
        <v>70</v>
      </c>
      <c r="H74" s="9">
        <f t="shared" si="0"/>
        <v>115307.03999999999</v>
      </c>
      <c r="J74" s="47"/>
      <c r="K74" s="46"/>
      <c r="L74" s="45"/>
      <c r="M74" s="52"/>
      <c r="N74" s="52"/>
      <c r="O74" s="52"/>
      <c r="P74" s="52"/>
      <c r="Q74" s="52"/>
      <c r="R74" s="52"/>
      <c r="S74" s="52"/>
      <c r="T74" s="40"/>
    </row>
    <row r="75" spans="1:20" ht="15">
      <c r="A75" s="22">
        <f t="shared" si="9"/>
        <v>41753</v>
      </c>
      <c r="B75" s="7">
        <f t="shared" si="8"/>
        <v>41723</v>
      </c>
      <c r="C75" s="18">
        <f t="shared" si="3"/>
        <v>8071492.8400000101</v>
      </c>
      <c r="D75" s="11">
        <f t="shared" si="5"/>
        <v>-115307.03999999999</v>
      </c>
      <c r="F75" s="8">
        <f t="shared" si="7"/>
        <v>7956185.8000000101</v>
      </c>
      <c r="G75" s="30">
        <f t="shared" si="10"/>
        <v>69</v>
      </c>
      <c r="H75" s="9">
        <f t="shared" si="0"/>
        <v>115307.03999999999</v>
      </c>
      <c r="J75" s="48"/>
      <c r="K75" s="46"/>
      <c r="L75" s="45"/>
      <c r="M75" s="52"/>
      <c r="N75" s="52"/>
      <c r="O75" s="52"/>
      <c r="P75" s="52"/>
      <c r="Q75" s="52"/>
      <c r="R75" s="52"/>
      <c r="S75" s="52"/>
      <c r="T75" s="40"/>
    </row>
    <row r="76" spans="1:20" ht="15">
      <c r="A76" s="22">
        <f t="shared" si="9"/>
        <v>41783</v>
      </c>
      <c r="B76" s="7">
        <f t="shared" si="8"/>
        <v>41755</v>
      </c>
      <c r="C76" s="18">
        <f t="shared" si="3"/>
        <v>7956185.8000000101</v>
      </c>
      <c r="D76" s="11">
        <f t="shared" si="5"/>
        <v>-115307.03999999999</v>
      </c>
      <c r="F76" s="8">
        <f t="shared" si="7"/>
        <v>7840878.76000001</v>
      </c>
      <c r="G76" s="30">
        <f t="shared" si="10"/>
        <v>68</v>
      </c>
      <c r="H76" s="9">
        <f t="shared" si="11" ref="H76:H117">ROUND(F76/G76,2)</f>
        <v>115307.03999999999</v>
      </c>
      <c r="J76" s="46"/>
      <c r="K76" s="46"/>
      <c r="L76" s="45"/>
      <c r="M76" s="52"/>
      <c r="N76" s="52"/>
      <c r="O76" s="52"/>
      <c r="P76" s="52"/>
      <c r="Q76" s="52"/>
      <c r="R76" s="52"/>
      <c r="S76" s="52"/>
      <c r="T76" s="40"/>
    </row>
    <row r="77" spans="1:20" ht="15">
      <c r="A77" s="22">
        <f t="shared" si="9"/>
        <v>41813</v>
      </c>
      <c r="B77" s="7">
        <f t="shared" si="8"/>
        <v>41787</v>
      </c>
      <c r="C77" s="18">
        <f t="shared" si="3"/>
        <v>7840878.76000001</v>
      </c>
      <c r="D77" s="11">
        <f t="shared" si="5"/>
        <v>-115307.03999999999</v>
      </c>
      <c r="F77" s="8">
        <f t="shared" si="7"/>
        <v>7725571.72000001</v>
      </c>
      <c r="G77" s="30">
        <f t="shared" si="10"/>
        <v>67</v>
      </c>
      <c r="H77" s="9">
        <f t="shared" si="11"/>
        <v>115307.03999999999</v>
      </c>
      <c r="J77" s="46"/>
      <c r="K77" s="46"/>
      <c r="L77" s="45"/>
      <c r="M77" s="52"/>
      <c r="N77" s="52"/>
      <c r="O77" s="52"/>
      <c r="P77" s="52"/>
      <c r="Q77" s="52"/>
      <c r="R77" s="52"/>
      <c r="S77" s="52"/>
      <c r="T77" s="40"/>
    </row>
    <row r="78" spans="1:20" ht="15">
      <c r="A78" s="22">
        <f t="shared" si="9"/>
        <v>41843</v>
      </c>
      <c r="B78" s="7">
        <f t="shared" si="8"/>
        <v>41819</v>
      </c>
      <c r="C78" s="18">
        <f t="shared" si="3"/>
        <v>7725571.72000001</v>
      </c>
      <c r="D78" s="11">
        <f t="shared" si="5"/>
        <v>-115307.03999999999</v>
      </c>
      <c r="F78" s="8">
        <f t="shared" si="7"/>
        <v>7610264.6800000099</v>
      </c>
      <c r="G78" s="30">
        <f t="shared" si="10"/>
        <v>66</v>
      </c>
      <c r="H78" s="9">
        <f t="shared" si="11"/>
        <v>115307.03999999999</v>
      </c>
      <c r="J78" s="46"/>
      <c r="K78" s="46"/>
      <c r="L78" s="45"/>
      <c r="M78" s="52"/>
      <c r="N78" s="52"/>
      <c r="O78" s="52"/>
      <c r="P78" s="52"/>
      <c r="Q78" s="52"/>
      <c r="R78" s="52"/>
      <c r="S78" s="52"/>
      <c r="T78" s="40"/>
    </row>
    <row r="79" spans="1:20" ht="15">
      <c r="A79" s="22">
        <f t="shared" si="9"/>
        <v>41873</v>
      </c>
      <c r="B79" s="7">
        <f t="shared" si="8"/>
        <v>41851</v>
      </c>
      <c r="C79" s="18">
        <f t="shared" si="3"/>
        <v>7610264.6800000099</v>
      </c>
      <c r="D79" s="11">
        <f t="shared" si="5"/>
        <v>-115307.03999999999</v>
      </c>
      <c r="F79" s="23">
        <f t="shared" si="7"/>
        <v>7494957.6400000099</v>
      </c>
      <c r="G79" s="53">
        <f t="shared" si="10"/>
        <v>65</v>
      </c>
      <c r="H79" s="9">
        <f t="shared" si="11"/>
        <v>115307.03999999999</v>
      </c>
      <c r="J79" s="46"/>
      <c r="K79" s="46"/>
      <c r="L79" s="45"/>
      <c r="M79" s="52"/>
      <c r="N79" s="52"/>
      <c r="O79" s="52"/>
      <c r="P79" s="52"/>
      <c r="Q79" s="52"/>
      <c r="R79" s="52"/>
      <c r="S79" s="52"/>
      <c r="T79" s="40"/>
    </row>
    <row r="80" spans="1:23" ht="15">
      <c r="A80" s="22">
        <f t="shared" si="9"/>
        <v>41903</v>
      </c>
      <c r="B80" s="7">
        <f>B79+31</f>
        <v>41882</v>
      </c>
      <c r="C80" s="18">
        <f t="shared" si="3"/>
        <v>7494957.6400000099</v>
      </c>
      <c r="D80" s="11">
        <f t="shared" si="5"/>
        <v>-115307.03999999999</v>
      </c>
      <c r="F80" s="23">
        <f t="shared" si="7"/>
        <v>7379650.6000000099</v>
      </c>
      <c r="G80" s="53">
        <f t="shared" si="10"/>
        <v>64</v>
      </c>
      <c r="H80" s="9">
        <f t="shared" si="11"/>
        <v>115307.03999999999</v>
      </c>
      <c r="J80" s="2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6"/>
    </row>
    <row r="81" spans="1:23" ht="18">
      <c r="A81" s="22">
        <f t="shared" si="9"/>
        <v>41933</v>
      </c>
      <c r="B81" s="7">
        <f>B80+30</f>
        <v>41912</v>
      </c>
      <c r="C81" s="18">
        <f t="shared" si="3"/>
        <v>7379650.6000000099</v>
      </c>
      <c r="D81" s="11">
        <f t="shared" si="5"/>
        <v>-115307.03999999999</v>
      </c>
      <c r="F81" s="23">
        <f t="shared" si="7"/>
        <v>7264343.5600000098</v>
      </c>
      <c r="G81" s="53">
        <f t="shared" si="10"/>
        <v>63</v>
      </c>
      <c r="H81" s="9">
        <f t="shared" si="11"/>
        <v>115307.03999999999</v>
      </c>
      <c r="J81" s="31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32"/>
    </row>
    <row r="82" spans="1:23" ht="18">
      <c r="A82" s="22">
        <f t="shared" si="9"/>
        <v>41963</v>
      </c>
      <c r="B82" s="7">
        <f>B81+30</f>
        <v>41942</v>
      </c>
      <c r="C82" s="18">
        <f t="shared" si="3"/>
        <v>7264343.5600000098</v>
      </c>
      <c r="D82" s="11">
        <f t="shared" si="5"/>
        <v>-115307.03999999999</v>
      </c>
      <c r="F82" s="23">
        <f t="shared" si="7"/>
        <v>7149036.5200000098</v>
      </c>
      <c r="G82" s="53">
        <f t="shared" si="10"/>
        <v>62</v>
      </c>
      <c r="H82" s="9">
        <f t="shared" si="11"/>
        <v>115307.03999999999</v>
      </c>
      <c r="J82" s="3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32"/>
    </row>
    <row r="83" spans="1:23" ht="15.75">
      <c r="A83" s="22">
        <f t="shared" si="9"/>
        <v>41993</v>
      </c>
      <c r="B83" s="7">
        <f>B82+30</f>
        <v>41972</v>
      </c>
      <c r="C83" s="18">
        <f t="shared" si="3"/>
        <v>7149036.5200000098</v>
      </c>
      <c r="D83" s="11">
        <f t="shared" si="5"/>
        <v>-115307.03999999999</v>
      </c>
      <c r="F83" s="23">
        <f t="shared" si="7"/>
        <v>7033729.4800000098</v>
      </c>
      <c r="G83" s="53">
        <f t="shared" si="10"/>
        <v>61</v>
      </c>
      <c r="H83" s="9">
        <f t="shared" si="11"/>
        <v>115307.03999999999</v>
      </c>
      <c r="J83" s="3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32"/>
    </row>
    <row r="84" spans="1:23" ht="15">
      <c r="A84" s="22">
        <f t="shared" si="9"/>
        <v>42023</v>
      </c>
      <c r="B84" s="7">
        <f t="shared" si="8"/>
        <v>42004</v>
      </c>
      <c r="C84" s="18">
        <f t="shared" si="3"/>
        <v>7033729.4800000098</v>
      </c>
      <c r="D84" s="11">
        <f t="shared" si="5"/>
        <v>-115307.03999999999</v>
      </c>
      <c r="F84" s="23">
        <f t="shared" si="7"/>
        <v>6918422.4400000097</v>
      </c>
      <c r="G84" s="53">
        <f t="shared" si="10"/>
        <v>60</v>
      </c>
      <c r="H84" s="9">
        <f t="shared" si="11"/>
        <v>115307.03999999999</v>
      </c>
      <c r="J84" s="42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">
      <c r="A85" s="22">
        <f t="shared" si="9"/>
        <v>42053</v>
      </c>
      <c r="B85" s="7">
        <f>B84+30</f>
        <v>42034</v>
      </c>
      <c r="C85" s="18">
        <f t="shared" si="3"/>
        <v>6918422.4400000097</v>
      </c>
      <c r="D85" s="11">
        <f t="shared" si="5"/>
        <v>-115307.03999999999</v>
      </c>
      <c r="F85" s="23">
        <f t="shared" si="7"/>
        <v>6803115.4000000097</v>
      </c>
      <c r="G85" s="53">
        <f t="shared" si="10"/>
        <v>59</v>
      </c>
      <c r="H85" s="9">
        <f t="shared" si="11"/>
        <v>115307.03999999999</v>
      </c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 spans="1:23" ht="15">
      <c r="A86" s="22">
        <f t="shared" si="9"/>
        <v>42083</v>
      </c>
      <c r="B86" s="7">
        <f>B85+29</f>
        <v>42063</v>
      </c>
      <c r="C86" s="18">
        <f t="shared" si="3"/>
        <v>6803115.4000000097</v>
      </c>
      <c r="D86" s="11">
        <f t="shared" si="5"/>
        <v>-115307.03999999999</v>
      </c>
      <c r="F86" s="23">
        <f t="shared" si="7"/>
        <v>6687808.3600000096</v>
      </c>
      <c r="G86" s="53">
        <f t="shared" si="10"/>
        <v>58</v>
      </c>
      <c r="H86" s="9">
        <f t="shared" si="11"/>
        <v>115307.03999999999</v>
      </c>
      <c r="J86" s="50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32"/>
    </row>
    <row r="87" spans="1:24" ht="15">
      <c r="A87" s="22">
        <f t="shared" si="9"/>
        <v>42113</v>
      </c>
      <c r="B87" s="7">
        <f>B86+30</f>
        <v>42093</v>
      </c>
      <c r="C87" s="18">
        <f t="shared" si="3"/>
        <v>6687808.3600000096</v>
      </c>
      <c r="D87" s="11">
        <f t="shared" si="5"/>
        <v>-115307.03999999999</v>
      </c>
      <c r="F87" s="23">
        <f t="shared" si="7"/>
        <v>6572501.3200000096</v>
      </c>
      <c r="G87" s="53">
        <f t="shared" si="10"/>
        <v>57</v>
      </c>
      <c r="H87" s="9">
        <f t="shared" si="11"/>
        <v>115307.03999999999</v>
      </c>
      <c r="J87" s="4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40"/>
      <c r="X87" s="40"/>
    </row>
    <row r="88" spans="1:31" ht="15">
      <c r="A88" s="22">
        <f t="shared" si="9"/>
        <v>42143</v>
      </c>
      <c r="B88" s="7">
        <f>B87+30</f>
        <v>42123</v>
      </c>
      <c r="C88" s="18">
        <f t="shared" si="3"/>
        <v>6572501.3200000096</v>
      </c>
      <c r="D88" s="11">
        <f t="shared" si="5"/>
        <v>-115307.03999999999</v>
      </c>
      <c r="F88" s="23">
        <f t="shared" si="7"/>
        <v>6457194.2800000096</v>
      </c>
      <c r="G88" s="53">
        <f t="shared" si="10"/>
        <v>56</v>
      </c>
      <c r="H88" s="9">
        <f t="shared" si="11"/>
        <v>115307.03999999999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">
      <c r="A89" s="22">
        <f t="shared" si="9"/>
        <v>42173</v>
      </c>
      <c r="B89" s="7">
        <f t="shared" si="8"/>
        <v>42155</v>
      </c>
      <c r="C89" s="18">
        <f t="shared" si="12" ref="C89:C152">F88</f>
        <v>6457194.2800000096</v>
      </c>
      <c r="D89" s="11">
        <f t="shared" si="5"/>
        <v>-115307.03999999999</v>
      </c>
      <c r="F89" s="23">
        <f t="shared" si="7"/>
        <v>6341887.2400000095</v>
      </c>
      <c r="G89" s="53">
        <f t="shared" si="10"/>
        <v>55</v>
      </c>
      <c r="H89" s="9">
        <f t="shared" si="11"/>
        <v>115307.03999999999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">
      <c r="A90" s="22">
        <f t="shared" si="9"/>
        <v>42203</v>
      </c>
      <c r="B90" s="7">
        <f>B89+30</f>
        <v>42185</v>
      </c>
      <c r="C90" s="18">
        <f t="shared" si="12"/>
        <v>6341887.2400000095</v>
      </c>
      <c r="D90" s="11">
        <f t="shared" si="5"/>
        <v>-115307.03999999999</v>
      </c>
      <c r="F90" s="23">
        <f t="shared" si="7"/>
        <v>6226580.2000000095</v>
      </c>
      <c r="G90" s="53">
        <f t="shared" si="10"/>
        <v>54</v>
      </c>
      <c r="H90" s="9">
        <f t="shared" si="11"/>
        <v>115307.03999999999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">
      <c r="A91" s="22">
        <f t="shared" si="9"/>
        <v>42233</v>
      </c>
      <c r="B91" s="7">
        <f>B90+30</f>
        <v>42215</v>
      </c>
      <c r="C91" s="18">
        <f t="shared" si="12"/>
        <v>6226580.2000000095</v>
      </c>
      <c r="D91" s="11">
        <f t="shared" si="5"/>
        <v>-115307.03999999999</v>
      </c>
      <c r="F91" s="23">
        <f t="shared" si="13" ref="F91:F123">SUM(C91:E91)</f>
        <v>6111273.1600000095</v>
      </c>
      <c r="G91" s="53">
        <f t="shared" si="10"/>
        <v>53</v>
      </c>
      <c r="H91" s="9">
        <f t="shared" si="11"/>
        <v>115307.03999999999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">
      <c r="A92" s="22">
        <f t="shared" si="9"/>
        <v>42263</v>
      </c>
      <c r="B92" s="7">
        <f t="shared" si="8"/>
        <v>42247</v>
      </c>
      <c r="C92" s="18">
        <f t="shared" si="12"/>
        <v>6111273.1600000095</v>
      </c>
      <c r="D92" s="11">
        <f t="shared" si="5"/>
        <v>-115307.03999999999</v>
      </c>
      <c r="F92" s="23">
        <f t="shared" si="13"/>
        <v>5995966.1200000094</v>
      </c>
      <c r="G92" s="53">
        <f t="shared" si="10"/>
        <v>52</v>
      </c>
      <c r="H92" s="9">
        <f t="shared" si="11"/>
        <v>115307.03999999999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">
      <c r="A93" s="22">
        <f t="shared" si="9"/>
        <v>42293</v>
      </c>
      <c r="B93" s="7">
        <f>B92+30</f>
        <v>42277</v>
      </c>
      <c r="C93" s="18">
        <f t="shared" si="12"/>
        <v>5995966.1200000094</v>
      </c>
      <c r="D93" s="11">
        <f t="shared" si="5"/>
        <v>-115307.03999999999</v>
      </c>
      <c r="F93" s="23">
        <f t="shared" si="13"/>
        <v>5880659.0800000094</v>
      </c>
      <c r="G93" s="53">
        <f t="shared" si="10"/>
        <v>51</v>
      </c>
      <c r="H93" s="9">
        <f t="shared" si="11"/>
        <v>115307.03999999999</v>
      </c>
      <c r="I93" s="5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">
      <c r="A94" s="22">
        <f t="shared" si="9"/>
        <v>42323</v>
      </c>
      <c r="B94" s="7">
        <f>B93+30</f>
        <v>42307</v>
      </c>
      <c r="C94" s="18">
        <f t="shared" si="12"/>
        <v>5880659.0800000094</v>
      </c>
      <c r="D94" s="11">
        <f t="shared" si="5"/>
        <v>-115307.03999999999</v>
      </c>
      <c r="F94" s="23">
        <f t="shared" si="13"/>
        <v>5765352.0400000094</v>
      </c>
      <c r="G94" s="53">
        <f t="shared" si="10"/>
        <v>50</v>
      </c>
      <c r="H94" s="9">
        <f t="shared" si="11"/>
        <v>115307.03999999999</v>
      </c>
      <c r="I94" s="5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">
      <c r="A95" s="22">
        <f t="shared" si="9"/>
        <v>42353</v>
      </c>
      <c r="B95" s="7">
        <f>B94+30</f>
        <v>42337</v>
      </c>
      <c r="C95" s="18">
        <f t="shared" si="12"/>
        <v>5765352.0400000094</v>
      </c>
      <c r="D95" s="11">
        <f t="shared" si="14" ref="D95:D158">H94*-1</f>
        <v>-115307.03999999999</v>
      </c>
      <c r="F95" s="23">
        <f t="shared" si="13"/>
        <v>5650045.0000000093</v>
      </c>
      <c r="G95" s="53">
        <f t="shared" si="10"/>
        <v>49</v>
      </c>
      <c r="H95" s="9">
        <f t="shared" si="11"/>
        <v>115307.03999999999</v>
      </c>
      <c r="I95" s="5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">
      <c r="A96" s="22">
        <f t="shared" si="9"/>
        <v>42383</v>
      </c>
      <c r="B96" s="7">
        <f t="shared" si="15" ref="B96:B111">B95+32</f>
        <v>42369</v>
      </c>
      <c r="C96" s="18">
        <f t="shared" si="12"/>
        <v>5650045.0000000093</v>
      </c>
      <c r="D96" s="11">
        <f t="shared" si="14"/>
        <v>-115307.03999999999</v>
      </c>
      <c r="F96" s="23">
        <f t="shared" si="13"/>
        <v>5534737.9600000093</v>
      </c>
      <c r="G96" s="53">
        <f t="shared" si="10"/>
        <v>48</v>
      </c>
      <c r="H96" s="9">
        <f t="shared" si="11"/>
        <v>115307.03999999999</v>
      </c>
      <c r="I96" s="5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">
      <c r="A97" s="22">
        <f t="shared" si="9"/>
        <v>42413</v>
      </c>
      <c r="B97" s="7">
        <f>B96+30</f>
        <v>42399</v>
      </c>
      <c r="C97" s="18">
        <f t="shared" si="12"/>
        <v>5534737.9600000093</v>
      </c>
      <c r="D97" s="11">
        <f t="shared" si="14"/>
        <v>-115307.03999999999</v>
      </c>
      <c r="F97" s="23">
        <f t="shared" si="13"/>
        <v>5419430.9200000092</v>
      </c>
      <c r="G97" s="53">
        <f t="shared" si="10"/>
        <v>47</v>
      </c>
      <c r="H97" s="9">
        <f t="shared" si="11"/>
        <v>115307.03999999999</v>
      </c>
      <c r="I97" s="5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">
      <c r="A98" s="22">
        <f t="shared" si="9"/>
        <v>42443</v>
      </c>
      <c r="B98" s="7">
        <f>B97+30</f>
        <v>42429</v>
      </c>
      <c r="C98" s="18">
        <f t="shared" si="12"/>
        <v>5419430.9200000092</v>
      </c>
      <c r="D98" s="11">
        <f t="shared" si="14"/>
        <v>-115307.03999999999</v>
      </c>
      <c r="F98" s="23">
        <f t="shared" si="13"/>
        <v>5304123.8800000092</v>
      </c>
      <c r="G98" s="53">
        <f t="shared" si="10"/>
        <v>46</v>
      </c>
      <c r="H98" s="9">
        <f t="shared" si="11"/>
        <v>115307.03999999999</v>
      </c>
      <c r="I98" s="5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">
      <c r="A99" s="22">
        <f t="shared" si="9"/>
        <v>42473</v>
      </c>
      <c r="B99" s="7">
        <f>B98+30</f>
        <v>42459</v>
      </c>
      <c r="C99" s="18">
        <f t="shared" si="12"/>
        <v>5304123.8800000092</v>
      </c>
      <c r="D99" s="11">
        <f t="shared" si="14"/>
        <v>-115307.03999999999</v>
      </c>
      <c r="F99" s="23">
        <f t="shared" si="13"/>
        <v>5188816.8400000092</v>
      </c>
      <c r="G99" s="53">
        <f t="shared" si="10"/>
        <v>45</v>
      </c>
      <c r="H99" s="9">
        <f t="shared" si="11"/>
        <v>115307.03999999999</v>
      </c>
      <c r="I99" s="5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">
      <c r="A100" s="22">
        <f t="shared" si="9"/>
        <v>42503</v>
      </c>
      <c r="B100" s="7">
        <f>B99+30</f>
        <v>42489</v>
      </c>
      <c r="C100" s="18">
        <f t="shared" si="12"/>
        <v>5188816.8400000092</v>
      </c>
      <c r="D100" s="11">
        <f t="shared" si="14"/>
        <v>-115307.03999999999</v>
      </c>
      <c r="F100" s="23">
        <f t="shared" si="13"/>
        <v>5073509.8000000091</v>
      </c>
      <c r="G100" s="53">
        <f t="shared" si="10"/>
        <v>44</v>
      </c>
      <c r="H100" s="9">
        <f t="shared" si="11"/>
        <v>115307.03999999999</v>
      </c>
      <c r="I100" s="5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">
      <c r="A101" s="22">
        <f t="shared" si="9"/>
        <v>42533</v>
      </c>
      <c r="B101" s="7">
        <f t="shared" si="15"/>
        <v>42521</v>
      </c>
      <c r="C101" s="18">
        <f t="shared" si="12"/>
        <v>5073509.8000000091</v>
      </c>
      <c r="D101" s="11">
        <f t="shared" si="14"/>
        <v>-115307.03999999999</v>
      </c>
      <c r="F101" s="23">
        <f t="shared" si="13"/>
        <v>4958202.7600000091</v>
      </c>
      <c r="G101" s="53">
        <f t="shared" si="10"/>
        <v>43</v>
      </c>
      <c r="H101" s="9">
        <f t="shared" si="11"/>
        <v>115307.03999999999</v>
      </c>
      <c r="I101" s="5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">
      <c r="A102" s="22">
        <f t="shared" si="9"/>
        <v>42563</v>
      </c>
      <c r="B102" s="7">
        <f>B101+30</f>
        <v>42551</v>
      </c>
      <c r="C102" s="18">
        <f t="shared" si="12"/>
        <v>4958202.7600000091</v>
      </c>
      <c r="D102" s="11">
        <f t="shared" si="14"/>
        <v>-115307.03999999999</v>
      </c>
      <c r="F102" s="23">
        <f t="shared" si="13"/>
        <v>4842895.7200000091</v>
      </c>
      <c r="G102" s="53">
        <f t="shared" si="10"/>
        <v>42</v>
      </c>
      <c r="H102" s="9">
        <f t="shared" si="11"/>
        <v>115307.03999999999</v>
      </c>
      <c r="I102" s="5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">
      <c r="A103" s="22">
        <f t="shared" si="9"/>
        <v>42593</v>
      </c>
      <c r="B103" s="7">
        <f>B102+30</f>
        <v>42581</v>
      </c>
      <c r="C103" s="18">
        <f t="shared" si="12"/>
        <v>4842895.7200000091</v>
      </c>
      <c r="D103" s="11">
        <f t="shared" si="14"/>
        <v>-115307.03999999999</v>
      </c>
      <c r="F103" s="23">
        <f t="shared" si="13"/>
        <v>4727588.680000009</v>
      </c>
      <c r="G103" s="53">
        <f t="shared" si="10"/>
        <v>41</v>
      </c>
      <c r="H103" s="9">
        <f t="shared" si="11"/>
        <v>115307.03999999999</v>
      </c>
      <c r="I103" s="5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">
      <c r="A104" s="22">
        <f t="shared" si="9"/>
        <v>42623</v>
      </c>
      <c r="B104" s="7">
        <f t="shared" si="15"/>
        <v>42613</v>
      </c>
      <c r="C104" s="18">
        <f t="shared" si="12"/>
        <v>4727588.680000009</v>
      </c>
      <c r="D104" s="11">
        <f t="shared" si="14"/>
        <v>-115307.03999999999</v>
      </c>
      <c r="F104" s="23">
        <f t="shared" si="13"/>
        <v>4612281.640000009</v>
      </c>
      <c r="G104" s="53">
        <f t="shared" si="10"/>
        <v>40</v>
      </c>
      <c r="H104" s="9">
        <f t="shared" si="11"/>
        <v>115307.03999999999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">
      <c r="A105" s="22">
        <f t="shared" si="9"/>
        <v>42653</v>
      </c>
      <c r="B105" s="7">
        <f>B104+30</f>
        <v>42643</v>
      </c>
      <c r="C105" s="18">
        <f t="shared" si="12"/>
        <v>4612281.640000009</v>
      </c>
      <c r="D105" s="11">
        <f t="shared" si="14"/>
        <v>-115307.03999999999</v>
      </c>
      <c r="F105" s="23">
        <f t="shared" si="13"/>
        <v>4496974.6000000089</v>
      </c>
      <c r="G105" s="53">
        <f t="shared" si="10"/>
        <v>39</v>
      </c>
      <c r="H105" s="9">
        <f t="shared" si="11"/>
        <v>115307.03999999999</v>
      </c>
      <c r="I105" s="5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">
      <c r="A106" s="22">
        <f t="shared" si="9"/>
        <v>42683</v>
      </c>
      <c r="B106" s="7">
        <f>B105+30</f>
        <v>42673</v>
      </c>
      <c r="C106" s="18">
        <f t="shared" si="12"/>
        <v>4496974.6000000089</v>
      </c>
      <c r="D106" s="11">
        <f t="shared" si="14"/>
        <v>-115307.03999999999</v>
      </c>
      <c r="F106" s="23">
        <f t="shared" si="13"/>
        <v>4381667.5600000089</v>
      </c>
      <c r="G106" s="53">
        <f t="shared" si="10"/>
        <v>38</v>
      </c>
      <c r="H106" s="9">
        <f t="shared" si="11"/>
        <v>115307.03999999999</v>
      </c>
      <c r="I106" s="5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">
      <c r="A107" s="22">
        <f t="shared" si="9"/>
        <v>42713</v>
      </c>
      <c r="B107" s="7">
        <f>B106+30</f>
        <v>42703</v>
      </c>
      <c r="C107" s="18">
        <f t="shared" si="12"/>
        <v>4381667.5600000089</v>
      </c>
      <c r="D107" s="11">
        <f t="shared" si="14"/>
        <v>-115307.03999999999</v>
      </c>
      <c r="F107" s="23">
        <f t="shared" si="13"/>
        <v>4266360.5200000089</v>
      </c>
      <c r="G107" s="53">
        <f t="shared" si="10"/>
        <v>37</v>
      </c>
      <c r="H107" s="9">
        <f t="shared" si="11"/>
        <v>115307.03999999999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">
      <c r="A108" s="22">
        <f t="shared" si="9"/>
        <v>42743</v>
      </c>
      <c r="B108" s="7">
        <f t="shared" si="15"/>
        <v>42735</v>
      </c>
      <c r="C108" s="18">
        <f t="shared" si="12"/>
        <v>4266360.5200000089</v>
      </c>
      <c r="D108" s="11">
        <f t="shared" si="14"/>
        <v>-115307.03999999999</v>
      </c>
      <c r="F108" s="23">
        <f t="shared" si="13"/>
        <v>4151053.4800000088</v>
      </c>
      <c r="G108" s="53">
        <f t="shared" si="10"/>
        <v>36</v>
      </c>
      <c r="H108" s="9">
        <f t="shared" si="11"/>
        <v>115307.03999999999</v>
      </c>
      <c r="I108" s="5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">
      <c r="A109" s="22">
        <f t="shared" si="9"/>
        <v>42773</v>
      </c>
      <c r="B109" s="7">
        <f>B108+30</f>
        <v>42765</v>
      </c>
      <c r="C109" s="18">
        <f t="shared" si="12"/>
        <v>4151053.4800000088</v>
      </c>
      <c r="D109" s="11">
        <f t="shared" si="14"/>
        <v>-115307.03999999999</v>
      </c>
      <c r="F109" s="23">
        <f t="shared" si="13"/>
        <v>4035746.4400000088</v>
      </c>
      <c r="G109" s="53">
        <f t="shared" si="10"/>
        <v>35</v>
      </c>
      <c r="H109" s="9">
        <f t="shared" si="11"/>
        <v>115307.03999999999</v>
      </c>
      <c r="I109" s="5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">
      <c r="A110" s="22">
        <f t="shared" si="9"/>
        <v>42803</v>
      </c>
      <c r="B110" s="7">
        <f>B109+28</f>
        <v>42793</v>
      </c>
      <c r="C110" s="18">
        <f t="shared" si="12"/>
        <v>4035746.4400000088</v>
      </c>
      <c r="D110" s="11">
        <f t="shared" si="14"/>
        <v>-115307.03999999999</v>
      </c>
      <c r="F110" s="23">
        <f t="shared" si="13"/>
        <v>3920439.4000000088</v>
      </c>
      <c r="G110" s="53">
        <f t="shared" si="10"/>
        <v>34</v>
      </c>
      <c r="H110" s="9">
        <f t="shared" si="11"/>
        <v>115307.03999999999</v>
      </c>
      <c r="I110" s="5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">
      <c r="A111" s="22">
        <f t="shared" si="9"/>
        <v>42833</v>
      </c>
      <c r="B111" s="7">
        <f t="shared" si="15"/>
        <v>42825</v>
      </c>
      <c r="C111" s="18">
        <f t="shared" si="12"/>
        <v>3920439.4000000088</v>
      </c>
      <c r="D111" s="11">
        <f t="shared" si="14"/>
        <v>-115307.03999999999</v>
      </c>
      <c r="F111" s="23">
        <f t="shared" si="13"/>
        <v>3805132.3600000087</v>
      </c>
      <c r="G111" s="53">
        <f t="shared" si="10"/>
        <v>33</v>
      </c>
      <c r="H111" s="9">
        <f t="shared" si="11"/>
        <v>115307.03999999999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26" ht="15">
      <c r="A112" s="22">
        <f t="shared" si="9"/>
        <v>42863</v>
      </c>
      <c r="B112" s="7">
        <f>B111+30</f>
        <v>42855</v>
      </c>
      <c r="C112" s="18">
        <f t="shared" si="12"/>
        <v>3805132.3600000087</v>
      </c>
      <c r="D112" s="11">
        <f t="shared" si="14"/>
        <v>-115307.03999999999</v>
      </c>
      <c r="F112" s="23">
        <f t="shared" si="13"/>
        <v>3689825.3200000087</v>
      </c>
      <c r="G112" s="53">
        <f t="shared" si="10"/>
        <v>32</v>
      </c>
      <c r="H112" s="9">
        <f t="shared" si="11"/>
        <v>115307.03999999999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3" ht="15">
      <c r="A113" s="22">
        <f t="shared" si="9"/>
        <v>42893</v>
      </c>
      <c r="B113" s="7">
        <f t="shared" si="16" ref="B113:B176">B112+30</f>
        <v>42885</v>
      </c>
      <c r="C113" s="18">
        <f t="shared" si="12"/>
        <v>3689825.3200000087</v>
      </c>
      <c r="D113" s="11">
        <f t="shared" si="14"/>
        <v>-115307.03999999999</v>
      </c>
      <c r="F113" s="23">
        <f t="shared" si="13"/>
        <v>3574518.2800000086</v>
      </c>
      <c r="G113" s="53">
        <f t="shared" si="10"/>
        <v>31</v>
      </c>
      <c r="H113" s="9">
        <f t="shared" si="11"/>
        <v>115307.03999999999</v>
      </c>
      <c r="I113" s="56"/>
      <c r="P113" s="57"/>
      <c r="Q113" s="57"/>
      <c r="R113" s="57"/>
      <c r="S113" s="57"/>
      <c r="T113" s="57"/>
      <c r="U113" s="57"/>
      <c r="V113" s="57"/>
      <c r="W113" s="58"/>
    </row>
    <row r="114" spans="1:8" ht="15">
      <c r="A114" s="22">
        <f t="shared" si="9"/>
        <v>42923</v>
      </c>
      <c r="B114" s="7">
        <f t="shared" si="16"/>
        <v>42915</v>
      </c>
      <c r="C114" s="18">
        <f t="shared" si="12"/>
        <v>3574518.2800000086</v>
      </c>
      <c r="D114" s="11">
        <f t="shared" si="14"/>
        <v>-115307.03999999999</v>
      </c>
      <c r="F114" s="23">
        <f t="shared" si="13"/>
        <v>3459211.2400000086</v>
      </c>
      <c r="G114" s="53">
        <f t="shared" si="10"/>
        <v>30</v>
      </c>
      <c r="H114" s="9">
        <f t="shared" si="11"/>
        <v>115307.03999999999</v>
      </c>
    </row>
    <row r="115" spans="1:9" ht="15">
      <c r="A115" s="22">
        <f t="shared" si="9"/>
        <v>42953</v>
      </c>
      <c r="B115" s="7">
        <f t="shared" si="16"/>
        <v>42945</v>
      </c>
      <c r="C115" s="18">
        <f t="shared" si="12"/>
        <v>3459211.2400000086</v>
      </c>
      <c r="D115" s="11">
        <f t="shared" si="14"/>
        <v>-115307.03999999999</v>
      </c>
      <c r="F115" s="23">
        <f t="shared" si="13"/>
        <v>3343904.2000000086</v>
      </c>
      <c r="G115" s="53">
        <f t="shared" si="10"/>
        <v>29</v>
      </c>
      <c r="H115" s="9">
        <f t="shared" si="11"/>
        <v>115307.03999999999</v>
      </c>
      <c r="I115" s="56"/>
    </row>
    <row r="116" spans="1:8" ht="15">
      <c r="A116" s="22">
        <f t="shared" si="9"/>
        <v>42983</v>
      </c>
      <c r="B116" s="7">
        <f t="shared" si="16"/>
        <v>42975</v>
      </c>
      <c r="C116" s="18">
        <f t="shared" si="12"/>
        <v>3343904.2000000086</v>
      </c>
      <c r="D116" s="11">
        <f t="shared" si="14"/>
        <v>-115307.03999999999</v>
      </c>
      <c r="F116" s="23">
        <f t="shared" si="13"/>
        <v>3228597.1600000085</v>
      </c>
      <c r="G116" s="53">
        <f t="shared" si="10"/>
        <v>28</v>
      </c>
      <c r="H116" s="9">
        <f t="shared" si="11"/>
        <v>115307.03999999999</v>
      </c>
    </row>
    <row r="117" spans="1:9" ht="15">
      <c r="A117" s="22">
        <f t="shared" si="9"/>
        <v>43013</v>
      </c>
      <c r="B117" s="7">
        <f t="shared" si="16"/>
        <v>43005</v>
      </c>
      <c r="C117" s="18">
        <f t="shared" si="12"/>
        <v>3228597.1600000085</v>
      </c>
      <c r="D117" s="11">
        <f t="shared" si="14"/>
        <v>-115307.03999999999</v>
      </c>
      <c r="F117" s="23">
        <f t="shared" si="13"/>
        <v>3113290.1200000085</v>
      </c>
      <c r="G117" s="53">
        <f t="shared" si="10"/>
        <v>27</v>
      </c>
      <c r="H117" s="9">
        <f t="shared" si="11"/>
        <v>115307.03999999999</v>
      </c>
      <c r="I117" s="56"/>
    </row>
    <row r="118" spans="1:8" ht="15">
      <c r="A118" s="59">
        <f t="shared" si="9"/>
        <v>43043</v>
      </c>
      <c r="B118" s="60">
        <v>43039</v>
      </c>
      <c r="C118" s="51">
        <f t="shared" si="12"/>
        <v>3113290.1200000085</v>
      </c>
      <c r="D118" s="61">
        <f t="shared" si="14"/>
        <v>-115307.03999999999</v>
      </c>
      <c r="E118" s="62"/>
      <c r="F118" s="23">
        <f t="shared" si="13"/>
        <v>2997983.0800000085</v>
      </c>
      <c r="G118" s="53">
        <f t="shared" si="10"/>
        <v>26</v>
      </c>
      <c r="H118" s="9">
        <f>ROUND(F118/G118,2)*26/30</f>
        <v>99932.767999999996</v>
      </c>
    </row>
    <row r="119" spans="1:8" ht="15">
      <c r="A119" s="59">
        <v>43043</v>
      </c>
      <c r="B119" s="60">
        <v>43065</v>
      </c>
      <c r="C119" s="51">
        <f t="shared" si="12"/>
        <v>2997983.0800000085</v>
      </c>
      <c r="D119" s="61">
        <f t="shared" si="14"/>
        <v>-99932.767999999996</v>
      </c>
      <c r="E119" s="62"/>
      <c r="F119" s="23">
        <f t="shared" si="13"/>
        <v>2898050.3120000083</v>
      </c>
      <c r="G119" s="53">
        <v>60</v>
      </c>
      <c r="H119" s="9">
        <f>+B201*4/30</f>
        <v>6440.1119999999992</v>
      </c>
    </row>
    <row r="120" spans="1:8" ht="15">
      <c r="A120" s="59">
        <f>+A118+30</f>
        <v>43073</v>
      </c>
      <c r="B120" s="63" t="s">
        <v>10</v>
      </c>
      <c r="C120" s="51">
        <f>F119</f>
        <v>2898050.3120000083</v>
      </c>
      <c r="D120" s="61">
        <f>H119*-1</f>
        <v>-6440.1119999999992</v>
      </c>
      <c r="E120" s="62"/>
      <c r="F120" s="23">
        <f t="shared" si="13"/>
        <v>2891610.2000000081</v>
      </c>
      <c r="G120" s="53">
        <v>60</v>
      </c>
      <c r="H120" s="9">
        <f>ROUND(+$B$201,2)</f>
        <v>48300.839999999997</v>
      </c>
    </row>
    <row r="121" spans="1:8" ht="15">
      <c r="A121" s="59">
        <f t="shared" si="9"/>
        <v>43103</v>
      </c>
      <c r="B121" s="65">
        <v>43099</v>
      </c>
      <c r="C121" s="51">
        <f t="shared" si="12"/>
        <v>2891610.2000000081</v>
      </c>
      <c r="D121" s="61">
        <f t="shared" si="14"/>
        <v>-48300.839999999997</v>
      </c>
      <c r="E121" s="62"/>
      <c r="F121" s="23">
        <f t="shared" si="13"/>
        <v>2843309.3600000083</v>
      </c>
      <c r="G121" s="53">
        <f t="shared" si="10"/>
        <v>59</v>
      </c>
      <c r="H121" s="9">
        <f>ROUND(+$B$201,2)</f>
        <v>48300.839999999997</v>
      </c>
    </row>
    <row r="122" spans="1:8" ht="15">
      <c r="A122" s="59">
        <f t="shared" si="9"/>
        <v>43133</v>
      </c>
      <c r="B122" s="65">
        <f t="shared" si="16"/>
        <v>43129</v>
      </c>
      <c r="C122" s="51">
        <f t="shared" si="12"/>
        <v>2843309.3600000083</v>
      </c>
      <c r="D122" s="61">
        <f t="shared" si="14"/>
        <v>-48300.839999999997</v>
      </c>
      <c r="E122" s="62"/>
      <c r="F122" s="23">
        <f t="shared" si="13"/>
        <v>2795008.5200000084</v>
      </c>
      <c r="G122" s="53">
        <f t="shared" si="10"/>
        <v>58</v>
      </c>
      <c r="H122" s="9">
        <f>ROUND(+$B$201,2)</f>
        <v>48300.839999999997</v>
      </c>
    </row>
    <row r="123" spans="1:8" ht="15">
      <c r="A123" s="59">
        <f t="shared" si="9"/>
        <v>43163</v>
      </c>
      <c r="B123" s="65">
        <f t="shared" si="16"/>
        <v>43159</v>
      </c>
      <c r="C123" s="51">
        <f t="shared" si="12"/>
        <v>2795008.5200000084</v>
      </c>
      <c r="D123" s="61">
        <f t="shared" si="14"/>
        <v>-48300.839999999997</v>
      </c>
      <c r="E123" s="62"/>
      <c r="F123" s="23">
        <f t="shared" si="13"/>
        <v>2746707.6800000085</v>
      </c>
      <c r="G123" s="53">
        <f t="shared" si="10"/>
        <v>57</v>
      </c>
      <c r="H123" s="9">
        <f>ROUND(+$B$201,2)</f>
        <v>48300.839999999997</v>
      </c>
    </row>
    <row r="124" spans="1:12" ht="15">
      <c r="A124" s="59">
        <f t="shared" si="9"/>
        <v>43193</v>
      </c>
      <c r="B124" s="65">
        <f t="shared" si="16"/>
        <v>43189</v>
      </c>
      <c r="C124" s="51">
        <f t="shared" si="12"/>
        <v>2746707.6800000085</v>
      </c>
      <c r="D124" s="61">
        <f t="shared" si="14"/>
        <v>-48300.839999999997</v>
      </c>
      <c r="E124" s="62"/>
      <c r="F124" s="23">
        <f t="shared" si="17" ref="F124:F145">SUM(C124:E124)</f>
        <v>2698406.8400000087</v>
      </c>
      <c r="G124" s="53">
        <f t="shared" si="10"/>
        <v>56</v>
      </c>
      <c r="H124" s="9">
        <f>ROUND(+$B$201,2)</f>
        <v>48300.839999999997</v>
      </c>
      <c r="L124" s="11"/>
    </row>
    <row r="125" spans="1:14" s="67" customFormat="1" ht="15">
      <c r="A125" s="59">
        <f t="shared" si="9"/>
        <v>43223</v>
      </c>
      <c r="B125" s="65">
        <f t="shared" si="16"/>
        <v>43219</v>
      </c>
      <c r="C125" s="51">
        <f t="shared" si="12"/>
        <v>2698406.8400000087</v>
      </c>
      <c r="D125" s="61">
        <f t="shared" si="14"/>
        <v>-48300.839999999997</v>
      </c>
      <c r="E125" s="62"/>
      <c r="F125" s="23">
        <f t="shared" si="17"/>
        <v>2650106.0000000088</v>
      </c>
      <c r="G125" s="53">
        <f t="shared" si="10"/>
        <v>55</v>
      </c>
      <c r="H125" s="9">
        <f>ROUND(+$B$201,2)</f>
        <v>48300.839999999997</v>
      </c>
      <c r="I125" s="55"/>
      <c r="N125" s="70"/>
    </row>
    <row r="126" spans="1:14" s="67" customFormat="1" ht="15">
      <c r="A126" s="59">
        <f t="shared" si="9"/>
        <v>43253</v>
      </c>
      <c r="B126" s="65">
        <f t="shared" si="16"/>
        <v>43249</v>
      </c>
      <c r="C126" s="51">
        <f t="shared" si="12"/>
        <v>2650106.0000000088</v>
      </c>
      <c r="D126" s="61">
        <f t="shared" si="14"/>
        <v>-48300.839999999997</v>
      </c>
      <c r="E126" s="62"/>
      <c r="F126" s="23">
        <f t="shared" si="17"/>
        <v>2601805.160000009</v>
      </c>
      <c r="G126" s="53">
        <f t="shared" si="10"/>
        <v>54</v>
      </c>
      <c r="H126" s="9">
        <f>ROUND(+$B$201,2)</f>
        <v>48300.839999999997</v>
      </c>
      <c r="I126" s="55"/>
      <c r="N126" s="70"/>
    </row>
    <row r="127" spans="1:9" s="67" customFormat="1" ht="15">
      <c r="A127" s="59">
        <f t="shared" si="18" ref="A127:A128">+A126+30</f>
        <v>43283</v>
      </c>
      <c r="B127" s="65">
        <f t="shared" si="16"/>
        <v>43279</v>
      </c>
      <c r="C127" s="51">
        <f t="shared" si="12"/>
        <v>2601805.160000009</v>
      </c>
      <c r="D127" s="61">
        <f t="shared" si="14"/>
        <v>-48300.839999999997</v>
      </c>
      <c r="E127" s="62"/>
      <c r="F127" s="23">
        <f t="shared" si="17"/>
        <v>2553504.3200000091</v>
      </c>
      <c r="G127" s="53">
        <f t="shared" si="19" ref="G127:G179">G126-1</f>
        <v>53</v>
      </c>
      <c r="H127" s="9">
        <f>ROUND(+$B$201,2)</f>
        <v>48300.839999999997</v>
      </c>
      <c r="I127" s="55"/>
    </row>
    <row r="128" spans="1:9" s="67" customFormat="1" ht="15">
      <c r="A128" s="59">
        <f t="shared" si="18"/>
        <v>43313</v>
      </c>
      <c r="B128" s="65">
        <f t="shared" si="16"/>
        <v>43309</v>
      </c>
      <c r="C128" s="51">
        <f t="shared" si="12"/>
        <v>2553504.3200000091</v>
      </c>
      <c r="D128" s="61">
        <f t="shared" si="14"/>
        <v>-48300.839999999997</v>
      </c>
      <c r="E128" s="62"/>
      <c r="F128" s="23">
        <f t="shared" si="17"/>
        <v>2505203.4800000093</v>
      </c>
      <c r="G128" s="53">
        <f t="shared" si="19"/>
        <v>52</v>
      </c>
      <c r="H128" s="9">
        <f>ROUND(+$B$201,2)</f>
        <v>48300.839999999997</v>
      </c>
      <c r="I128" s="55"/>
    </row>
    <row r="129" spans="1:9" s="67" customFormat="1" ht="15">
      <c r="A129" s="59">
        <f>+A128+31</f>
        <v>43344</v>
      </c>
      <c r="B129" s="65">
        <f t="shared" si="16"/>
        <v>43339</v>
      </c>
      <c r="C129" s="51">
        <f t="shared" si="12"/>
        <v>2505203.4800000093</v>
      </c>
      <c r="D129" s="61">
        <f t="shared" si="14"/>
        <v>-48300.839999999997</v>
      </c>
      <c r="E129" s="62"/>
      <c r="F129" s="23">
        <f t="shared" si="17"/>
        <v>2456902.6400000094</v>
      </c>
      <c r="G129" s="53">
        <f t="shared" si="19"/>
        <v>51</v>
      </c>
      <c r="H129" s="9">
        <f>ROUND(+$B$201,2)</f>
        <v>48300.839999999997</v>
      </c>
      <c r="I129" s="55"/>
    </row>
    <row r="130" spans="1:13" ht="15">
      <c r="A130" s="59">
        <f t="shared" si="20" ref="A130:A179">+A129+31</f>
        <v>43375</v>
      </c>
      <c r="B130" s="65">
        <f t="shared" si="16"/>
        <v>43369</v>
      </c>
      <c r="C130" s="51">
        <f t="shared" si="12"/>
        <v>2456902.6400000094</v>
      </c>
      <c r="D130" s="61">
        <f t="shared" si="14"/>
        <v>-48300.839999999997</v>
      </c>
      <c r="E130" s="62"/>
      <c r="F130" s="23">
        <f t="shared" si="17"/>
        <v>2408601.8000000096</v>
      </c>
      <c r="G130" s="53">
        <f t="shared" si="19"/>
        <v>50</v>
      </c>
      <c r="H130" s="9">
        <f>ROUND(+$B$201,2)</f>
        <v>48300.839999999997</v>
      </c>
      <c r="J130" s="2"/>
      <c r="K130" s="2"/>
      <c r="L130" s="2"/>
      <c r="M130" s="2"/>
    </row>
    <row r="131" spans="1:9" s="67" customFormat="1" ht="13.5" customHeight="1">
      <c r="A131" s="59">
        <f t="shared" si="20"/>
        <v>43406</v>
      </c>
      <c r="B131" s="65">
        <f t="shared" si="16"/>
        <v>43399</v>
      </c>
      <c r="C131" s="51">
        <f t="shared" si="12"/>
        <v>2408601.8000000096</v>
      </c>
      <c r="D131" s="61">
        <f t="shared" si="14"/>
        <v>-48300.839999999997</v>
      </c>
      <c r="E131" s="62"/>
      <c r="F131" s="23">
        <f t="shared" si="17"/>
        <v>2360300.9600000097</v>
      </c>
      <c r="G131" s="53">
        <f t="shared" si="19"/>
        <v>49</v>
      </c>
      <c r="H131" s="9">
        <f>ROUND(+$B$201,2)</f>
        <v>48300.839999999997</v>
      </c>
      <c r="I131" s="55"/>
    </row>
    <row r="132" spans="1:9" s="67" customFormat="1" ht="15">
      <c r="A132" s="59">
        <f t="shared" si="20"/>
        <v>43437</v>
      </c>
      <c r="B132" s="65">
        <f t="shared" si="16"/>
        <v>43429</v>
      </c>
      <c r="C132" s="51">
        <f t="shared" si="12"/>
        <v>2360300.9600000097</v>
      </c>
      <c r="D132" s="61">
        <f t="shared" si="14"/>
        <v>-48300.839999999997</v>
      </c>
      <c r="E132" s="62"/>
      <c r="F132" s="23">
        <f t="shared" si="17"/>
        <v>2312000.1200000099</v>
      </c>
      <c r="G132" s="53">
        <f t="shared" si="19"/>
        <v>48</v>
      </c>
      <c r="H132" s="9">
        <f>ROUND(+$B$201,2)</f>
        <v>48300.839999999997</v>
      </c>
      <c r="I132" s="55"/>
    </row>
    <row r="133" spans="1:9" s="67" customFormat="1" ht="15">
      <c r="A133" s="59">
        <f t="shared" si="20"/>
        <v>43468</v>
      </c>
      <c r="B133" s="65">
        <f t="shared" si="16"/>
        <v>43459</v>
      </c>
      <c r="C133" s="51">
        <f t="shared" si="12"/>
        <v>2312000.1200000099</v>
      </c>
      <c r="D133" s="61">
        <f t="shared" si="14"/>
        <v>-48300.839999999997</v>
      </c>
      <c r="E133" s="62"/>
      <c r="F133" s="23">
        <f t="shared" si="17"/>
        <v>2263699.28000001</v>
      </c>
      <c r="G133" s="53">
        <f t="shared" si="19"/>
        <v>47</v>
      </c>
      <c r="H133" s="9">
        <f>ROUND(+$B$201,2)</f>
        <v>48300.839999999997</v>
      </c>
      <c r="I133" s="55"/>
    </row>
    <row r="134" spans="1:9" s="67" customFormat="1" ht="15">
      <c r="A134" s="59">
        <f t="shared" si="20"/>
        <v>43499</v>
      </c>
      <c r="B134" s="65">
        <f t="shared" si="16"/>
        <v>43489</v>
      </c>
      <c r="C134" s="51">
        <f t="shared" si="12"/>
        <v>2263699.28000001</v>
      </c>
      <c r="D134" s="61">
        <f t="shared" si="14"/>
        <v>-48300.839999999997</v>
      </c>
      <c r="E134" s="62"/>
      <c r="F134" s="23">
        <f t="shared" si="17"/>
        <v>2215398.4400000102</v>
      </c>
      <c r="G134" s="53">
        <f t="shared" si="19"/>
        <v>46</v>
      </c>
      <c r="H134" s="9">
        <f>ROUND(+$B$201,2)</f>
        <v>48300.839999999997</v>
      </c>
      <c r="I134" s="55"/>
    </row>
    <row r="135" spans="1:9" s="67" customFormat="1" ht="15">
      <c r="A135" s="59">
        <f t="shared" si="20"/>
        <v>43530</v>
      </c>
      <c r="B135" s="65">
        <f t="shared" si="16"/>
        <v>43519</v>
      </c>
      <c r="C135" s="51">
        <f t="shared" si="12"/>
        <v>2215398.4400000102</v>
      </c>
      <c r="D135" s="61">
        <f t="shared" si="14"/>
        <v>-48300.839999999997</v>
      </c>
      <c r="E135" s="62"/>
      <c r="F135" s="23">
        <f t="shared" si="17"/>
        <v>2167097.6000000103</v>
      </c>
      <c r="G135" s="53">
        <f t="shared" si="19"/>
        <v>45</v>
      </c>
      <c r="H135" s="9">
        <f>ROUND(+$B$201,2)</f>
        <v>48300.839999999997</v>
      </c>
      <c r="I135" s="55"/>
    </row>
    <row r="136" spans="1:13" ht="15">
      <c r="A136" s="59">
        <f t="shared" si="20"/>
        <v>43561</v>
      </c>
      <c r="B136" s="65">
        <f t="shared" si="16"/>
        <v>43549</v>
      </c>
      <c r="C136" s="51">
        <f t="shared" si="12"/>
        <v>2167097.6000000103</v>
      </c>
      <c r="D136" s="61">
        <f t="shared" si="14"/>
        <v>-48300.839999999997</v>
      </c>
      <c r="E136" s="62"/>
      <c r="F136" s="23">
        <f t="shared" si="17"/>
        <v>2118796.7600000105</v>
      </c>
      <c r="G136" s="53">
        <f t="shared" si="19"/>
        <v>44</v>
      </c>
      <c r="H136" s="9">
        <f>ROUND(+$B$201,2)</f>
        <v>48300.839999999997</v>
      </c>
      <c r="J136" s="2"/>
      <c r="K136" s="2"/>
      <c r="L136" s="2"/>
      <c r="M136" s="2"/>
    </row>
    <row r="137" spans="1:13" ht="15">
      <c r="A137" s="59">
        <f t="shared" si="20"/>
        <v>43592</v>
      </c>
      <c r="B137" s="65">
        <f t="shared" si="16"/>
        <v>43579</v>
      </c>
      <c r="C137" s="51">
        <f t="shared" si="12"/>
        <v>2118796.7600000105</v>
      </c>
      <c r="D137" s="61">
        <f t="shared" si="14"/>
        <v>-48300.839999999997</v>
      </c>
      <c r="E137" s="62"/>
      <c r="F137" s="23">
        <f t="shared" si="17"/>
        <v>2070495.9200000104</v>
      </c>
      <c r="G137" s="53">
        <f t="shared" si="19"/>
        <v>43</v>
      </c>
      <c r="H137" s="9">
        <f>ROUND(+$B$201,2)</f>
        <v>48300.839999999997</v>
      </c>
      <c r="J137" s="2"/>
      <c r="K137" s="2"/>
      <c r="L137" s="2"/>
      <c r="M137" s="2"/>
    </row>
    <row r="138" spans="1:9" s="67" customFormat="1" ht="15">
      <c r="A138" s="59">
        <f t="shared" si="20"/>
        <v>43623</v>
      </c>
      <c r="B138" s="65">
        <f t="shared" si="16"/>
        <v>43609</v>
      </c>
      <c r="C138" s="51">
        <f t="shared" si="12"/>
        <v>2070495.9200000104</v>
      </c>
      <c r="D138" s="61">
        <f t="shared" si="14"/>
        <v>-48300.839999999997</v>
      </c>
      <c r="E138" s="62"/>
      <c r="F138" s="23">
        <f t="shared" si="17"/>
        <v>2022195.0800000103</v>
      </c>
      <c r="G138" s="53">
        <f t="shared" si="19"/>
        <v>42</v>
      </c>
      <c r="H138" s="9">
        <f>ROUND(+$B$201,2)</f>
        <v>48300.839999999997</v>
      </c>
      <c r="I138" s="55"/>
    </row>
    <row r="139" spans="1:13" ht="15">
      <c r="A139" s="59">
        <f t="shared" si="20"/>
        <v>43654</v>
      </c>
      <c r="B139" s="65">
        <f t="shared" si="16"/>
        <v>43639</v>
      </c>
      <c r="C139" s="51">
        <f t="shared" si="12"/>
        <v>2022195.0800000103</v>
      </c>
      <c r="D139" s="61">
        <f t="shared" si="14"/>
        <v>-48300.839999999997</v>
      </c>
      <c r="E139" s="62"/>
      <c r="F139" s="23">
        <f t="shared" si="17"/>
        <v>1973894.2400000102</v>
      </c>
      <c r="G139" s="53">
        <f t="shared" si="19"/>
        <v>41</v>
      </c>
      <c r="H139" s="9">
        <f>ROUND(+$B$201,2)</f>
        <v>48300.839999999997</v>
      </c>
      <c r="J139" s="2"/>
      <c r="K139" s="2"/>
      <c r="L139" s="2"/>
      <c r="M139" s="2"/>
    </row>
    <row r="140" spans="1:9" s="67" customFormat="1" ht="15">
      <c r="A140" s="59">
        <f t="shared" si="20"/>
        <v>43685</v>
      </c>
      <c r="B140" s="65">
        <f t="shared" si="16"/>
        <v>43669</v>
      </c>
      <c r="C140" s="51">
        <f t="shared" si="12"/>
        <v>1973894.2400000102</v>
      </c>
      <c r="D140" s="61">
        <f t="shared" si="14"/>
        <v>-48300.839999999997</v>
      </c>
      <c r="E140" s="62"/>
      <c r="F140" s="23">
        <f t="shared" si="17"/>
        <v>1925593.4000000102</v>
      </c>
      <c r="G140" s="53">
        <f t="shared" si="19"/>
        <v>40</v>
      </c>
      <c r="H140" s="9">
        <f>ROUND(+$B$201,2)</f>
        <v>48300.839999999997</v>
      </c>
      <c r="I140" s="55"/>
    </row>
    <row r="141" spans="1:9" s="67" customFormat="1" ht="15">
      <c r="A141" s="59">
        <f t="shared" si="20"/>
        <v>43716</v>
      </c>
      <c r="B141" s="65">
        <f t="shared" si="16"/>
        <v>43699</v>
      </c>
      <c r="C141" s="51">
        <f t="shared" si="12"/>
        <v>1925593.4000000102</v>
      </c>
      <c r="D141" s="61">
        <f t="shared" si="14"/>
        <v>-48300.839999999997</v>
      </c>
      <c r="E141" s="62"/>
      <c r="F141" s="23">
        <f t="shared" si="17"/>
        <v>1877292.5600000101</v>
      </c>
      <c r="G141" s="53">
        <f t="shared" si="19"/>
        <v>39</v>
      </c>
      <c r="H141" s="9">
        <f>ROUND(+$B$201,2)</f>
        <v>48300.839999999997</v>
      </c>
      <c r="I141" s="55"/>
    </row>
    <row r="142" spans="1:13" ht="15">
      <c r="A142" s="59">
        <f t="shared" si="20"/>
        <v>43747</v>
      </c>
      <c r="B142" s="65">
        <f t="shared" si="16"/>
        <v>43729</v>
      </c>
      <c r="C142" s="51">
        <f t="shared" si="12"/>
        <v>1877292.5600000101</v>
      </c>
      <c r="D142" s="61">
        <f t="shared" si="14"/>
        <v>-48300.839999999997</v>
      </c>
      <c r="E142" s="62"/>
      <c r="F142" s="23">
        <f t="shared" si="17"/>
        <v>1828991.72000001</v>
      </c>
      <c r="G142" s="53">
        <f t="shared" si="19"/>
        <v>38</v>
      </c>
      <c r="H142" s="9">
        <f>ROUND(+$B$201,2)</f>
        <v>48300.839999999997</v>
      </c>
      <c r="J142" s="2"/>
      <c r="K142" s="2"/>
      <c r="L142" s="2"/>
      <c r="M142" s="2"/>
    </row>
    <row r="143" spans="1:9" s="67" customFormat="1" ht="15">
      <c r="A143" s="59">
        <f t="shared" si="20"/>
        <v>43778</v>
      </c>
      <c r="B143" s="65">
        <f t="shared" si="16"/>
        <v>43759</v>
      </c>
      <c r="C143" s="51">
        <f t="shared" si="12"/>
        <v>1828991.72000001</v>
      </c>
      <c r="D143" s="61">
        <f t="shared" si="14"/>
        <v>-48300.839999999997</v>
      </c>
      <c r="E143" s="62"/>
      <c r="F143" s="23">
        <f t="shared" si="17"/>
        <v>1780690.8800000099</v>
      </c>
      <c r="G143" s="53">
        <f t="shared" si="19"/>
        <v>37</v>
      </c>
      <c r="H143" s="9">
        <f>ROUND(+$B$201,2)</f>
        <v>48300.839999999997</v>
      </c>
      <c r="I143" s="55"/>
    </row>
    <row r="144" spans="1:9" s="67" customFormat="1" ht="15">
      <c r="A144" s="59">
        <f t="shared" si="20"/>
        <v>43809</v>
      </c>
      <c r="B144" s="65">
        <f t="shared" si="16"/>
        <v>43789</v>
      </c>
      <c r="C144" s="51">
        <f t="shared" si="12"/>
        <v>1780690.8800000099</v>
      </c>
      <c r="D144" s="61">
        <f t="shared" si="14"/>
        <v>-48300.839999999997</v>
      </c>
      <c r="E144" s="62"/>
      <c r="F144" s="23">
        <f t="shared" si="17"/>
        <v>1732390.0400000098</v>
      </c>
      <c r="G144" s="53">
        <f t="shared" si="19"/>
        <v>36</v>
      </c>
      <c r="H144" s="9">
        <f>ROUND(+$B$201,2)</f>
        <v>48300.839999999997</v>
      </c>
      <c r="I144" s="55"/>
    </row>
    <row r="145" spans="1:9" s="67" customFormat="1" ht="15">
      <c r="A145" s="59">
        <f t="shared" si="20"/>
        <v>43840</v>
      </c>
      <c r="B145" s="65">
        <f t="shared" si="16"/>
        <v>43819</v>
      </c>
      <c r="C145" s="51">
        <f t="shared" si="12"/>
        <v>1732390.0400000098</v>
      </c>
      <c r="D145" s="61">
        <f t="shared" si="14"/>
        <v>-48300.839999999997</v>
      </c>
      <c r="E145" s="62"/>
      <c r="F145" s="23">
        <f t="shared" si="17"/>
        <v>1684089.2000000097</v>
      </c>
      <c r="G145" s="53">
        <f t="shared" si="19"/>
        <v>35</v>
      </c>
      <c r="H145" s="9">
        <f>ROUND(+$B$201,2)</f>
        <v>48300.839999999997</v>
      </c>
      <c r="I145" s="55"/>
    </row>
    <row r="146" spans="1:13" ht="15">
      <c r="A146" s="59">
        <f t="shared" si="20"/>
        <v>43871</v>
      </c>
      <c r="B146" s="65">
        <f t="shared" si="16"/>
        <v>43849</v>
      </c>
      <c r="C146" s="51">
        <f t="shared" si="12"/>
        <v>1684089.2000000097</v>
      </c>
      <c r="D146" s="61">
        <f t="shared" si="14"/>
        <v>-48300.839999999997</v>
      </c>
      <c r="E146" s="62"/>
      <c r="F146" s="23">
        <f t="shared" si="21" ref="F146:F179">SUM(C146:E146)</f>
        <v>1635788.3600000097</v>
      </c>
      <c r="G146" s="53">
        <f t="shared" si="19"/>
        <v>34</v>
      </c>
      <c r="H146" s="9">
        <f>ROUND(+$B$201,2)</f>
        <v>48300.839999999997</v>
      </c>
      <c r="J146" s="2"/>
      <c r="K146" s="2"/>
      <c r="L146" s="2"/>
      <c r="M146" s="2"/>
    </row>
    <row r="147" spans="1:9" s="67" customFormat="1" ht="15">
      <c r="A147" s="59">
        <f t="shared" si="20"/>
        <v>43902</v>
      </c>
      <c r="B147" s="65">
        <f t="shared" si="16"/>
        <v>43879</v>
      </c>
      <c r="C147" s="51">
        <f t="shared" si="12"/>
        <v>1635788.3600000097</v>
      </c>
      <c r="D147" s="61">
        <f t="shared" si="14"/>
        <v>-48300.839999999997</v>
      </c>
      <c r="E147" s="62"/>
      <c r="F147" s="23">
        <f t="shared" si="21"/>
        <v>1587487.5200000096</v>
      </c>
      <c r="G147" s="53">
        <f t="shared" si="19"/>
        <v>33</v>
      </c>
      <c r="H147" s="9">
        <f>ROUND(+$B$201,2)</f>
        <v>48300.839999999997</v>
      </c>
      <c r="I147" s="55"/>
    </row>
    <row r="148" spans="1:9" s="67" customFormat="1" ht="15">
      <c r="A148" s="59">
        <f t="shared" si="20"/>
        <v>43933</v>
      </c>
      <c r="B148" s="65">
        <f t="shared" si="16"/>
        <v>43909</v>
      </c>
      <c r="C148" s="51">
        <f t="shared" si="12"/>
        <v>1587487.5200000096</v>
      </c>
      <c r="D148" s="61">
        <f t="shared" si="14"/>
        <v>-48300.839999999997</v>
      </c>
      <c r="E148" s="62"/>
      <c r="F148" s="23">
        <f t="shared" si="21"/>
        <v>1539186.6800000095</v>
      </c>
      <c r="G148" s="53">
        <f t="shared" si="19"/>
        <v>32</v>
      </c>
      <c r="H148" s="9">
        <f>ROUND(+$B$201,2)</f>
        <v>48300.839999999997</v>
      </c>
      <c r="I148" s="55"/>
    </row>
    <row r="149" spans="1:9" s="67" customFormat="1" ht="15">
      <c r="A149" s="59">
        <f t="shared" si="20"/>
        <v>43964</v>
      </c>
      <c r="B149" s="65">
        <f t="shared" si="16"/>
        <v>43939</v>
      </c>
      <c r="C149" s="51">
        <f t="shared" si="12"/>
        <v>1539186.6800000095</v>
      </c>
      <c r="D149" s="61">
        <f t="shared" si="14"/>
        <v>-48300.839999999997</v>
      </c>
      <c r="E149" s="62"/>
      <c r="F149" s="23">
        <f t="shared" si="21"/>
        <v>1490885.8400000094</v>
      </c>
      <c r="G149" s="53">
        <f t="shared" si="19"/>
        <v>31</v>
      </c>
      <c r="H149" s="9">
        <f>ROUND(+$B$201,2)</f>
        <v>48300.839999999997</v>
      </c>
      <c r="I149" s="55"/>
    </row>
    <row r="150" spans="1:9" s="67" customFormat="1" ht="15">
      <c r="A150" s="59">
        <f t="shared" si="20"/>
        <v>43995</v>
      </c>
      <c r="B150" s="65">
        <f t="shared" si="16"/>
        <v>43969</v>
      </c>
      <c r="C150" s="51">
        <f t="shared" si="12"/>
        <v>1490885.8400000094</v>
      </c>
      <c r="D150" s="61">
        <f t="shared" si="14"/>
        <v>-48300.839999999997</v>
      </c>
      <c r="E150" s="62"/>
      <c r="F150" s="23">
        <f t="shared" si="21"/>
        <v>1442585.0000000093</v>
      </c>
      <c r="G150" s="53">
        <f t="shared" si="19"/>
        <v>30</v>
      </c>
      <c r="H150" s="9">
        <f>ROUND(+$B$201,2)</f>
        <v>48300.839999999997</v>
      </c>
      <c r="I150" s="55"/>
    </row>
    <row r="151" spans="1:9" s="67" customFormat="1" ht="15">
      <c r="A151" s="59">
        <f t="shared" si="20"/>
        <v>44026</v>
      </c>
      <c r="B151" s="65">
        <f t="shared" si="16"/>
        <v>43999</v>
      </c>
      <c r="C151" s="51">
        <f t="shared" si="12"/>
        <v>1442585.0000000093</v>
      </c>
      <c r="D151" s="61">
        <f t="shared" si="14"/>
        <v>-48300.839999999997</v>
      </c>
      <c r="E151" s="62"/>
      <c r="F151" s="23">
        <f t="shared" si="21"/>
        <v>1394284.1600000092</v>
      </c>
      <c r="G151" s="53">
        <f t="shared" si="19"/>
        <v>29</v>
      </c>
      <c r="H151" s="9">
        <f>ROUND(+$B$201,2)</f>
        <v>48300.839999999997</v>
      </c>
      <c r="I151" s="55"/>
    </row>
    <row r="152" spans="1:9" s="67" customFormat="1" ht="15">
      <c r="A152" s="59">
        <f t="shared" si="20"/>
        <v>44057</v>
      </c>
      <c r="B152" s="65">
        <f t="shared" si="16"/>
        <v>44029</v>
      </c>
      <c r="C152" s="51">
        <f t="shared" si="12"/>
        <v>1394284.1600000092</v>
      </c>
      <c r="D152" s="61">
        <f t="shared" si="14"/>
        <v>-48300.839999999997</v>
      </c>
      <c r="E152" s="62"/>
      <c r="F152" s="23">
        <f t="shared" si="21"/>
        <v>1345983.3200000092</v>
      </c>
      <c r="G152" s="53">
        <f t="shared" si="19"/>
        <v>28</v>
      </c>
      <c r="H152" s="9">
        <f>ROUND(+$B$201,2)</f>
        <v>48300.839999999997</v>
      </c>
      <c r="I152" s="55"/>
    </row>
    <row r="153" spans="1:9" s="67" customFormat="1" ht="15">
      <c r="A153" s="59">
        <f t="shared" si="20"/>
        <v>44088</v>
      </c>
      <c r="B153" s="65">
        <f t="shared" si="16"/>
        <v>44059</v>
      </c>
      <c r="C153" s="51">
        <f t="shared" si="22" ref="C153:C179">F152</f>
        <v>1345983.3200000092</v>
      </c>
      <c r="D153" s="61">
        <f t="shared" si="14"/>
        <v>-48300.839999999997</v>
      </c>
      <c r="E153" s="62"/>
      <c r="F153" s="23">
        <f t="shared" si="21"/>
        <v>1297682.4800000091</v>
      </c>
      <c r="G153" s="53">
        <f t="shared" si="19"/>
        <v>27</v>
      </c>
      <c r="H153" s="9">
        <f>ROUND(+$B$201,2)</f>
        <v>48300.839999999997</v>
      </c>
      <c r="I153" s="55"/>
    </row>
    <row r="154" spans="1:9" s="67" customFormat="1" ht="15">
      <c r="A154" s="59">
        <f t="shared" si="20"/>
        <v>44119</v>
      </c>
      <c r="B154" s="65">
        <f t="shared" si="16"/>
        <v>44089</v>
      </c>
      <c r="C154" s="51">
        <f t="shared" si="22"/>
        <v>1297682.4800000091</v>
      </c>
      <c r="D154" s="61">
        <f t="shared" si="14"/>
        <v>-48300.839999999997</v>
      </c>
      <c r="E154" s="62"/>
      <c r="F154" s="23">
        <f t="shared" si="21"/>
        <v>1249381.640000009</v>
      </c>
      <c r="G154" s="53">
        <f t="shared" si="19"/>
        <v>26</v>
      </c>
      <c r="H154" s="9">
        <f>ROUND(+$B$201,2)</f>
        <v>48300.839999999997</v>
      </c>
      <c r="I154" s="55"/>
    </row>
    <row r="155" spans="1:9" s="67" customFormat="1" ht="15">
      <c r="A155" s="59">
        <f t="shared" si="20"/>
        <v>44150</v>
      </c>
      <c r="B155" s="65">
        <f t="shared" si="16"/>
        <v>44119</v>
      </c>
      <c r="C155" s="51">
        <f t="shared" si="22"/>
        <v>1249381.640000009</v>
      </c>
      <c r="D155" s="61">
        <f t="shared" si="14"/>
        <v>-48300.839999999997</v>
      </c>
      <c r="E155" s="62"/>
      <c r="F155" s="23">
        <f t="shared" si="21"/>
        <v>1201080.8000000089</v>
      </c>
      <c r="G155" s="53">
        <f t="shared" si="19"/>
        <v>25</v>
      </c>
      <c r="H155" s="9">
        <f>ROUND(+$B$201,2)</f>
        <v>48300.839999999997</v>
      </c>
      <c r="I155" s="55"/>
    </row>
    <row r="156" spans="1:13" ht="15">
      <c r="A156" s="59">
        <f t="shared" si="20"/>
        <v>44181</v>
      </c>
      <c r="B156" s="65">
        <f t="shared" si="16"/>
        <v>44149</v>
      </c>
      <c r="C156" s="51">
        <f t="shared" si="22"/>
        <v>1201080.8000000089</v>
      </c>
      <c r="D156" s="61">
        <f t="shared" si="14"/>
        <v>-48300.839999999997</v>
      </c>
      <c r="E156" s="62"/>
      <c r="F156" s="23">
        <f t="shared" si="21"/>
        <v>1152779.9600000088</v>
      </c>
      <c r="G156" s="53">
        <f t="shared" si="19"/>
        <v>24</v>
      </c>
      <c r="H156" s="9">
        <f>ROUND(+$B$201,2)</f>
        <v>48300.839999999997</v>
      </c>
      <c r="J156" s="2"/>
      <c r="K156" s="2"/>
      <c r="L156" s="2"/>
      <c r="M156" s="14"/>
    </row>
    <row r="157" spans="1:13" s="67" customFormat="1" ht="15">
      <c r="A157" s="59">
        <f t="shared" si="20"/>
        <v>44212</v>
      </c>
      <c r="B157" s="65">
        <f t="shared" si="16"/>
        <v>44179</v>
      </c>
      <c r="C157" s="51">
        <f t="shared" si="22"/>
        <v>1152779.9600000088</v>
      </c>
      <c r="D157" s="61">
        <f t="shared" si="14"/>
        <v>-48300.839999999997</v>
      </c>
      <c r="E157" s="62"/>
      <c r="F157" s="76">
        <f t="shared" si="21"/>
        <v>1104479.1200000087</v>
      </c>
      <c r="G157" s="53">
        <f t="shared" si="19"/>
        <v>23</v>
      </c>
      <c r="H157" s="9">
        <f>ROUND(+$B$201,2)</f>
        <v>48300.839999999997</v>
      </c>
      <c r="I157" s="55"/>
      <c r="J157" s="55"/>
      <c r="K157" s="55"/>
      <c r="L157" s="55"/>
      <c r="M157" s="9"/>
    </row>
    <row r="158" spans="1:13" ht="15">
      <c r="A158" s="22">
        <f t="shared" si="20"/>
        <v>44243</v>
      </c>
      <c r="B158" s="7">
        <f t="shared" si="16"/>
        <v>44209</v>
      </c>
      <c r="C158" s="18">
        <f t="shared" si="22"/>
        <v>1104479.1200000087</v>
      </c>
      <c r="D158" s="11">
        <f t="shared" si="14"/>
        <v>-48300.839999999997</v>
      </c>
      <c r="F158" s="8">
        <f t="shared" si="21"/>
        <v>1056178.2800000086</v>
      </c>
      <c r="G158" s="30">
        <f t="shared" si="19"/>
        <v>22</v>
      </c>
      <c r="H158" s="9">
        <f>ROUND(+$B$201,2)</f>
        <v>48300.839999999997</v>
      </c>
      <c r="L158" s="70"/>
      <c r="M158" s="11"/>
    </row>
    <row r="159" spans="1:8" ht="15">
      <c r="A159" s="22">
        <f t="shared" si="20"/>
        <v>44274</v>
      </c>
      <c r="B159" s="7">
        <f t="shared" si="16"/>
        <v>44239</v>
      </c>
      <c r="C159" s="18">
        <f t="shared" si="22"/>
        <v>1056178.2800000086</v>
      </c>
      <c r="D159" s="11">
        <f t="shared" si="23" ref="D159:D179">H158*-1</f>
        <v>-48300.839999999997</v>
      </c>
      <c r="F159" s="8">
        <f t="shared" si="21"/>
        <v>1007877.4400000087</v>
      </c>
      <c r="G159" s="30">
        <f t="shared" si="19"/>
        <v>21</v>
      </c>
      <c r="H159" s="9">
        <f>ROUND(+$B$201,2)</f>
        <v>48300.839999999997</v>
      </c>
    </row>
    <row r="160" spans="1:14" ht="15">
      <c r="A160" s="22">
        <f t="shared" si="20"/>
        <v>44305</v>
      </c>
      <c r="B160" s="7">
        <f t="shared" si="16"/>
        <v>44269</v>
      </c>
      <c r="C160" s="18">
        <f t="shared" si="22"/>
        <v>1007877.4400000087</v>
      </c>
      <c r="D160" s="11">
        <f t="shared" si="23"/>
        <v>-48300.839999999997</v>
      </c>
      <c r="F160" s="8">
        <f t="shared" si="21"/>
        <v>959576.60000000871</v>
      </c>
      <c r="G160" s="30">
        <f t="shared" si="19"/>
        <v>20</v>
      </c>
      <c r="H160" s="9">
        <f>ROUND(+$B$201,2)</f>
        <v>48300.839999999997</v>
      </c>
      <c r="N160" s="3"/>
    </row>
    <row r="161" spans="1:8" ht="15">
      <c r="A161" s="22">
        <f t="shared" si="20"/>
        <v>44336</v>
      </c>
      <c r="B161" s="7">
        <f t="shared" si="16"/>
        <v>44299</v>
      </c>
      <c r="C161" s="18">
        <f t="shared" si="22"/>
        <v>959576.60000000871</v>
      </c>
      <c r="D161" s="11">
        <f t="shared" si="23"/>
        <v>-48300.839999999997</v>
      </c>
      <c r="F161" s="8">
        <f t="shared" si="21"/>
        <v>911275.76000000874</v>
      </c>
      <c r="G161" s="30">
        <f t="shared" si="19"/>
        <v>19</v>
      </c>
      <c r="H161" s="9">
        <f>ROUND(+$B$201,2)</f>
        <v>48300.839999999997</v>
      </c>
    </row>
    <row r="162" spans="1:8" ht="15">
      <c r="A162" s="22">
        <f t="shared" si="20"/>
        <v>44367</v>
      </c>
      <c r="B162" s="7">
        <f t="shared" si="16"/>
        <v>44329</v>
      </c>
      <c r="C162" s="18">
        <f t="shared" si="22"/>
        <v>911275.76000000874</v>
      </c>
      <c r="D162" s="11">
        <f t="shared" si="23"/>
        <v>-48300.839999999997</v>
      </c>
      <c r="F162" s="8">
        <f t="shared" si="21"/>
        <v>862974.92000000877</v>
      </c>
      <c r="G162" s="30">
        <f t="shared" si="19"/>
        <v>18</v>
      </c>
      <c r="H162" s="9">
        <f>ROUND(+$B$201,2)</f>
        <v>48300.839999999997</v>
      </c>
    </row>
    <row r="163" spans="1:8" ht="15">
      <c r="A163" s="22">
        <f t="shared" si="20"/>
        <v>44398</v>
      </c>
      <c r="B163" s="7">
        <f t="shared" si="16"/>
        <v>44359</v>
      </c>
      <c r="C163" s="18">
        <f t="shared" si="22"/>
        <v>862974.92000000877</v>
      </c>
      <c r="D163" s="11">
        <f t="shared" si="23"/>
        <v>-48300.839999999997</v>
      </c>
      <c r="F163" s="8">
        <f t="shared" si="21"/>
        <v>814674.08000000881</v>
      </c>
      <c r="G163" s="30">
        <f t="shared" si="19"/>
        <v>17</v>
      </c>
      <c r="H163" s="9">
        <f>ROUND(+$B$201,2)</f>
        <v>48300.839999999997</v>
      </c>
    </row>
    <row r="164" spans="1:8" ht="15">
      <c r="A164" s="22">
        <f t="shared" si="20"/>
        <v>44429</v>
      </c>
      <c r="B164" s="7">
        <f t="shared" si="16"/>
        <v>44389</v>
      </c>
      <c r="C164" s="18">
        <f t="shared" si="22"/>
        <v>814674.08000000881</v>
      </c>
      <c r="D164" s="11">
        <f t="shared" si="23"/>
        <v>-48300.839999999997</v>
      </c>
      <c r="F164" s="8">
        <f t="shared" si="21"/>
        <v>766373.24000000884</v>
      </c>
      <c r="G164" s="30">
        <f t="shared" si="19"/>
        <v>16</v>
      </c>
      <c r="H164" s="9">
        <f>ROUND(+$B$201,2)</f>
        <v>48300.839999999997</v>
      </c>
    </row>
    <row r="165" spans="1:8" ht="15">
      <c r="A165" s="22">
        <f t="shared" si="20"/>
        <v>44460</v>
      </c>
      <c r="B165" s="7">
        <f t="shared" si="16"/>
        <v>44419</v>
      </c>
      <c r="C165" s="18">
        <f t="shared" si="22"/>
        <v>766373.24000000884</v>
      </c>
      <c r="D165" s="11">
        <f t="shared" si="23"/>
        <v>-48300.839999999997</v>
      </c>
      <c r="F165" s="8">
        <f t="shared" si="21"/>
        <v>718072.40000000887</v>
      </c>
      <c r="G165" s="30">
        <f t="shared" si="19"/>
        <v>15</v>
      </c>
      <c r="H165" s="9">
        <f>ROUND(+$B$201,2)</f>
        <v>48300.839999999997</v>
      </c>
    </row>
    <row r="166" spans="1:8" ht="15">
      <c r="A166" s="22">
        <f t="shared" si="20"/>
        <v>44491</v>
      </c>
      <c r="B166" s="7">
        <f t="shared" si="16"/>
        <v>44449</v>
      </c>
      <c r="C166" s="18">
        <f t="shared" si="22"/>
        <v>718072.40000000887</v>
      </c>
      <c r="D166" s="11">
        <f t="shared" si="23"/>
        <v>-48300.839999999997</v>
      </c>
      <c r="F166" s="8">
        <f t="shared" si="21"/>
        <v>669771.5600000089</v>
      </c>
      <c r="G166" s="30">
        <f t="shared" si="19"/>
        <v>14</v>
      </c>
      <c r="H166" s="9">
        <f>ROUND(+$B$201,2)</f>
        <v>48300.839999999997</v>
      </c>
    </row>
    <row r="167" spans="1:8" ht="15">
      <c r="A167" s="22">
        <f t="shared" si="20"/>
        <v>44522</v>
      </c>
      <c r="B167" s="7">
        <f t="shared" si="16"/>
        <v>44479</v>
      </c>
      <c r="C167" s="18">
        <f t="shared" si="22"/>
        <v>669771.5600000089</v>
      </c>
      <c r="D167" s="11">
        <f t="shared" si="23"/>
        <v>-48300.839999999997</v>
      </c>
      <c r="F167" s="8">
        <f t="shared" si="21"/>
        <v>621470.72000000894</v>
      </c>
      <c r="G167" s="30">
        <f t="shared" si="19"/>
        <v>13</v>
      </c>
      <c r="H167" s="9">
        <f>ROUND(+$B$201,2)</f>
        <v>48300.839999999997</v>
      </c>
    </row>
    <row r="168" spans="1:8" ht="15">
      <c r="A168" s="22">
        <f t="shared" si="20"/>
        <v>44553</v>
      </c>
      <c r="B168" s="7">
        <f t="shared" si="16"/>
        <v>44509</v>
      </c>
      <c r="C168" s="18">
        <f t="shared" si="22"/>
        <v>621470.72000000894</v>
      </c>
      <c r="D168" s="11">
        <f t="shared" si="23"/>
        <v>-48300.839999999997</v>
      </c>
      <c r="F168" s="8">
        <f t="shared" si="21"/>
        <v>573169.88000000897</v>
      </c>
      <c r="G168" s="30">
        <f t="shared" si="19"/>
        <v>12</v>
      </c>
      <c r="H168" s="9">
        <f>ROUND(+$B$201,2)</f>
        <v>48300.839999999997</v>
      </c>
    </row>
    <row r="169" spans="1:8" ht="15">
      <c r="A169" s="22">
        <f t="shared" si="20"/>
        <v>44584</v>
      </c>
      <c r="B169" s="74">
        <f t="shared" si="16"/>
        <v>44539</v>
      </c>
      <c r="C169" s="18">
        <f t="shared" si="22"/>
        <v>573169.88000000897</v>
      </c>
      <c r="D169" s="11">
        <f t="shared" si="23"/>
        <v>-48300.839999999997</v>
      </c>
      <c r="F169" s="73">
        <f t="shared" si="21"/>
        <v>524869.040000009</v>
      </c>
      <c r="G169" s="30">
        <f t="shared" si="19"/>
        <v>11</v>
      </c>
      <c r="H169" s="9">
        <f>ROUND(+$B$201,2)</f>
        <v>48300.839999999997</v>
      </c>
    </row>
    <row r="170" spans="1:8" ht="15">
      <c r="A170" s="22">
        <f t="shared" si="20"/>
        <v>44615</v>
      </c>
      <c r="B170" s="7">
        <f t="shared" si="16"/>
        <v>44569</v>
      </c>
      <c r="C170" s="18">
        <f t="shared" si="22"/>
        <v>524869.040000009</v>
      </c>
      <c r="D170" s="11">
        <f t="shared" si="23"/>
        <v>-48300.839999999997</v>
      </c>
      <c r="F170" s="8">
        <f t="shared" si="21"/>
        <v>476568.20000000903</v>
      </c>
      <c r="G170" s="30">
        <f t="shared" si="19"/>
        <v>10</v>
      </c>
      <c r="H170" s="9">
        <f>ROUND(+$B$201,2)</f>
        <v>48300.839999999997</v>
      </c>
    </row>
    <row r="171" spans="1:8" ht="15">
      <c r="A171" s="22">
        <f t="shared" si="20"/>
        <v>44646</v>
      </c>
      <c r="B171" s="7">
        <f t="shared" si="16"/>
        <v>44599</v>
      </c>
      <c r="C171" s="18">
        <f t="shared" si="22"/>
        <v>476568.20000000903</v>
      </c>
      <c r="D171" s="11">
        <f t="shared" si="23"/>
        <v>-48300.839999999997</v>
      </c>
      <c r="F171" s="8">
        <f t="shared" si="21"/>
        <v>428267.36000000907</v>
      </c>
      <c r="G171" s="30">
        <f t="shared" si="19"/>
        <v>9</v>
      </c>
      <c r="H171" s="9">
        <f>ROUND(+$B$201,2)</f>
        <v>48300.839999999997</v>
      </c>
    </row>
    <row r="172" spans="1:8" ht="15">
      <c r="A172" s="22">
        <f t="shared" si="20"/>
        <v>44677</v>
      </c>
      <c r="B172" s="7">
        <f t="shared" si="16"/>
        <v>44629</v>
      </c>
      <c r="C172" s="18">
        <f t="shared" si="22"/>
        <v>428267.36000000907</v>
      </c>
      <c r="D172" s="11">
        <f t="shared" si="23"/>
        <v>-48300.839999999997</v>
      </c>
      <c r="F172" s="8">
        <f t="shared" si="21"/>
        <v>379966.5200000091</v>
      </c>
      <c r="G172" s="30">
        <f t="shared" si="19"/>
        <v>8</v>
      </c>
      <c r="H172" s="9">
        <f>ROUND(+$B$201,2)</f>
        <v>48300.839999999997</v>
      </c>
    </row>
    <row r="173" spans="1:8" ht="15">
      <c r="A173" s="22">
        <f t="shared" si="20"/>
        <v>44708</v>
      </c>
      <c r="B173" s="7">
        <f t="shared" si="16"/>
        <v>44659</v>
      </c>
      <c r="C173" s="18">
        <f t="shared" si="22"/>
        <v>379966.5200000091</v>
      </c>
      <c r="D173" s="11">
        <f t="shared" si="23"/>
        <v>-48300.839999999997</v>
      </c>
      <c r="F173" s="8">
        <f t="shared" si="21"/>
        <v>331665.68000000913</v>
      </c>
      <c r="G173" s="30">
        <f t="shared" si="19"/>
        <v>7</v>
      </c>
      <c r="H173" s="9">
        <f>ROUND(+$B$201,2)</f>
        <v>48300.839999999997</v>
      </c>
    </row>
    <row r="174" spans="1:8" ht="15">
      <c r="A174" s="22">
        <f t="shared" si="20"/>
        <v>44739</v>
      </c>
      <c r="B174" s="7">
        <f t="shared" si="16"/>
        <v>44689</v>
      </c>
      <c r="C174" s="18">
        <f t="shared" si="22"/>
        <v>331665.68000000913</v>
      </c>
      <c r="D174" s="11">
        <f t="shared" si="23"/>
        <v>-48300.839999999997</v>
      </c>
      <c r="F174" s="8">
        <f t="shared" si="21"/>
        <v>283364.84000000916</v>
      </c>
      <c r="G174" s="30">
        <f t="shared" si="19"/>
        <v>6</v>
      </c>
      <c r="H174" s="9">
        <f>ROUND(+$B$201,2)</f>
        <v>48300.839999999997</v>
      </c>
    </row>
    <row r="175" spans="1:8" ht="15">
      <c r="A175" s="22">
        <f t="shared" si="20"/>
        <v>44770</v>
      </c>
      <c r="B175" s="7">
        <f t="shared" si="16"/>
        <v>44719</v>
      </c>
      <c r="C175" s="18">
        <f t="shared" si="22"/>
        <v>283364.84000000916</v>
      </c>
      <c r="D175" s="11">
        <f t="shared" si="23"/>
        <v>-48300.839999999997</v>
      </c>
      <c r="F175" s="8">
        <f t="shared" si="21"/>
        <v>235064.00000000917</v>
      </c>
      <c r="G175" s="30">
        <f t="shared" si="19"/>
        <v>5</v>
      </c>
      <c r="H175" s="9">
        <f>ROUND(+$B$201,2)</f>
        <v>48300.839999999997</v>
      </c>
    </row>
    <row r="176" spans="1:8" ht="15">
      <c r="A176" s="22">
        <f t="shared" si="20"/>
        <v>44801</v>
      </c>
      <c r="B176" s="7">
        <f t="shared" si="16"/>
        <v>44749</v>
      </c>
      <c r="C176" s="18">
        <f t="shared" si="22"/>
        <v>235064.00000000917</v>
      </c>
      <c r="D176" s="11">
        <f t="shared" si="23"/>
        <v>-48300.839999999997</v>
      </c>
      <c r="F176" s="8">
        <f t="shared" si="21"/>
        <v>186763.16000000917</v>
      </c>
      <c r="G176" s="30">
        <f t="shared" si="19"/>
        <v>4</v>
      </c>
      <c r="H176" s="9">
        <f>ROUND(+$B$201,2)</f>
        <v>48300.839999999997</v>
      </c>
    </row>
    <row r="177" spans="1:8" ht="15">
      <c r="A177" s="22">
        <f t="shared" si="20"/>
        <v>44832</v>
      </c>
      <c r="B177" s="7">
        <f t="shared" si="24" ref="B177:B179">B176+30</f>
        <v>44779</v>
      </c>
      <c r="C177" s="18">
        <f t="shared" si="22"/>
        <v>186763.16000000917</v>
      </c>
      <c r="D177" s="11">
        <f t="shared" si="23"/>
        <v>-48300.839999999997</v>
      </c>
      <c r="F177" s="8">
        <f t="shared" si="21"/>
        <v>138462.32000000918</v>
      </c>
      <c r="G177" s="30">
        <f t="shared" si="19"/>
        <v>3</v>
      </c>
      <c r="H177" s="9">
        <f>ROUND(+$B$201,2)</f>
        <v>48300.839999999997</v>
      </c>
    </row>
    <row r="178" spans="1:8" ht="15">
      <c r="A178" s="22">
        <f t="shared" si="20"/>
        <v>44863</v>
      </c>
      <c r="B178" s="7">
        <f t="shared" si="24"/>
        <v>44809</v>
      </c>
      <c r="C178" s="18">
        <f t="shared" si="22"/>
        <v>138462.32000000918</v>
      </c>
      <c r="D178" s="11">
        <f t="shared" si="23"/>
        <v>-48300.839999999997</v>
      </c>
      <c r="F178" s="8">
        <f t="shared" si="21"/>
        <v>90161.480000009178</v>
      </c>
      <c r="G178" s="30">
        <f t="shared" si="19"/>
        <v>2</v>
      </c>
      <c r="H178" s="9">
        <f>ROUND(+$B$201,2)</f>
        <v>48300.839999999997</v>
      </c>
    </row>
    <row r="179" spans="1:9" ht="15">
      <c r="A179" s="22">
        <f t="shared" si="20"/>
        <v>44894</v>
      </c>
      <c r="B179" s="7">
        <f t="shared" si="24"/>
        <v>44839</v>
      </c>
      <c r="C179" s="18">
        <f t="shared" si="22"/>
        <v>90161.480000009178</v>
      </c>
      <c r="D179" s="11">
        <f t="shared" si="23"/>
        <v>-48300.839999999997</v>
      </c>
      <c r="F179" s="8">
        <f t="shared" si="21"/>
        <v>41860.640000009182</v>
      </c>
      <c r="G179" s="30">
        <f t="shared" si="19"/>
        <v>1</v>
      </c>
      <c r="H179" s="9">
        <f>+F179</f>
        <v>41860.640000009182</v>
      </c>
      <c r="I179" s="64" t="s">
        <v>30</v>
      </c>
    </row>
    <row r="180" spans="1:8" ht="15">
      <c r="A180" s="22"/>
      <c r="B180" s="7"/>
      <c r="C180" s="18"/>
      <c r="D180" s="11"/>
      <c r="F180" s="8"/>
      <c r="G180" s="30"/>
      <c r="H180" s="9"/>
    </row>
    <row r="181" spans="1:8" ht="15">
      <c r="A181" s="22"/>
      <c r="B181" s="7"/>
      <c r="C181" s="18"/>
      <c r="D181" s="11"/>
      <c r="F181" s="8"/>
      <c r="G181" s="30"/>
      <c r="H181" s="9"/>
    </row>
    <row r="182" spans="1:8" ht="15">
      <c r="A182" s="55" t="s">
        <v>29</v>
      </c>
      <c r="B182" s="7"/>
      <c r="C182" s="18"/>
      <c r="D182" s="11"/>
      <c r="F182" s="8"/>
      <c r="G182" s="30"/>
      <c r="H182" s="9"/>
    </row>
    <row r="183" spans="1:8" ht="15">
      <c r="A183" s="55" t="s">
        <v>17</v>
      </c>
      <c r="B183" s="7"/>
      <c r="C183" s="18"/>
      <c r="D183" s="11"/>
      <c r="F183" s="8"/>
      <c r="G183" s="30"/>
      <c r="H183" s="9"/>
    </row>
    <row r="184" spans="1:8" ht="15">
      <c r="A184" s="22"/>
      <c r="B184" s="7"/>
      <c r="C184" s="18"/>
      <c r="D184" s="11"/>
      <c r="F184" s="8"/>
      <c r="G184" s="30"/>
      <c r="H184" s="9"/>
    </row>
    <row r="185" spans="1:8" ht="15">
      <c r="A185" s="71" t="s">
        <v>28</v>
      </c>
      <c r="B185" s="7"/>
      <c r="C185" s="18"/>
      <c r="D185" s="11"/>
      <c r="F185" s="8"/>
      <c r="G185" s="30"/>
      <c r="H185" s="9"/>
    </row>
    <row r="186" spans="1:8" ht="15">
      <c r="A186" s="3" t="s">
        <v>18</v>
      </c>
      <c r="B186" s="7"/>
      <c r="C186" s="18"/>
      <c r="D186" s="11"/>
      <c r="F186" s="8"/>
      <c r="G186" s="30"/>
      <c r="H186" s="9"/>
    </row>
    <row r="187" spans="1:8" ht="15">
      <c r="A187" s="3" t="s">
        <v>19</v>
      </c>
      <c r="B187" s="7"/>
      <c r="C187" s="18"/>
      <c r="D187" s="11"/>
      <c r="F187" s="8"/>
      <c r="G187" s="30"/>
      <c r="H187" s="9"/>
    </row>
    <row r="188" spans="1:8" ht="15">
      <c r="A188" s="64" t="s">
        <v>20</v>
      </c>
      <c r="B188" s="7"/>
      <c r="C188" s="18"/>
      <c r="D188" s="11"/>
      <c r="F188" s="8"/>
      <c r="G188" s="30"/>
      <c r="H188" s="9"/>
    </row>
    <row r="189" spans="1:8" ht="15">
      <c r="A189" s="64" t="s">
        <v>21</v>
      </c>
      <c r="B189" s="7"/>
      <c r="C189" s="18"/>
      <c r="D189" s="11"/>
      <c r="F189" s="8"/>
      <c r="G189" s="30"/>
      <c r="H189" s="9"/>
    </row>
    <row r="190" spans="1:8" ht="15">
      <c r="A190" s="64" t="s">
        <v>22</v>
      </c>
      <c r="B190" s="7"/>
      <c r="C190" s="18"/>
      <c r="D190" s="11"/>
      <c r="F190" s="8"/>
      <c r="G190" s="30"/>
      <c r="H190" s="9"/>
    </row>
    <row r="191" spans="1:8" ht="15">
      <c r="A191" s="64" t="s">
        <v>23</v>
      </c>
      <c r="B191" s="7"/>
      <c r="C191" s="18"/>
      <c r="D191" s="11"/>
      <c r="F191" s="8"/>
      <c r="G191" s="30"/>
      <c r="H191" s="9"/>
    </row>
    <row r="192" spans="1:8" ht="15">
      <c r="A192" s="3" t="s">
        <v>24</v>
      </c>
      <c r="B192" s="7"/>
      <c r="C192" s="18"/>
      <c r="D192" s="11"/>
      <c r="F192" s="8"/>
      <c r="G192" s="30"/>
      <c r="H192" s="9"/>
    </row>
    <row r="193" spans="1:8" ht="15">
      <c r="A193" s="3" t="s">
        <v>25</v>
      </c>
      <c r="B193" s="7"/>
      <c r="C193" s="18"/>
      <c r="D193" s="11"/>
      <c r="F193" s="8"/>
      <c r="G193" s="30"/>
      <c r="H193" s="9"/>
    </row>
    <row r="194" spans="1:8" ht="15">
      <c r="A194" s="3" t="s">
        <v>26</v>
      </c>
      <c r="B194" s="7"/>
      <c r="C194" s="18"/>
      <c r="D194" s="11"/>
      <c r="F194" s="8"/>
      <c r="G194" s="30"/>
      <c r="H194" s="9"/>
    </row>
    <row r="195" spans="1:8" ht="15">
      <c r="A195" s="3" t="s">
        <v>27</v>
      </c>
      <c r="B195" s="7"/>
      <c r="C195" s="18"/>
      <c r="D195" s="11"/>
      <c r="F195" s="8"/>
      <c r="G195" s="30"/>
      <c r="H195" s="9"/>
    </row>
    <row r="196" spans="1:8" ht="15">
      <c r="A196" s="22"/>
      <c r="B196" s="7"/>
      <c r="C196" s="18"/>
      <c r="D196" s="11"/>
      <c r="F196" s="8"/>
      <c r="G196" s="30"/>
      <c r="H196" s="9"/>
    </row>
    <row r="197" spans="1:8" ht="15">
      <c r="A197" s="68" t="s">
        <v>8</v>
      </c>
      <c r="B197" s="3"/>
      <c r="C197" s="3"/>
      <c r="D197" s="3"/>
      <c r="F197" s="8"/>
      <c r="G197" s="30"/>
      <c r="H197" s="9"/>
    </row>
    <row r="198" spans="1:8" ht="15">
      <c r="A198" s="68" t="s">
        <v>9</v>
      </c>
      <c r="B198" s="3"/>
      <c r="C198" s="3"/>
      <c r="D198" s="3"/>
      <c r="F198" s="8"/>
      <c r="G198" s="30"/>
      <c r="H198" s="9"/>
    </row>
    <row r="199" spans="1:8" ht="15">
      <c r="A199" s="3"/>
      <c r="B199" s="8">
        <f>+F119</f>
        <v>2898050.3120000083</v>
      </c>
      <c r="C199" s="64" t="s">
        <v>11</v>
      </c>
      <c r="D199" s="3"/>
      <c r="F199" s="8"/>
      <c r="G199" s="30"/>
      <c r="H199" s="9"/>
    </row>
    <row r="200" spans="1:8" ht="15">
      <c r="A200" s="3"/>
      <c r="B200" s="66">
        <v>60</v>
      </c>
      <c r="C200" s="3" t="s">
        <v>13</v>
      </c>
      <c r="D200" s="3"/>
      <c r="F200" s="8"/>
      <c r="G200" s="30"/>
      <c r="H200" s="9"/>
    </row>
    <row r="201" spans="1:8" ht="15">
      <c r="A201" s="3"/>
      <c r="B201" s="8">
        <f>ROUND(+B199/B200,2)</f>
        <v>48300.839999999997</v>
      </c>
      <c r="C201" s="64" t="s">
        <v>12</v>
      </c>
      <c r="D201" s="3"/>
      <c r="F201" s="8"/>
      <c r="G201" s="30"/>
      <c r="H201" s="9"/>
    </row>
    <row r="202" spans="1:8" ht="15">
      <c r="A202" s="22"/>
      <c r="B202" s="7"/>
      <c r="C202" s="18"/>
      <c r="D202" s="11"/>
      <c r="F202" s="8"/>
      <c r="G202" s="30"/>
      <c r="H202" s="9"/>
    </row>
    <row r="203" spans="1:8" ht="12.75">
      <c r="A203" s="3"/>
      <c r="B203" s="2"/>
      <c r="C203" s="2"/>
      <c r="D203" s="2"/>
      <c r="E203" s="14">
        <f>-SUM(D158:D169)</f>
        <v>579610.07999999984</v>
      </c>
      <c r="F203" s="2" t="s">
        <v>15</v>
      </c>
      <c r="G203" s="30"/>
      <c r="H203" s="9"/>
    </row>
    <row r="204" spans="1:8" ht="12.75">
      <c r="A204" s="55" t="s">
        <v>33</v>
      </c>
      <c r="B204" s="55"/>
      <c r="C204" s="55"/>
      <c r="D204" s="55"/>
      <c r="E204" s="72">
        <f>F169/5</f>
        <v>104973.80800000179</v>
      </c>
      <c r="F204" s="67" t="s">
        <v>14</v>
      </c>
      <c r="G204" s="30"/>
      <c r="H204" s="9"/>
    </row>
    <row r="205" spans="1:8" ht="12.75">
      <c r="A205" s="55"/>
      <c r="B205" s="55"/>
      <c r="C205" s="55"/>
      <c r="D205" s="75" t="s">
        <v>31</v>
      </c>
      <c r="E205" s="61">
        <f>E204-E203</f>
        <v>-474636.27199999802</v>
      </c>
      <c r="F205" s="67" t="s">
        <v>16</v>
      </c>
      <c r="G205" s="30"/>
      <c r="H205" s="9"/>
    </row>
    <row r="206" spans="1:6" ht="12.75">
      <c r="A206" s="3"/>
      <c r="B206" s="3"/>
      <c r="C206" s="3"/>
      <c r="D206" s="3"/>
      <c r="E206" s="3"/>
      <c r="F206" s="2"/>
    </row>
    <row r="207" spans="1:5" ht="12.75">
      <c r="A207" s="3" t="s">
        <v>32</v>
      </c>
      <c r="B207" s="3"/>
      <c r="C207" s="3"/>
      <c r="D207" s="3"/>
      <c r="E207" s="3"/>
    </row>
  </sheetData>
  <dataValidations count="1">
    <dataValidation errorStyle="information" type="list" allowBlank="1" showInputMessage="1" showErrorMessage="1" prompt="This field only accepts 'NEXT' or the current journal ID - OK to accept this value" error="This field only accepts 'NEXT' or the current journal ID - OK to accept this value" sqref="G6">
      <formula1>"NEXT"</formula1>
    </dataValidation>
  </dataValidations>
  <pageMargins left="1.5" right="0.5" top="1.85" bottom="0.5" header="1" footer="0.3"/>
  <pageSetup fitToHeight="0" orientation="portrait" scale="51" r:id="rId1"/>
  <headerFooter>
    <oddHeader>&amp;C&amp;"-,Bold"
2022 Rate Case
Oncor Electric Delivery Company LLC
Reg. Asset Account 1824100 Adv. Metering Cust. Education
Test Year Ending Dec. 31, 2021
Sponsor: W. Alan Ledbetter&amp;R&amp;"-,Bold"WP/II-E-4.1.1 AMS Cust. Education Reg. Asset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AMS Cust Ed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