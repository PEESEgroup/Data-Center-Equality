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ection II (Test Year Data)\Schedule E (Other Items)\Schedule II-E Workpapers\"/>
    </mc:Choice>
  </mc:AlternateContent>
  <bookViews>
    <workbookView xWindow="0" yWindow="0" windowWidth="23040" windowHeight="8895" activeTab="0"/>
  </bookViews>
  <sheets>
    <sheet name="WP II-E-3.3" sheetId="1" r:id="rId2"/>
  </sheets>
  <externalReferences>
    <externalReference r:id="rId5"/>
  </externalReferences>
  <definedNames>
    <definedName name="_xlnm.Print_Area" localSheetId="0">'WP II-E-3.3'!$A$10:$W$210</definedName>
    <definedName name="_xlnm.Print_Titles" localSheetId="0">'WP II-E-3.3'!$A:$E,'WP II-E-3.3'!$10:$11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13" i="1" l="1"/>
</calcChain>
</file>

<file path=xl/sharedStrings.xml><?xml version="1.0" encoding="utf-8"?>
<sst xmlns="http://schemas.openxmlformats.org/spreadsheetml/2006/main" count="761" uniqueCount="120">
  <si>
    <t>2022 RATE CASE</t>
  </si>
  <si>
    <t>ONCOR ELECTRIC DELIVERY COMPANY LLC</t>
  </si>
  <si>
    <t>PLANT ADJUSTMENTS</t>
  </si>
  <si>
    <t>TEST YEAR ENDING DECEMBER 31, 2021</t>
  </si>
  <si>
    <t>SPONSOR: B. L. CLUTTER</t>
  </si>
  <si>
    <t>Line No.</t>
  </si>
  <si>
    <t>Tax Class</t>
  </si>
  <si>
    <t>Rate</t>
  </si>
  <si>
    <t>Convention</t>
  </si>
  <si>
    <t>2017 Oncor Tax Additions</t>
  </si>
  <si>
    <t>2018 Oncor Tax Additions</t>
  </si>
  <si>
    <t>2019 Oncor Tax Additions</t>
  </si>
  <si>
    <t>2019 Acquired NTU</t>
  </si>
  <si>
    <t>2019 NTU Tax Additions</t>
  </si>
  <si>
    <t>2020 Oncor Tax Additions</t>
  </si>
  <si>
    <t>2020 NTU Tax Additions</t>
  </si>
  <si>
    <t>2021 Oncor Tax Additions</t>
  </si>
  <si>
    <t>2021 NTU Tax Additions</t>
  </si>
  <si>
    <t>Total Tax Depr Basis</t>
  </si>
  <si>
    <t>2021 Oncor Depr on V2017-V2021</t>
  </si>
  <si>
    <t>2021 NTU Depr on all Vintages</t>
  </si>
  <si>
    <t>2022 Oncor Forecast Depr on V2017-V2021</t>
  </si>
  <si>
    <t>2022 NTU Forecast Depr on all Vintages</t>
  </si>
  <si>
    <t>2023 Oncor Forecast Depr on V2017-V2021</t>
  </si>
  <si>
    <t>2023 NTU Forecast Depr on all Vintages</t>
  </si>
  <si>
    <t>Oncor V2017-V2021 ADFIT at 12/31/2021</t>
  </si>
  <si>
    <t>NTU ADFIT at 12/31/2021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</si>
  <si>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</si>
  <si>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</si>
  <si>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</si>
  <si>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</si>
  <si>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</si>
  <si>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</si>
  <si>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</si>
  <si>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</si>
  <si>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</si>
  <si>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</si>
  <si>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</si>
  <si>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</si>
  <si>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</si>
  <si>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(n)</t>
  </si>
  <si>
    <t>(o)</t>
  </si>
  <si>
    <t>(p)</t>
  </si>
  <si>
    <t>(q)</t>
  </si>
  <si>
    <t>(r)</t>
  </si>
  <si>
    <t>(s)</t>
  </si>
  <si>
    <t>(t)</t>
  </si>
  <si>
    <t>(u)</t>
  </si>
  <si>
    <t>TOTAL</t>
  </si>
  <si>
    <t>00.11</t>
  </si>
  <si>
    <t>00.11: Furn, Fixt, Equip</t>
  </si>
  <si>
    <t>MACRS 7</t>
  </si>
  <si>
    <t>HY</t>
  </si>
  <si>
    <t>00.12</t>
  </si>
  <si>
    <t>00.12: Info Systems</t>
  </si>
  <si>
    <t>MACRS 5</t>
  </si>
  <si>
    <t>00.21</t>
  </si>
  <si>
    <t>00.21: Airplanes</t>
  </si>
  <si>
    <t>00.22</t>
  </si>
  <si>
    <t>00.22: Automobiles</t>
  </si>
  <si>
    <t>00.241</t>
  </si>
  <si>
    <t>00.241: Light Trucks</t>
  </si>
  <si>
    <t>00.242</t>
  </si>
  <si>
    <t>00.242: Heavy Trucks</t>
  </si>
  <si>
    <t>00.27</t>
  </si>
  <si>
    <t>00.27: Trailers</t>
  </si>
  <si>
    <t>00.28</t>
  </si>
  <si>
    <t>00.28: Boats</t>
  </si>
  <si>
    <t>MACRS 10</t>
  </si>
  <si>
    <t>00.3</t>
  </si>
  <si>
    <t>00.3: Land Improv</t>
  </si>
  <si>
    <t>MACRS 15</t>
  </si>
  <si>
    <t>40.4</t>
  </si>
  <si>
    <t>40.4: Railroad Track</t>
  </si>
  <si>
    <t>49.14</t>
  </si>
  <si>
    <t>49.14: Trans &amp; Dist Plnt</t>
  </si>
  <si>
    <t>MACRS 20</t>
  </si>
  <si>
    <t>49.14A</t>
  </si>
  <si>
    <t>49.14A: Trans 4/05-1/11</t>
  </si>
  <si>
    <t>49.14B</t>
  </si>
  <si>
    <t>49.14B: Meters</t>
  </si>
  <si>
    <t>49.14C</t>
  </si>
  <si>
    <t>49.14C: Smart Meters</t>
  </si>
  <si>
    <t>49.14D</t>
  </si>
  <si>
    <t>49.14D Street Lighting</t>
  </si>
  <si>
    <t>57.0</t>
  </si>
  <si>
    <t>57.0: Distr Trades Serv</t>
  </si>
  <si>
    <t>AM15</t>
  </si>
  <si>
    <t>AM15: 197 Amortization</t>
  </si>
  <si>
    <t>SL 15</t>
  </si>
  <si>
    <t>MM</t>
  </si>
  <si>
    <t>LH</t>
  </si>
  <si>
    <t>LH: LH Improv</t>
  </si>
  <si>
    <t>MACRS 39</t>
  </si>
  <si>
    <t>LR46</t>
  </si>
  <si>
    <t>LR46: Easements 46 Yr</t>
  </si>
  <si>
    <t>SL 46</t>
  </si>
  <si>
    <t>LR84</t>
  </si>
  <si>
    <t>LR84: Easements 84 Yr</t>
  </si>
  <si>
    <t>SL 84</t>
  </si>
  <si>
    <t>ND</t>
  </si>
  <si>
    <t>ND: Non Depr</t>
  </si>
  <si>
    <t>None</t>
  </si>
  <si>
    <t>RP</t>
  </si>
  <si>
    <t>RP: RP 81-86 &amp; Post92</t>
  </si>
  <si>
    <t>TRAN</t>
  </si>
  <si>
    <t>TRAN TOTAL</t>
  </si>
  <si>
    <t>NTU TRAN</t>
  </si>
  <si>
    <t>NTU TRAN TOTAL</t>
  </si>
  <si>
    <t>DC Tie</t>
  </si>
  <si>
    <t>DC TIE TOTAL</t>
  </si>
  <si>
    <t>DIST</t>
  </si>
  <si>
    <t>DIST TOTAL</t>
  </si>
  <si>
    <t>NTU DIST</t>
  </si>
  <si>
    <t>NTU DIST TOTAL</t>
  </si>
  <si>
    <t>MET</t>
  </si>
  <si>
    <t>MET TOTAL</t>
  </si>
  <si>
    <t>TDCS</t>
  </si>
  <si>
    <t>TDCS TOTAL</t>
  </si>
  <si>
    <t>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</si>
</sst>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 val="single"/>
      <sz val="10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>
      <alignment/>
      <protection/>
    </xf>
  </cellStyleXfs>
  <cellXfs count="29">
    <xf numFmtId="0" fontId="0" fillId="0" borderId="0" xfId="0"/>
    <xf numFmtId="0" fontId="1" fillId="0" borderId="0" xfId="0" applyFont="1"/>
    <xf numFmtId="0" fontId="3" fillId="0" borderId="1" xfId="0" applyFont="1" applyBorder="1"/>
    <xf numFmtId="0" fontId="5" fillId="0" borderId="1" xfId="20" applyFont="1" applyFill="1" applyBorder="1" applyAlignment="1">
      <alignment horizontal="center"/>
      <protection/>
    </xf>
    <xf numFmtId="0" fontId="5" fillId="0" borderId="1" xfId="20" applyFont="1" applyFill="1" applyBorder="1" applyAlignment="1">
      <alignment horizontal="center" wrapText="1"/>
      <protection/>
    </xf>
    <xf numFmtId="0" fontId="1" fillId="0" borderId="0" xfId="0" applyFont="1" applyBorder="1"/>
    <xf numFmtId="0" fontId="4" fillId="0" borderId="0" xfId="20" applyFont="1" applyFill="1" applyBorder="1" applyAlignment="1">
      <alignment horizontal="center"/>
      <protection/>
    </xf>
    <xf numFmtId="0" fontId="4" fillId="0" borderId="0" xfId="20" applyFont="1" applyFill="1" applyBorder="1" applyAlignment="1">
      <alignment horizontal="center" wrapText="1"/>
      <protection/>
    </xf>
    <xf numFmtId="0" fontId="1" fillId="0" borderId="0" xfId="0" applyFont="1" applyAlignment="1">
      <alignment horizontal="center"/>
    </xf>
    <xf numFmtId="0" fontId="5" fillId="0" borderId="0" xfId="20" applyFont="1" applyFill="1" applyBorder="1" applyAlignment="1">
      <alignment horizontal="center"/>
      <protection/>
    </xf>
    <xf numFmtId="0" fontId="5" fillId="0" borderId="0" xfId="20" applyFont="1" applyFill="1" applyBorder="1" applyAlignment="1">
      <alignment horizontal="center" wrapText="1"/>
      <protection/>
    </xf>
    <xf numFmtId="0" fontId="1" fillId="0" borderId="0" xfId="0" applyFont="1" quotePrefix="1"/>
    <xf numFmtId="164" fontId="1" fillId="0" borderId="0" xfId="18" applyNumberFormat="1" applyFont="1"/>
    <xf numFmtId="164" fontId="1" fillId="0" borderId="0" xfId="18" applyNumberFormat="1" applyFont="1" applyFill="1"/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2" xfId="0" applyNumberFormat="1" applyFont="1" applyBorder="1"/>
    <xf numFmtId="164" fontId="3" fillId="0" borderId="2" xfId="0" applyNumberFormat="1" applyFont="1" applyFill="1" applyBorder="1"/>
    <xf numFmtId="164" fontId="1" fillId="0" borderId="0" xfId="0" applyNumberFormat="1" applyFont="1"/>
    <xf numFmtId="0" fontId="6" fillId="0" borderId="0" xfId="20" applyFont="1" applyFill="1" applyBorder="1" applyAlignment="1">
      <alignment horizontal="left"/>
      <protection/>
    </xf>
    <xf numFmtId="10" fontId="4" fillId="0" borderId="0" xfId="20" applyNumberFormat="1" applyFont="1" applyFill="1" applyBorder="1" applyAlignment="1">
      <alignment horizontal="center"/>
      <protection/>
    </xf>
    <xf numFmtId="164" fontId="1" fillId="0" borderId="2" xfId="0" applyNumberFormat="1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164" fontId="7" fillId="0" borderId="0" xfId="0" applyNumberFormat="1" applyFont="1"/>
    <xf numFmtId="0" fontId="4" fillId="0" borderId="3" xfId="20" applyFont="1" applyFill="1" applyBorder="1" applyAlignment="1" quotePrefix="1">
      <alignment horizontal="center"/>
      <protection/>
    </xf>
    <xf numFmtId="0" fontId="2" fillId="0" borderId="0" xfId="0" applyFont="1" applyAlignment="1">
      <alignment horizontal="center"/>
    </xf>
    <xf numFmtId="0" fontId="5" fillId="0" borderId="1" xfId="20" applyFont="1" applyFill="1" applyBorder="1" applyAlignment="1">
      <alignment horizontal="center"/>
      <protection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 2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externalLink" Target="externalLinks/externalLink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6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Section%20II%20(Test%20Year%20Data)/Schedule%20F%20(Functionalization%20Factors)/Schedule%20II-F.xlsm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nk Sheet"/>
      <sheetName val="II-F Alloc_Data"/>
      <sheetName val="II-F Alloc_Factor"/>
    </sheetNames>
    <sheetDataSet>
      <sheetData sheetId="0"/>
      <sheetData sheetId="1"/>
      <sheetData sheetId="2">
        <row r="40">
          <cell r="E40">
            <v>0.464232444914045</v>
          </cell>
          <cell r="G40">
            <v>0.00059225955215528</v>
          </cell>
          <cell r="I40">
            <v>0.503452883936133</v>
          </cell>
          <cell r="L40">
            <v>0.0171218047890389</v>
          </cell>
          <cell r="M40">
            <v>0.0146006068086284</v>
          </cell>
        </row>
        <row r="41">
          <cell r="F41">
            <v>0.924406112454512</v>
          </cell>
          <cell r="J41">
            <v>0.0755938875454883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92D050"/>
  </sheetPr>
  <dimension ref="A1:W213"/>
  <sheetViews>
    <sheetView tabSelected="1" zoomScale="80" zoomScaleNormal="80" workbookViewId="0" topLeftCell="A1">
      <pane xSplit="5" ySplit="10" topLeftCell="F11" activePane="bottomRight" state="frozen"/>
      <selection pane="topLeft" activeCell="F10" sqref="F10"/>
      <selection pane="bottomLeft" activeCell="F10" sqref="F10"/>
      <selection pane="topRight" activeCell="F10" sqref="F10"/>
      <selection pane="bottomRight" activeCell="A6" sqref="A6"/>
    </sheetView>
  </sheetViews>
  <sheetFormatPr defaultColWidth="20.1442857142857" defaultRowHeight="12.75"/>
  <cols>
    <col min="1" max="1" width="8.14285714285714" style="1" bestFit="1" customWidth="1"/>
    <col min="2" max="2" width="6.85714285714286" style="1" bestFit="1" customWidth="1"/>
    <col min="3" max="3" width="20.5714285714286" style="1" bestFit="1" customWidth="1"/>
    <col min="4" max="4" width="10.1428571428571" style="8" bestFit="1" customWidth="1"/>
    <col min="5" max="5" width="11.1428571428571" style="8" bestFit="1" customWidth="1"/>
    <col min="6" max="8" width="14.5714285714286" style="1" bestFit="1" customWidth="1"/>
    <col min="9" max="9" width="14.5714285714286" style="1" customWidth="1"/>
    <col min="10" max="10" width="12.1428571428571" style="1" customWidth="1"/>
    <col min="11" max="11" width="14.5714285714286" style="1" bestFit="1" customWidth="1"/>
    <col min="12" max="12" width="12.7142857142857" style="1" customWidth="1"/>
    <col min="13" max="13" width="14.5714285714286" style="1" bestFit="1" customWidth="1"/>
    <col min="14" max="14" width="12.7142857142857" style="1" customWidth="1"/>
    <col min="15" max="15" width="14.8571428571429" style="1" customWidth="1"/>
    <col min="16" max="16" width="13.5714285714286" style="1" customWidth="1"/>
    <col min="17" max="17" width="13.4285714285714" style="1" customWidth="1"/>
    <col min="18" max="18" width="16.1428571428571" style="1" customWidth="1"/>
    <col min="19" max="19" width="14.5714285714286" style="1" customWidth="1"/>
    <col min="20" max="20" width="13.8571428571429" style="1" customWidth="1"/>
    <col min="21" max="21" width="13.5714285714286" style="1" customWidth="1"/>
    <col min="22" max="22" width="13.8571428571429" style="1" customWidth="1"/>
    <col min="23" max="23" width="12.2857142857143" style="1" customWidth="1"/>
    <col min="24" max="16384" width="20.1428571428571" style="1"/>
  </cols>
  <sheetData>
    <row r="1" spans="1:23" ht="15.6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15.6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5.6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</row>
    <row r="4" spans="1:23" ht="15.6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5" spans="1:23" ht="15.6">
      <c r="A5" s="27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</row>
    <row r="10" spans="1:23" ht="51.95">
      <c r="A10" s="2" t="s">
        <v>5</v>
      </c>
      <c r="B10" s="28" t="s">
        <v>6</v>
      </c>
      <c r="C10" s="28"/>
      <c r="D10" s="3" t="s">
        <v>7</v>
      </c>
      <c r="E10" s="3" t="s">
        <v>8</v>
      </c>
      <c r="F10" s="4" t="s">
        <v>9</v>
      </c>
      <c r="G10" s="4" t="s">
        <v>10</v>
      </c>
      <c r="H10" s="4" t="s">
        <v>11</v>
      </c>
      <c r="I10" s="4" t="s">
        <v>12</v>
      </c>
      <c r="J10" s="4" t="s">
        <v>13</v>
      </c>
      <c r="K10" s="4" t="s">
        <v>14</v>
      </c>
      <c r="L10" s="4" t="s">
        <v>15</v>
      </c>
      <c r="M10" s="4" t="s">
        <v>16</v>
      </c>
      <c r="N10" s="4" t="s">
        <v>17</v>
      </c>
      <c r="O10" s="4" t="s">
        <v>18</v>
      </c>
      <c r="P10" s="4" t="s">
        <v>19</v>
      </c>
      <c r="Q10" s="4" t="s">
        <v>20</v>
      </c>
      <c r="R10" s="4" t="s">
        <v>21</v>
      </c>
      <c r="S10" s="4" t="s">
        <v>22</v>
      </c>
      <c r="T10" s="4" t="s">
        <v>23</v>
      </c>
      <c r="U10" s="4" t="s">
        <v>24</v>
      </c>
      <c r="V10" s="4" t="s">
        <v>25</v>
      </c>
      <c r="W10" s="4" t="s">
        <v>26</v>
      </c>
    </row>
    <row r="11" spans="1:23" ht="14.45" customHeight="1">
      <c r="A11" s="5"/>
      <c r="B11" s="26" t="s">
        <v>27</v>
      </c>
      <c r="C11" s="26"/>
      <c r="D11" s="6" t="s">
        <v>28</v>
      </c>
      <c r="E11" s="6" t="s">
        <v>29</v>
      </c>
      <c r="F11" s="7" t="s">
        <v>30</v>
      </c>
      <c r="G11" s="7" t="s">
        <v>31</v>
      </c>
      <c r="H11" s="7" t="s">
        <v>32</v>
      </c>
      <c r="I11" s="7" t="s">
        <v>33</v>
      </c>
      <c r="J11" s="7" t="s">
        <v>34</v>
      </c>
      <c r="K11" s="7" t="s">
        <v>35</v>
      </c>
      <c r="L11" s="7" t="s">
        <v>36</v>
      </c>
      <c r="M11" s="7" t="s">
        <v>37</v>
      </c>
      <c r="N11" s="7" t="s">
        <v>38</v>
      </c>
      <c r="O11" s="7" t="s">
        <v>39</v>
      </c>
      <c r="P11" s="7" t="s">
        <v>40</v>
      </c>
      <c r="Q11" s="7" t="s">
        <v>41</v>
      </c>
      <c r="R11" s="7" t="s">
        <v>42</v>
      </c>
      <c r="S11" s="7" t="s">
        <v>43</v>
      </c>
      <c r="T11" s="7" t="s">
        <v>44</v>
      </c>
      <c r="U11" s="7" t="s">
        <v>45</v>
      </c>
      <c r="V11" s="7" t="s">
        <v>46</v>
      </c>
      <c r="W11" s="7" t="s">
        <v>47</v>
      </c>
    </row>
    <row r="12" spans="1:23" ht="12.95">
      <c r="A12" s="8">
        <v>1</v>
      </c>
      <c r="B12" s="9" t="s">
        <v>48</v>
      </c>
      <c r="C12" s="9"/>
      <c r="D12" s="9"/>
      <c r="E12" s="9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1" ht="12.6">
      <c r="A13" s="8">
        <f>+A12+1</f>
        <v>2</v>
      </c>
      <c r="B13" s="11" t="s">
        <v>49</v>
      </c>
      <c r="C13" s="1" t="s">
        <v>50</v>
      </c>
      <c r="D13" s="8" t="s">
        <v>51</v>
      </c>
      <c r="E13" s="8" t="s">
        <v>52</v>
      </c>
      <c r="F13" s="12">
        <v>997544.60999999999</v>
      </c>
      <c r="G13" s="12">
        <v>1256688</v>
      </c>
      <c r="H13" s="12">
        <v>2620218.9100000001</v>
      </c>
      <c r="I13" s="12">
        <v>4042130.8399999999</v>
      </c>
      <c r="J13" s="12">
        <v>-1156147.4199999999</v>
      </c>
      <c r="K13" s="13">
        <v>11311160.24</v>
      </c>
      <c r="L13" s="13">
        <v>23509.07</v>
      </c>
      <c r="M13" s="13">
        <v>4973457.0599999996</v>
      </c>
      <c r="N13" s="13"/>
      <c r="O13" s="12">
        <f>SUM(F13:N13)</f>
        <v>24068561.309999999</v>
      </c>
      <c r="P13" s="12">
        <v>4496527.2800000003</v>
      </c>
      <c r="Q13" s="12">
        <v>228222.86000000002</v>
      </c>
      <c r="R13" s="12">
        <v>3937498.6099999994</v>
      </c>
      <c r="S13" s="12">
        <v>97512.889999999999</v>
      </c>
      <c r="T13" s="12">
        <v>2869265.1300000004</v>
      </c>
      <c r="U13" s="12">
        <v>85017.529999999999</v>
      </c>
    </row>
    <row r="14" spans="1:21" ht="12.6">
      <c r="A14" s="8">
        <f t="shared" si="0" ref="A14:A77">+A13+1</f>
        <v>3</v>
      </c>
      <c r="B14" s="11" t="s">
        <v>53</v>
      </c>
      <c r="C14" s="1" t="s">
        <v>54</v>
      </c>
      <c r="D14" s="8" t="s">
        <v>55</v>
      </c>
      <c r="E14" s="8" t="s">
        <v>52</v>
      </c>
      <c r="F14" s="12">
        <v>12290348.6</v>
      </c>
      <c r="G14" s="12">
        <v>5655897.5599999996</v>
      </c>
      <c r="H14" s="12">
        <v>10602111.380000001</v>
      </c>
      <c r="I14" s="12">
        <v>7332.5500000000002</v>
      </c>
      <c r="J14" s="12"/>
      <c r="K14" s="13">
        <v>61719114.159999996</v>
      </c>
      <c r="L14" s="13"/>
      <c r="M14" s="13">
        <v>15137580.960000001</v>
      </c>
      <c r="N14" s="13"/>
      <c r="O14" s="12">
        <f t="shared" si="1" ref="O14:O34">SUM(F14:N14)</f>
        <v>105412385.21000001</v>
      </c>
      <c r="P14" s="12">
        <v>30315004.879999999</v>
      </c>
      <c r="Q14" s="12">
        <v>454.83999999999998</v>
      </c>
      <c r="R14" s="12">
        <v>22148344.670000006</v>
      </c>
      <c r="S14" s="12">
        <v>454.83999999999998</v>
      </c>
      <c r="T14" s="12">
        <v>12840933.179999998</v>
      </c>
      <c r="U14" s="12">
        <v>454.83999999999998</v>
      </c>
    </row>
    <row r="15" spans="1:21" ht="12.6">
      <c r="A15" s="8">
        <f t="shared" si="0"/>
        <v>4</v>
      </c>
      <c r="B15" s="11" t="s">
        <v>56</v>
      </c>
      <c r="C15" s="1" t="s">
        <v>57</v>
      </c>
      <c r="D15" s="8" t="s">
        <v>55</v>
      </c>
      <c r="E15" s="8" t="s">
        <v>52</v>
      </c>
      <c r="F15" s="12">
        <v>0</v>
      </c>
      <c r="G15" s="12">
        <v>2617666</v>
      </c>
      <c r="H15" s="12">
        <v>1659975</v>
      </c>
      <c r="I15" s="12"/>
      <c r="J15" s="12"/>
      <c r="K15" s="13">
        <v>0</v>
      </c>
      <c r="L15" s="13"/>
      <c r="M15" s="13">
        <v>0</v>
      </c>
      <c r="N15" s="13"/>
      <c r="O15" s="12">
        <f t="shared" si="1"/>
        <v>4277641</v>
      </c>
      <c r="P15" s="12">
        <v>620270.32000000007</v>
      </c>
      <c r="Q15" s="12"/>
      <c r="R15" s="12">
        <v>492784.23999999999</v>
      </c>
      <c r="S15" s="12"/>
      <c r="T15" s="12">
        <v>342006.69</v>
      </c>
      <c r="U15" s="12"/>
    </row>
    <row r="16" spans="1:21" ht="12.6">
      <c r="A16" s="8">
        <f t="shared" si="0"/>
        <v>5</v>
      </c>
      <c r="B16" s="11" t="s">
        <v>58</v>
      </c>
      <c r="C16" s="1" t="s">
        <v>59</v>
      </c>
      <c r="D16" s="8" t="s">
        <v>55</v>
      </c>
      <c r="E16" s="8" t="s">
        <v>52</v>
      </c>
      <c r="F16" s="12">
        <v>636668.55000000005</v>
      </c>
      <c r="G16" s="12">
        <v>328794.84000000003</v>
      </c>
      <c r="H16" s="12">
        <v>553113.07999999996</v>
      </c>
      <c r="I16" s="12"/>
      <c r="J16" s="12"/>
      <c r="K16" s="13">
        <v>2072740.9399999999</v>
      </c>
      <c r="L16" s="13">
        <v>55488.849999999999</v>
      </c>
      <c r="M16" s="13">
        <v>1002860.71</v>
      </c>
      <c r="N16" s="13"/>
      <c r="O16" s="12">
        <f t="shared" si="1"/>
        <v>4649666.9700000007</v>
      </c>
      <c r="P16" s="12">
        <v>1184134.6299999999</v>
      </c>
      <c r="Q16" s="12">
        <v>14427.1</v>
      </c>
      <c r="R16" s="12">
        <v>940073.05999999994</v>
      </c>
      <c r="S16" s="12">
        <v>8656.2600000000002</v>
      </c>
      <c r="T16" s="12">
        <v>553519.14000000001</v>
      </c>
      <c r="U16" s="12">
        <v>6109.3199999999997</v>
      </c>
    </row>
    <row r="17" spans="1:21" ht="12.6">
      <c r="A17" s="8">
        <f t="shared" si="0"/>
        <v>6</v>
      </c>
      <c r="B17" s="11" t="s">
        <v>60</v>
      </c>
      <c r="C17" s="1" t="s">
        <v>61</v>
      </c>
      <c r="D17" s="8" t="s">
        <v>55</v>
      </c>
      <c r="E17" s="8" t="s">
        <v>52</v>
      </c>
      <c r="F17" s="12">
        <v>2196683.9700000002</v>
      </c>
      <c r="G17" s="12">
        <v>310098.91999999998</v>
      </c>
      <c r="H17" s="12">
        <v>0</v>
      </c>
      <c r="I17" s="12">
        <v>1044540.46</v>
      </c>
      <c r="J17" s="12">
        <v>-70853.490000000005</v>
      </c>
      <c r="K17" s="13">
        <v>1191.54</v>
      </c>
      <c r="L17" s="13"/>
      <c r="M17" s="13">
        <v>0</v>
      </c>
      <c r="N17" s="13"/>
      <c r="O17" s="12">
        <f t="shared" si="1"/>
        <v>3481661.3999999999</v>
      </c>
      <c r="P17" s="12">
        <v>264472.83000000002</v>
      </c>
      <c r="Q17" s="12">
        <v>53261.190000000002</v>
      </c>
      <c r="R17" s="12">
        <v>230005.35000000001</v>
      </c>
      <c r="S17" s="12">
        <v>51658.470000000001</v>
      </c>
      <c r="T17" s="12">
        <v>17997.18</v>
      </c>
      <c r="U17" s="12">
        <v>51658.470000000001</v>
      </c>
    </row>
    <row r="18" spans="1:21" ht="12.6">
      <c r="A18" s="8">
        <f t="shared" si="0"/>
        <v>7</v>
      </c>
      <c r="B18" s="11" t="s">
        <v>62</v>
      </c>
      <c r="C18" s="1" t="s">
        <v>63</v>
      </c>
      <c r="D18" s="8" t="s">
        <v>55</v>
      </c>
      <c r="E18" s="8" t="s">
        <v>52</v>
      </c>
      <c r="F18" s="12">
        <v>678187.19999999995</v>
      </c>
      <c r="G18" s="12">
        <v>365428.77000000002</v>
      </c>
      <c r="H18" s="12">
        <v>0</v>
      </c>
      <c r="I18" s="12"/>
      <c r="J18" s="12"/>
      <c r="K18" s="13">
        <v>328223.75</v>
      </c>
      <c r="L18" s="13"/>
      <c r="M18" s="13">
        <v>90231.470000000001</v>
      </c>
      <c r="N18" s="13"/>
      <c r="O18" s="12">
        <f t="shared" si="1"/>
        <v>1462071.1899999999</v>
      </c>
      <c r="P18" s="12">
        <v>238724.69</v>
      </c>
      <c r="Q18" s="12"/>
      <c r="R18" s="12">
        <v>194075.00000000003</v>
      </c>
      <c r="S18" s="12"/>
      <c r="T18" s="12">
        <v>76917.850000000006</v>
      </c>
      <c r="U18" s="12"/>
    </row>
    <row r="19" spans="1:21" ht="12.6">
      <c r="A19" s="8">
        <f t="shared" si="0"/>
        <v>8</v>
      </c>
      <c r="B19" s="11" t="s">
        <v>64</v>
      </c>
      <c r="C19" s="1" t="s">
        <v>65</v>
      </c>
      <c r="D19" s="8" t="s">
        <v>55</v>
      </c>
      <c r="E19" s="8" t="s">
        <v>52</v>
      </c>
      <c r="F19" s="12">
        <v>643724.17000000004</v>
      </c>
      <c r="G19" s="12">
        <v>1429135.1200000001</v>
      </c>
      <c r="H19" s="12">
        <v>615251.77000000002</v>
      </c>
      <c r="I19" s="12"/>
      <c r="J19" s="12"/>
      <c r="K19" s="13">
        <v>739247.32999999996</v>
      </c>
      <c r="L19" s="13">
        <v>52908.959999999999</v>
      </c>
      <c r="M19" s="13">
        <v>181842.34</v>
      </c>
      <c r="N19" s="13"/>
      <c r="O19" s="12">
        <f t="shared" si="1"/>
        <v>3662109.6899999999</v>
      </c>
      <c r="P19" s="12">
        <v>608559.19000000006</v>
      </c>
      <c r="Q19" s="12">
        <v>20105.400000000001</v>
      </c>
      <c r="R19" s="12">
        <v>485546.91999999998</v>
      </c>
      <c r="S19" s="12">
        <v>12063.24</v>
      </c>
      <c r="T19" s="12">
        <v>274921.45999999996</v>
      </c>
      <c r="U19" s="12">
        <v>7237.9499999999998</v>
      </c>
    </row>
    <row r="20" spans="1:21" ht="12.6">
      <c r="A20" s="8">
        <f t="shared" si="0"/>
        <v>9</v>
      </c>
      <c r="B20" s="11" t="s">
        <v>66</v>
      </c>
      <c r="C20" s="1" t="s">
        <v>67</v>
      </c>
      <c r="D20" s="8" t="s">
        <v>68</v>
      </c>
      <c r="E20" s="8" t="s">
        <v>52</v>
      </c>
      <c r="F20" s="12">
        <v>0</v>
      </c>
      <c r="G20" s="12">
        <v>0</v>
      </c>
      <c r="H20" s="12">
        <v>30721.490000000002</v>
      </c>
      <c r="I20" s="12"/>
      <c r="J20" s="12"/>
      <c r="K20" s="13">
        <v>20022.040000000001</v>
      </c>
      <c r="L20" s="13"/>
      <c r="M20" s="13">
        <v>0</v>
      </c>
      <c r="N20" s="13"/>
      <c r="O20" s="12">
        <f t="shared" si="1"/>
        <v>50743.529999999999</v>
      </c>
      <c r="P20" s="12">
        <v>10430.5</v>
      </c>
      <c r="Q20" s="12"/>
      <c r="R20" s="12">
        <v>7143.0900000000001</v>
      </c>
      <c r="S20" s="12"/>
      <c r="T20" s="12">
        <v>5107.8000000000002</v>
      </c>
      <c r="U20" s="12"/>
    </row>
    <row r="21" spans="1:21" ht="12.6">
      <c r="A21" s="8">
        <f t="shared" si="0"/>
        <v>10</v>
      </c>
      <c r="B21" s="11" t="s">
        <v>69</v>
      </c>
      <c r="C21" s="1" t="s">
        <v>70</v>
      </c>
      <c r="D21" s="8" t="s">
        <v>71</v>
      </c>
      <c r="E21" s="8" t="s">
        <v>52</v>
      </c>
      <c r="F21" s="12">
        <v>4989496.8700000001</v>
      </c>
      <c r="G21" s="12">
        <v>19641171.5</v>
      </c>
      <c r="H21" s="12">
        <v>11911237.859999999</v>
      </c>
      <c r="I21" s="12">
        <v>9057063.5</v>
      </c>
      <c r="J21" s="12"/>
      <c r="K21" s="13">
        <v>30575380</v>
      </c>
      <c r="L21" s="13"/>
      <c r="M21" s="13">
        <v>46702065.07</v>
      </c>
      <c r="N21" s="13"/>
      <c r="O21" s="12">
        <f t="shared" si="1"/>
        <v>122876414.80000001</v>
      </c>
      <c r="P21" s="12">
        <v>8155124.6700000018</v>
      </c>
      <c r="Q21" s="12">
        <v>590551.27000000002</v>
      </c>
      <c r="R21" s="12">
        <v>9693942.2299999986</v>
      </c>
      <c r="S21" s="12">
        <v>557559.29000000004</v>
      </c>
      <c r="T21" s="12">
        <v>8701942.879999999</v>
      </c>
      <c r="U21" s="12">
        <v>535080.06000000006</v>
      </c>
    </row>
    <row r="22" spans="1:21" ht="12.6">
      <c r="A22" s="8">
        <f t="shared" si="0"/>
        <v>11</v>
      </c>
      <c r="B22" s="11" t="s">
        <v>72</v>
      </c>
      <c r="C22" s="1" t="s">
        <v>73</v>
      </c>
      <c r="D22" s="8" t="s">
        <v>51</v>
      </c>
      <c r="E22" s="8" t="s">
        <v>52</v>
      </c>
      <c r="F22" s="12">
        <v>0</v>
      </c>
      <c r="G22" s="12">
        <v>0</v>
      </c>
      <c r="H22" s="12">
        <v>0</v>
      </c>
      <c r="I22" s="12"/>
      <c r="J22" s="12"/>
      <c r="K22" s="13">
        <v>-1809.55</v>
      </c>
      <c r="L22" s="13"/>
      <c r="M22" s="13">
        <v>0</v>
      </c>
      <c r="N22" s="13"/>
      <c r="O22" s="12">
        <f t="shared" si="1"/>
        <v>-1809.55</v>
      </c>
      <c r="P22" s="12">
        <v>-498.55000000000001</v>
      </c>
      <c r="Q22" s="12"/>
      <c r="R22" s="12">
        <v>-356.12</v>
      </c>
      <c r="S22" s="12"/>
      <c r="T22" s="12">
        <v>-254.34999999999999</v>
      </c>
      <c r="U22" s="12"/>
    </row>
    <row r="23" spans="1:21" ht="12.6">
      <c r="A23" s="8">
        <f t="shared" si="0"/>
        <v>12</v>
      </c>
      <c r="B23" s="14" t="s">
        <v>74</v>
      </c>
      <c r="C23" s="1" t="s">
        <v>75</v>
      </c>
      <c r="D23" s="8" t="s">
        <v>76</v>
      </c>
      <c r="E23" s="8" t="s">
        <v>52</v>
      </c>
      <c r="F23" s="12">
        <v>249815910.52000001</v>
      </c>
      <c r="G23" s="12">
        <v>494249407.25999999</v>
      </c>
      <c r="H23" s="12">
        <v>611990452.12</v>
      </c>
      <c r="I23" s="12">
        <v>69329950.189999998</v>
      </c>
      <c r="J23" s="12">
        <v>-39105.309999999998</v>
      </c>
      <c r="K23" s="13">
        <v>774138006.02999997</v>
      </c>
      <c r="L23" s="13">
        <v>-670469.07999999996</v>
      </c>
      <c r="M23" s="13">
        <v>810880205.38</v>
      </c>
      <c r="N23" s="13">
        <v>75378.789999999994</v>
      </c>
      <c r="O23" s="12">
        <f t="shared" si="1"/>
        <v>3009769735.9000006</v>
      </c>
      <c r="P23" s="12">
        <v>170596660.58999997</v>
      </c>
      <c r="Q23" s="12">
        <v>3072367.29</v>
      </c>
      <c r="R23" s="12">
        <v>187853759.49999997</v>
      </c>
      <c r="S23" s="12">
        <v>2916949.9500000002</v>
      </c>
      <c r="T23" s="12">
        <v>173758182.24999997</v>
      </c>
      <c r="U23" s="12">
        <v>2980955.0599999996</v>
      </c>
    </row>
    <row r="24" spans="1:21" ht="12.6">
      <c r="A24" s="8">
        <f t="shared" si="0"/>
        <v>13</v>
      </c>
      <c r="B24" s="1" t="s">
        <v>77</v>
      </c>
      <c r="C24" s="1" t="s">
        <v>78</v>
      </c>
      <c r="D24" s="8" t="s">
        <v>71</v>
      </c>
      <c r="E24" s="8" t="s">
        <v>52</v>
      </c>
      <c r="F24" s="12">
        <v>311070711.13</v>
      </c>
      <c r="G24" s="12">
        <v>632050057.75</v>
      </c>
      <c r="H24" s="12">
        <v>857674197.54999995</v>
      </c>
      <c r="I24" s="12">
        <v>1133906683.4000001</v>
      </c>
      <c r="J24" s="12">
        <v>7749330.3799999999</v>
      </c>
      <c r="K24" s="13">
        <v>1059592247.79</v>
      </c>
      <c r="L24" s="13">
        <v>4858263.8499999996</v>
      </c>
      <c r="M24" s="13">
        <v>1043935397.54</v>
      </c>
      <c r="N24" s="13">
        <v>-985173.20999999996</v>
      </c>
      <c r="O24" s="12">
        <f t="shared" si="1"/>
        <v>5049851716.1799994</v>
      </c>
      <c r="P24" s="12">
        <v>296816718.17000002</v>
      </c>
      <c r="Q24" s="12">
        <v>75021713.900000006</v>
      </c>
      <c r="R24" s="12">
        <v>319970544.72999996</v>
      </c>
      <c r="S24" s="12">
        <v>71729913.75999999</v>
      </c>
      <c r="T24" s="12">
        <v>288125995.37999988</v>
      </c>
      <c r="U24" s="12">
        <v>69253130.900000006</v>
      </c>
    </row>
    <row r="25" spans="1:21" ht="12.6">
      <c r="A25" s="8">
        <f t="shared" si="0"/>
        <v>14</v>
      </c>
      <c r="B25" s="1" t="s">
        <v>79</v>
      </c>
      <c r="C25" s="1" t="s">
        <v>80</v>
      </c>
      <c r="D25" s="8" t="s">
        <v>76</v>
      </c>
      <c r="E25" s="8" t="s">
        <v>52</v>
      </c>
      <c r="F25" s="12">
        <v>2820858.0600000001</v>
      </c>
      <c r="G25" s="12">
        <v>2161648.6699999999</v>
      </c>
      <c r="H25" s="12">
        <v>10305818.77</v>
      </c>
      <c r="I25" s="12"/>
      <c r="J25" s="12"/>
      <c r="K25" s="13">
        <v>11539389.99</v>
      </c>
      <c r="L25" s="13"/>
      <c r="M25" s="13">
        <v>10353306.800000001</v>
      </c>
      <c r="N25" s="13"/>
      <c r="O25" s="12">
        <f t="shared" si="1"/>
        <v>37181022.290000007</v>
      </c>
      <c r="P25" s="12">
        <v>2884770.6099999994</v>
      </c>
      <c r="Q25" s="12"/>
      <c r="R25" s="12">
        <v>2981793.21</v>
      </c>
      <c r="S25" s="12"/>
      <c r="T25" s="12">
        <v>2566586.7899999996</v>
      </c>
      <c r="U25" s="12"/>
    </row>
    <row r="26" spans="1:21" ht="12.6">
      <c r="A26" s="8">
        <f t="shared" si="0"/>
        <v>15</v>
      </c>
      <c r="B26" s="1" t="s">
        <v>81</v>
      </c>
      <c r="C26" s="1" t="s">
        <v>82</v>
      </c>
      <c r="D26" s="8" t="s">
        <v>68</v>
      </c>
      <c r="E26" s="8" t="s">
        <v>52</v>
      </c>
      <c r="F26" s="12">
        <v>23415150.84</v>
      </c>
      <c r="G26" s="12">
        <v>61086583.32</v>
      </c>
      <c r="H26" s="12">
        <v>74518693.069999993</v>
      </c>
      <c r="I26" s="12"/>
      <c r="J26" s="12">
        <v>16797.860000000001</v>
      </c>
      <c r="K26" s="13">
        <v>80368252.040000007</v>
      </c>
      <c r="L26" s="13"/>
      <c r="M26" s="13">
        <v>84161730.510000005</v>
      </c>
      <c r="N26" s="13"/>
      <c r="O26" s="12">
        <f t="shared" si="1"/>
        <v>323567207.63999999</v>
      </c>
      <c r="P26" s="12">
        <v>27767506.439999998</v>
      </c>
      <c r="Q26" s="12">
        <v>1981.1400000000001</v>
      </c>
      <c r="R26" s="12">
        <v>29757214.210000001</v>
      </c>
      <c r="S26" s="12">
        <v>1683.8199999999999</v>
      </c>
      <c r="T26" s="12">
        <v>26616407.500000004</v>
      </c>
      <c r="U26" s="12">
        <v>1468.1300000000001</v>
      </c>
    </row>
    <row r="27" spans="1:21" ht="12.6">
      <c r="A27" s="8">
        <f t="shared" si="0"/>
        <v>16</v>
      </c>
      <c r="B27" s="1" t="s">
        <v>83</v>
      </c>
      <c r="C27" s="1" t="s">
        <v>84</v>
      </c>
      <c r="D27" s="8" t="s">
        <v>51</v>
      </c>
      <c r="E27" s="8" t="s">
        <v>52</v>
      </c>
      <c r="F27" s="12">
        <v>10656252.289999999</v>
      </c>
      <c r="G27" s="12">
        <v>18364980.300000001</v>
      </c>
      <c r="H27" s="12">
        <v>23595624.960000001</v>
      </c>
      <c r="I27" s="12">
        <v>7252.1499999999996</v>
      </c>
      <c r="J27" s="12"/>
      <c r="K27" s="13">
        <v>24821565.300000001</v>
      </c>
      <c r="L27" s="13"/>
      <c r="M27" s="13">
        <v>24029800.550000001</v>
      </c>
      <c r="N27" s="13"/>
      <c r="O27" s="12">
        <f t="shared" si="1"/>
        <v>101475475.55</v>
      </c>
      <c r="P27" s="12">
        <v>6269286.8200000012</v>
      </c>
      <c r="Q27" s="12">
        <v>906.15999999999997</v>
      </c>
      <c r="R27" s="12">
        <v>6635773.4199999999</v>
      </c>
      <c r="S27" s="12">
        <v>647.25</v>
      </c>
      <c r="T27" s="12">
        <v>6191830.5</v>
      </c>
      <c r="U27" s="12">
        <v>647.25</v>
      </c>
    </row>
    <row r="28" spans="1:21" ht="12.6">
      <c r="A28" s="8">
        <f t="shared" si="0"/>
        <v>17</v>
      </c>
      <c r="B28" s="11" t="s">
        <v>85</v>
      </c>
      <c r="C28" s="1" t="s">
        <v>86</v>
      </c>
      <c r="D28" s="8" t="s">
        <v>55</v>
      </c>
      <c r="E28" s="8" t="s">
        <v>52</v>
      </c>
      <c r="F28" s="12">
        <v>3979411.8799999999</v>
      </c>
      <c r="G28" s="12">
        <v>6265981.5999999996</v>
      </c>
      <c r="H28" s="12">
        <v>4872319.7000000002</v>
      </c>
      <c r="I28" s="12">
        <v>2199555.5499999998</v>
      </c>
      <c r="J28" s="12">
        <v>-1949432</v>
      </c>
      <c r="K28" s="13">
        <v>13966085.85</v>
      </c>
      <c r="L28" s="13"/>
      <c r="M28" s="13">
        <v>9342711.6300000008</v>
      </c>
      <c r="N28" s="13"/>
      <c r="O28" s="12">
        <f t="shared" si="1"/>
        <v>38676634.210000001</v>
      </c>
      <c r="P28" s="12">
        <v>9003207.0099999998</v>
      </c>
      <c r="Q28" s="12">
        <v>13497.52</v>
      </c>
      <c r="R28" s="12">
        <v>7673680.4500000011</v>
      </c>
      <c r="S28" s="12">
        <v>12972.529999999999</v>
      </c>
      <c r="T28" s="12">
        <v>4546039.5499999998</v>
      </c>
      <c r="U28" s="12">
        <v>12872.26</v>
      </c>
    </row>
    <row r="29" spans="1:21" ht="12.6">
      <c r="A29" s="8">
        <f t="shared" si="0"/>
        <v>18</v>
      </c>
      <c r="B29" s="1" t="s">
        <v>87</v>
      </c>
      <c r="C29" s="1" t="s">
        <v>88</v>
      </c>
      <c r="D29" s="8" t="s">
        <v>89</v>
      </c>
      <c r="E29" s="8" t="s">
        <v>90</v>
      </c>
      <c r="F29" s="12">
        <v>15900000</v>
      </c>
      <c r="G29" s="12">
        <v>0</v>
      </c>
      <c r="H29" s="12">
        <v>0</v>
      </c>
      <c r="I29" s="12"/>
      <c r="J29" s="12"/>
      <c r="K29" s="13">
        <v>0</v>
      </c>
      <c r="L29" s="13"/>
      <c r="M29" s="13">
        <v>0</v>
      </c>
      <c r="N29" s="13"/>
      <c r="O29" s="12">
        <f t="shared" si="1"/>
        <v>15900000</v>
      </c>
      <c r="P29" s="12">
        <v>1059894</v>
      </c>
      <c r="Q29" s="12"/>
      <c r="R29" s="12">
        <v>1060053</v>
      </c>
      <c r="S29" s="12"/>
      <c r="T29" s="12">
        <v>1060053</v>
      </c>
      <c r="U29" s="12"/>
    </row>
    <row r="30" spans="1:21" ht="12.6">
      <c r="A30" s="8">
        <f t="shared" si="0"/>
        <v>19</v>
      </c>
      <c r="B30" s="1" t="s">
        <v>91</v>
      </c>
      <c r="C30" s="1" t="s">
        <v>92</v>
      </c>
      <c r="D30" s="8" t="s">
        <v>93</v>
      </c>
      <c r="E30" s="8" t="s">
        <v>90</v>
      </c>
      <c r="F30" s="12">
        <v>42773.839999999997</v>
      </c>
      <c r="G30" s="12">
        <v>9976.3199999999997</v>
      </c>
      <c r="H30" s="12">
        <v>0</v>
      </c>
      <c r="I30" s="12"/>
      <c r="J30" s="12"/>
      <c r="K30" s="13">
        <v>25686591.670000002</v>
      </c>
      <c r="L30" s="13"/>
      <c r="M30" s="13">
        <v>153213.54000000001</v>
      </c>
      <c r="N30" s="13"/>
      <c r="O30" s="12">
        <f t="shared" si="1"/>
        <v>25892555.370000001</v>
      </c>
      <c r="P30" s="12">
        <v>662894.84999999998</v>
      </c>
      <c r="Q30" s="12"/>
      <c r="R30" s="12">
        <v>663885.19999999995</v>
      </c>
      <c r="S30" s="12"/>
      <c r="T30" s="12">
        <v>663885.53000000003</v>
      </c>
      <c r="U30" s="12"/>
    </row>
    <row r="31" spans="1:21" ht="12.6">
      <c r="A31" s="8">
        <f t="shared" si="0"/>
        <v>20</v>
      </c>
      <c r="B31" s="1" t="s">
        <v>94</v>
      </c>
      <c r="C31" s="1" t="s">
        <v>95</v>
      </c>
      <c r="D31" s="8" t="s">
        <v>96</v>
      </c>
      <c r="E31" s="8" t="s">
        <v>52</v>
      </c>
      <c r="F31" s="12">
        <v>1230506.4299999999</v>
      </c>
      <c r="G31" s="12">
        <v>2071283.76</v>
      </c>
      <c r="H31" s="12">
        <v>6130177.0899999999</v>
      </c>
      <c r="I31" s="12"/>
      <c r="J31" s="12"/>
      <c r="K31" s="13">
        <v>-110121.84</v>
      </c>
      <c r="L31" s="13"/>
      <c r="M31" s="13">
        <v>8326189.25</v>
      </c>
      <c r="N31" s="13"/>
      <c r="O31" s="12">
        <f t="shared" si="1"/>
        <v>17648034.689999998</v>
      </c>
      <c r="P31" s="12">
        <v>346158.17999999999</v>
      </c>
      <c r="Q31" s="12"/>
      <c r="R31" s="12">
        <v>463814.40999999997</v>
      </c>
      <c r="S31" s="12"/>
      <c r="T31" s="12">
        <v>454988.96000000002</v>
      </c>
      <c r="U31" s="12"/>
    </row>
    <row r="32" spans="1:21" ht="12.6">
      <c r="A32" s="8">
        <f t="shared" si="0"/>
        <v>21</v>
      </c>
      <c r="B32" s="1" t="s">
        <v>97</v>
      </c>
      <c r="C32" s="1" t="s">
        <v>98</v>
      </c>
      <c r="D32" s="8" t="s">
        <v>99</v>
      </c>
      <c r="E32" s="8" t="s">
        <v>52</v>
      </c>
      <c r="F32" s="12">
        <v>10669200.449999999</v>
      </c>
      <c r="G32" s="12">
        <v>3784851.1699999999</v>
      </c>
      <c r="H32" s="12">
        <v>17561905.329999998</v>
      </c>
      <c r="I32" s="12">
        <v>100012365.81999999</v>
      </c>
      <c r="J32" s="12"/>
      <c r="K32" s="13">
        <v>46742174.109999999</v>
      </c>
      <c r="L32" s="13"/>
      <c r="M32" s="13">
        <v>15495568.970000001</v>
      </c>
      <c r="N32" s="13">
        <v>5751215.2699999996</v>
      </c>
      <c r="O32" s="12">
        <f t="shared" si="1"/>
        <v>200017281.12000001</v>
      </c>
      <c r="P32" s="12">
        <v>7215863.1600000001</v>
      </c>
      <c r="Q32" s="12">
        <v>1533463.1700000002</v>
      </c>
      <c r="R32" s="12">
        <v>7293054.9699999988</v>
      </c>
      <c r="S32" s="12">
        <v>1725432.0999999999</v>
      </c>
      <c r="T32" s="12">
        <v>6577506.9500000002</v>
      </c>
      <c r="U32" s="12">
        <v>1692240.73</v>
      </c>
    </row>
    <row r="33" spans="1:21" ht="12.6">
      <c r="A33" s="8">
        <f t="shared" si="0"/>
        <v>22</v>
      </c>
      <c r="B33" s="1" t="s">
        <v>100</v>
      </c>
      <c r="C33" s="1" t="s">
        <v>101</v>
      </c>
      <c r="D33" s="8" t="s">
        <v>102</v>
      </c>
      <c r="F33" s="12">
        <v>8022096.6600000001</v>
      </c>
      <c r="G33" s="12">
        <v>28547868.969999999</v>
      </c>
      <c r="H33" s="12">
        <v>3043427.6899999999</v>
      </c>
      <c r="I33" s="12">
        <v>54778215.43</v>
      </c>
      <c r="J33" s="12">
        <v>-3235813.2799999998</v>
      </c>
      <c r="K33" s="13">
        <v>15424521.01</v>
      </c>
      <c r="L33" s="13"/>
      <c r="M33" s="13">
        <v>33730416.979999997</v>
      </c>
      <c r="N33" s="13">
        <v>-5751215.2699999996</v>
      </c>
      <c r="O33" s="12">
        <f t="shared" si="1"/>
        <v>134559518.19</v>
      </c>
      <c r="P33" s="12">
        <v>0</v>
      </c>
      <c r="Q33" s="12"/>
      <c r="R33" s="12">
        <v>0</v>
      </c>
      <c r="S33" s="12"/>
      <c r="T33" s="12">
        <v>0</v>
      </c>
      <c r="U33" s="12"/>
    </row>
    <row r="34" spans="1:21" ht="12.6">
      <c r="A34" s="8">
        <f t="shared" si="0"/>
        <v>23</v>
      </c>
      <c r="B34" s="1" t="s">
        <v>103</v>
      </c>
      <c r="C34" s="1" t="s">
        <v>104</v>
      </c>
      <c r="D34" s="8" t="s">
        <v>93</v>
      </c>
      <c r="E34" s="8" t="s">
        <v>90</v>
      </c>
      <c r="F34" s="12">
        <v>21658813.859999999</v>
      </c>
      <c r="G34" s="12">
        <v>31181436.23</v>
      </c>
      <c r="H34" s="12">
        <v>29050181.219999999</v>
      </c>
      <c r="I34" s="12">
        <v>133694686.53</v>
      </c>
      <c r="J34" s="12">
        <v>-700090.71999999997</v>
      </c>
      <c r="K34" s="13">
        <v>40037827.039999999</v>
      </c>
      <c r="L34" s="13">
        <v>1146038.8100000001</v>
      </c>
      <c r="M34" s="13">
        <v>55251619.460000001</v>
      </c>
      <c r="N34" s="13">
        <v>-215000</v>
      </c>
      <c r="O34" s="12">
        <f t="shared" si="1"/>
        <v>311105512.43000001</v>
      </c>
      <c r="P34" s="12">
        <v>3598506.2299999995</v>
      </c>
      <c r="Q34" s="12">
        <v>3327434.3500000006</v>
      </c>
      <c r="R34" s="12">
        <v>4539045.5999999996</v>
      </c>
      <c r="S34" s="12">
        <v>3272797.7999999998</v>
      </c>
      <c r="T34" s="12">
        <v>4539119.0499999998</v>
      </c>
      <c r="U34" s="12">
        <v>3256711.96</v>
      </c>
    </row>
    <row r="35" spans="1:23" s="15" customFormat="1" ht="12.95">
      <c r="A35" s="8">
        <f t="shared" si="0"/>
        <v>24</v>
      </c>
      <c r="B35" s="15" t="s">
        <v>48</v>
      </c>
      <c r="D35" s="16"/>
      <c r="E35" s="16"/>
      <c r="F35" s="17">
        <f>SUM(F13:F34)</f>
        <v>681714339.92999995</v>
      </c>
      <c r="G35" s="17">
        <f t="shared" si="2" ref="G35:U35">SUM(G13:G34)</f>
        <v>1311378956.0599999</v>
      </c>
      <c r="H35" s="17">
        <f t="shared" si="2"/>
        <v>1666735426.9899998</v>
      </c>
      <c r="I35" s="17">
        <f t="shared" si="2"/>
        <v>1508079776.4200001</v>
      </c>
      <c r="J35" s="17">
        <f t="shared" si="2"/>
        <v>614686.02000000072</v>
      </c>
      <c r="K35" s="18">
        <f t="shared" si="2"/>
        <v>2198971809.4400001</v>
      </c>
      <c r="L35" s="18">
        <f t="shared" si="2"/>
        <v>5465740.459999999</v>
      </c>
      <c r="M35" s="18">
        <f t="shared" si="2"/>
        <v>2163748198.2199998</v>
      </c>
      <c r="N35" s="18">
        <f t="shared" si="2"/>
        <v>-1124794.4199999999</v>
      </c>
      <c r="O35" s="17">
        <f t="shared" si="2"/>
        <v>9535584139.1200008</v>
      </c>
      <c r="P35" s="17">
        <f t="shared" si="2"/>
        <v>572114216.5</v>
      </c>
      <c r="Q35" s="17">
        <f t="shared" si="2"/>
        <v>83878386.189999998</v>
      </c>
      <c r="R35" s="17">
        <f t="shared" si="2"/>
        <v>607021675.75000012</v>
      </c>
      <c r="S35" s="17">
        <f t="shared" si="2"/>
        <v>80388302.199999973</v>
      </c>
      <c r="T35" s="17">
        <f t="shared" si="2"/>
        <v>540782952.41999984</v>
      </c>
      <c r="U35" s="17">
        <f t="shared" si="2"/>
        <v>77883584.460000008</v>
      </c>
      <c r="V35" s="17">
        <v>606170606.71000004</v>
      </c>
      <c r="W35" s="17">
        <v>139869562.50999999</v>
      </c>
    </row>
    <row r="36" spans="1:15" ht="12.6">
      <c r="A36" s="8">
        <f t="shared" si="0"/>
        <v>25</v>
      </c>
      <c r="F36" s="19"/>
      <c r="G36" s="19"/>
      <c r="H36" s="12"/>
      <c r="I36" s="12"/>
      <c r="J36" s="12"/>
      <c r="K36" s="19"/>
      <c r="L36" s="19"/>
      <c r="M36" s="19"/>
      <c r="N36" s="19"/>
      <c r="O36" s="19"/>
    </row>
    <row r="37" spans="1:15" ht="12.95">
      <c r="A37" s="8">
        <f t="shared" si="0"/>
        <v>26</v>
      </c>
      <c r="B37" s="20" t="s">
        <v>105</v>
      </c>
      <c r="C37" s="9"/>
      <c r="D37" s="9"/>
      <c r="E37" s="21">
        <f>+'[1]II-F Alloc_Factor'!$E$40</f>
        <v>0.46423244491404464</v>
      </c>
      <c r="F37" s="10"/>
      <c r="G37" s="10"/>
      <c r="H37" s="12"/>
      <c r="I37" s="12"/>
      <c r="J37" s="12"/>
      <c r="K37" s="19"/>
      <c r="L37" s="19"/>
      <c r="M37" s="19"/>
      <c r="N37" s="19"/>
      <c r="O37" s="19"/>
    </row>
    <row r="38" spans="1:23" ht="12.6">
      <c r="A38" s="8">
        <f t="shared" si="0"/>
        <v>27</v>
      </c>
      <c r="B38" s="11" t="s">
        <v>49</v>
      </c>
      <c r="C38" s="1" t="s">
        <v>50</v>
      </c>
      <c r="D38" s="8" t="s">
        <v>51</v>
      </c>
      <c r="E38" s="8" t="s">
        <v>52</v>
      </c>
      <c r="F38" s="12">
        <f>ROUND(+'WP II-E-3.3'!F13*$E$37,2)</f>
        <v>463092.57000000001</v>
      </c>
      <c r="G38" s="12">
        <f>ROUND(+'WP II-E-3.3'!G13*$E$37,2)</f>
        <v>583395.33999999997</v>
      </c>
      <c r="H38" s="12">
        <f>ROUND(+'WP II-E-3.3'!H13*$E$37,2)</f>
        <v>1216390.6299999999</v>
      </c>
      <c r="I38" s="12">
        <v>0</v>
      </c>
      <c r="J38" s="12">
        <v>0</v>
      </c>
      <c r="K38" s="12">
        <f>ROUND(+'WP II-E-3.3'!K13*$E$37,2)</f>
        <v>5251007.5700000003</v>
      </c>
      <c r="L38" s="12">
        <v>0</v>
      </c>
      <c r="M38" s="12">
        <f>ROUND(+'WP II-E-3.3'!M13*$E$37,2)</f>
        <v>2308840.1299999999</v>
      </c>
      <c r="N38" s="12">
        <v>0</v>
      </c>
      <c r="O38" s="12">
        <f>SUM(F38:N38)</f>
        <v>9822726.2400000002</v>
      </c>
      <c r="P38" s="12">
        <f>ROUND(+'WP II-E-3.3'!P13*$E$37,2)</f>
        <v>2087433.8500000001</v>
      </c>
      <c r="Q38" s="12">
        <v>0</v>
      </c>
      <c r="R38" s="12">
        <f>ROUND(+'WP II-E-3.3'!R13*$E$37,2)</f>
        <v>1827914.6100000001</v>
      </c>
      <c r="S38" s="12">
        <v>0</v>
      </c>
      <c r="T38" s="12">
        <f>ROUND(+'WP II-E-3.3'!T13*$E$37,2)</f>
        <v>1332005.97</v>
      </c>
      <c r="U38" s="12">
        <v>0</v>
      </c>
      <c r="V38" s="12">
        <f>+'WP II-E-3.3'!V13*$E$37</f>
        <v>0</v>
      </c>
      <c r="W38" s="12">
        <f>+'WP II-E-3.3'!W13*$E$37</f>
        <v>0</v>
      </c>
    </row>
    <row r="39" spans="1:23" ht="12.6">
      <c r="A39" s="8">
        <f t="shared" si="0"/>
        <v>28</v>
      </c>
      <c r="B39" s="11" t="s">
        <v>53</v>
      </c>
      <c r="C39" s="1" t="s">
        <v>54</v>
      </c>
      <c r="D39" s="8" t="s">
        <v>55</v>
      </c>
      <c r="E39" s="8" t="s">
        <v>52</v>
      </c>
      <c r="F39" s="12">
        <f>ROUND(+'WP II-E-3.3'!F14*$E$37,2)</f>
        <v>5705578.5800000001</v>
      </c>
      <c r="G39" s="12">
        <f>ROUND(+'WP II-E-3.3'!G14*$E$37,2)</f>
        <v>2625651.1499999999</v>
      </c>
      <c r="H39" s="12">
        <f>ROUND(+'WP II-E-3.3'!H14*$E$37,2)</f>
        <v>4921844.0899999999</v>
      </c>
      <c r="I39" s="12">
        <v>0</v>
      </c>
      <c r="J39" s="12">
        <v>0</v>
      </c>
      <c r="K39" s="12">
        <f>ROUND(+'WP II-E-3.3'!K14*$E$37,2)</f>
        <v>28652015.260000002</v>
      </c>
      <c r="L39" s="12">
        <v>0</v>
      </c>
      <c r="M39" s="12">
        <f>ROUND(+'WP II-E-3.3'!M14*$E$37,2)</f>
        <v>7027356.2199999997</v>
      </c>
      <c r="N39" s="12">
        <v>0</v>
      </c>
      <c r="O39" s="12">
        <f t="shared" si="3" ref="O39:O59">SUM(F39:N39)</f>
        <v>48932445.299999997</v>
      </c>
      <c r="P39" s="12">
        <f>ROUND(+'WP II-E-3.3'!P14*$E$37,2)</f>
        <v>14073208.83</v>
      </c>
      <c r="Q39" s="12">
        <v>0</v>
      </c>
      <c r="R39" s="12">
        <f>ROUND(+'WP II-E-3.3'!R14*$E$37,2)</f>
        <v>10281980.199999999</v>
      </c>
      <c r="S39" s="12">
        <v>0</v>
      </c>
      <c r="T39" s="12">
        <f>ROUND(+'WP II-E-3.3'!T14*$E$37,2)</f>
        <v>5961177.8099999996</v>
      </c>
      <c r="U39" s="12">
        <v>0</v>
      </c>
      <c r="V39" s="12">
        <f>+'WP II-E-3.3'!V14*$E$37</f>
        <v>0</v>
      </c>
      <c r="W39" s="12">
        <f>+'WP II-E-3.3'!W14*$E$37</f>
        <v>0</v>
      </c>
    </row>
    <row r="40" spans="1:23" ht="12.6">
      <c r="A40" s="8">
        <f t="shared" si="0"/>
        <v>29</v>
      </c>
      <c r="B40" s="11" t="s">
        <v>56</v>
      </c>
      <c r="C40" s="1" t="s">
        <v>57</v>
      </c>
      <c r="D40" s="8" t="s">
        <v>55</v>
      </c>
      <c r="E40" s="8" t="s">
        <v>52</v>
      </c>
      <c r="F40" s="12">
        <f>ROUND(+'WP II-E-3.3'!F15*$E$37,2)</f>
        <v>0</v>
      </c>
      <c r="G40" s="12">
        <f>ROUND(+'WP II-E-3.3'!G15*$E$37,2)</f>
        <v>1215205.49</v>
      </c>
      <c r="H40" s="12">
        <f>ROUND(+'WP II-E-3.3'!H15*$E$37,2)</f>
        <v>770614.25</v>
      </c>
      <c r="I40" s="12">
        <v>0</v>
      </c>
      <c r="J40" s="12">
        <v>0</v>
      </c>
      <c r="K40" s="12">
        <f>ROUND(+'WP II-E-3.3'!K15*$E$37,2)</f>
        <v>0</v>
      </c>
      <c r="L40" s="12">
        <v>0</v>
      </c>
      <c r="M40" s="12">
        <f>ROUND(+'WP II-E-3.3'!M15*$E$37,2)</f>
        <v>0</v>
      </c>
      <c r="N40" s="12">
        <v>0</v>
      </c>
      <c r="O40" s="12">
        <f t="shared" si="3"/>
        <v>1985819.74</v>
      </c>
      <c r="P40" s="12">
        <f>ROUND(+'WP II-E-3.3'!P15*$E$37,2)</f>
        <v>287949.60999999999</v>
      </c>
      <c r="Q40" s="12">
        <v>0</v>
      </c>
      <c r="R40" s="12">
        <f>ROUND(+'WP II-E-3.3'!R15*$E$37,2)</f>
        <v>228766.42999999999</v>
      </c>
      <c r="S40" s="12">
        <v>0</v>
      </c>
      <c r="T40" s="12">
        <f>ROUND(+'WP II-E-3.3'!T15*$E$37,2)</f>
        <v>158770.60000000001</v>
      </c>
      <c r="U40" s="12">
        <v>0</v>
      </c>
      <c r="V40" s="12">
        <f>+'WP II-E-3.3'!V15*$E$37</f>
        <v>0</v>
      </c>
      <c r="W40" s="12">
        <f>+'WP II-E-3.3'!W15*$E$37</f>
        <v>0</v>
      </c>
    </row>
    <row r="41" spans="1:23" ht="12.6">
      <c r="A41" s="8">
        <f t="shared" si="0"/>
        <v>30</v>
      </c>
      <c r="B41" s="11" t="s">
        <v>58</v>
      </c>
      <c r="C41" s="1" t="s">
        <v>59</v>
      </c>
      <c r="D41" s="8" t="s">
        <v>55</v>
      </c>
      <c r="E41" s="8" t="s">
        <v>52</v>
      </c>
      <c r="F41" s="12">
        <f>ROUND(+'WP II-E-3.3'!F16*$E$37,2)</f>
        <v>295562.20000000001</v>
      </c>
      <c r="G41" s="12">
        <f>ROUND(+'WP II-E-3.3'!G16*$E$37,2)</f>
        <v>152637.23000000001</v>
      </c>
      <c r="H41" s="12">
        <f>ROUND(+'WP II-E-3.3'!H16*$E$37,2)</f>
        <v>256773.04000000001</v>
      </c>
      <c r="I41" s="12">
        <v>0</v>
      </c>
      <c r="J41" s="12">
        <v>0</v>
      </c>
      <c r="K41" s="12">
        <f>ROUND(+'WP II-E-3.3'!K16*$E$37,2)</f>
        <v>962233.58999999997</v>
      </c>
      <c r="L41" s="12">
        <v>0</v>
      </c>
      <c r="M41" s="12">
        <f>ROUND(+'WP II-E-3.3'!M16*$E$37,2)</f>
        <v>465560.47999999998</v>
      </c>
      <c r="N41" s="12">
        <v>0</v>
      </c>
      <c r="O41" s="12">
        <f t="shared" si="3"/>
        <v>2132766.54</v>
      </c>
      <c r="P41" s="12">
        <f>ROUND(+'WP II-E-3.3'!P16*$E$37,2)</f>
        <v>549713.70999999996</v>
      </c>
      <c r="Q41" s="12">
        <v>0</v>
      </c>
      <c r="R41" s="12">
        <f>ROUND(+'WP II-E-3.3'!R16*$E$37,2)</f>
        <v>436412.41999999998</v>
      </c>
      <c r="S41" s="12">
        <v>0</v>
      </c>
      <c r="T41" s="12">
        <f>ROUND(+'WP II-E-3.3'!T16*$E$37,2)</f>
        <v>256961.54000000001</v>
      </c>
      <c r="U41" s="12">
        <v>0</v>
      </c>
      <c r="V41" s="12">
        <f>+'WP II-E-3.3'!V16*$E$37</f>
        <v>0</v>
      </c>
      <c r="W41" s="12">
        <f>+'WP II-E-3.3'!W16*$E$37</f>
        <v>0</v>
      </c>
    </row>
    <row r="42" spans="1:23" ht="12.6">
      <c r="A42" s="8">
        <f t="shared" si="0"/>
        <v>31</v>
      </c>
      <c r="B42" s="11" t="s">
        <v>60</v>
      </c>
      <c r="C42" s="1" t="s">
        <v>61</v>
      </c>
      <c r="D42" s="8" t="s">
        <v>55</v>
      </c>
      <c r="E42" s="8" t="s">
        <v>52</v>
      </c>
      <c r="F42" s="12">
        <f>ROUND(+'WP II-E-3.3'!F17*$E$37,2)</f>
        <v>1019771.97</v>
      </c>
      <c r="G42" s="12">
        <f>ROUND(+'WP II-E-3.3'!G17*$E$37,2)</f>
        <v>143957.98000000001</v>
      </c>
      <c r="H42" s="12">
        <f>ROUND(+'WP II-E-3.3'!H17*$E$37,2)</f>
        <v>0</v>
      </c>
      <c r="I42" s="12">
        <v>0</v>
      </c>
      <c r="J42" s="12">
        <v>0</v>
      </c>
      <c r="K42" s="12">
        <f>ROUND(+'WP II-E-3.3'!K17*$E$37,2)</f>
        <v>553.14999999999998</v>
      </c>
      <c r="L42" s="12">
        <v>0</v>
      </c>
      <c r="M42" s="12">
        <f>ROUND(+'WP II-E-3.3'!M17*$E$37,2)</f>
        <v>0</v>
      </c>
      <c r="N42" s="12">
        <v>0</v>
      </c>
      <c r="O42" s="12">
        <f t="shared" si="3"/>
        <v>1164283.0999999999</v>
      </c>
      <c r="P42" s="12">
        <f>ROUND(+'WP II-E-3.3'!P17*$E$37,2)</f>
        <v>122776.87</v>
      </c>
      <c r="Q42" s="12">
        <v>0</v>
      </c>
      <c r="R42" s="12">
        <f>ROUND(+'WP II-E-3.3'!R17*$E$37,2)</f>
        <v>106775.95</v>
      </c>
      <c r="S42" s="12">
        <v>0</v>
      </c>
      <c r="T42" s="12">
        <f>ROUND(+'WP II-E-3.3'!T17*$E$37,2)</f>
        <v>8354.8700000000008</v>
      </c>
      <c r="U42" s="12">
        <v>0</v>
      </c>
      <c r="V42" s="12">
        <f>+'WP II-E-3.3'!V17*$E$37</f>
        <v>0</v>
      </c>
      <c r="W42" s="12">
        <f>+'WP II-E-3.3'!W17*$E$37</f>
        <v>0</v>
      </c>
    </row>
    <row r="43" spans="1:23" ht="12.6">
      <c r="A43" s="8">
        <f t="shared" si="0"/>
        <v>32</v>
      </c>
      <c r="B43" s="11" t="s">
        <v>62</v>
      </c>
      <c r="C43" s="1" t="s">
        <v>63</v>
      </c>
      <c r="D43" s="8" t="s">
        <v>55</v>
      </c>
      <c r="E43" s="8" t="s">
        <v>52</v>
      </c>
      <c r="F43" s="12">
        <f>ROUND(+'WP II-E-3.3'!F18*$E$37,2)</f>
        <v>314836.5</v>
      </c>
      <c r="G43" s="12">
        <f>ROUND(+'WP II-E-3.3'!G18*$E$37,2)</f>
        <v>169643.89000000001</v>
      </c>
      <c r="H43" s="12">
        <f>ROUND(+'WP II-E-3.3'!H18*$E$37,2)</f>
        <v>0</v>
      </c>
      <c r="I43" s="12">
        <v>0</v>
      </c>
      <c r="J43" s="12">
        <v>0</v>
      </c>
      <c r="K43" s="12">
        <f>ROUND(+'WP II-E-3.3'!K18*$E$37,2)</f>
        <v>152372.10999999999</v>
      </c>
      <c r="L43" s="12">
        <v>0</v>
      </c>
      <c r="M43" s="12">
        <f>ROUND(+'WP II-E-3.3'!M18*$E$37,2)</f>
        <v>41888.379999999997</v>
      </c>
      <c r="N43" s="12">
        <v>0</v>
      </c>
      <c r="O43" s="12">
        <f t="shared" si="3"/>
        <v>678740.88</v>
      </c>
      <c r="P43" s="12">
        <f>ROUND(+'WP II-E-3.3'!P18*$E$37,2)</f>
        <v>110823.75</v>
      </c>
      <c r="Q43" s="12">
        <v>0</v>
      </c>
      <c r="R43" s="12">
        <f>ROUND(+'WP II-E-3.3'!R18*$E$37,2)</f>
        <v>90095.910000000003</v>
      </c>
      <c r="S43" s="12">
        <v>0</v>
      </c>
      <c r="T43" s="12">
        <f>ROUND(+'WP II-E-3.3'!T18*$E$37,2)</f>
        <v>35707.760000000002</v>
      </c>
      <c r="U43" s="12">
        <v>0</v>
      </c>
      <c r="V43" s="12">
        <f>+'WP II-E-3.3'!V18*$E$37</f>
        <v>0</v>
      </c>
      <c r="W43" s="12">
        <f>+'WP II-E-3.3'!W18*$E$37</f>
        <v>0</v>
      </c>
    </row>
    <row r="44" spans="1:23" ht="12.6">
      <c r="A44" s="8">
        <f t="shared" si="0"/>
        <v>33</v>
      </c>
      <c r="B44" s="11" t="s">
        <v>64</v>
      </c>
      <c r="C44" s="1" t="s">
        <v>65</v>
      </c>
      <c r="D44" s="8" t="s">
        <v>55</v>
      </c>
      <c r="E44" s="8" t="s">
        <v>52</v>
      </c>
      <c r="F44" s="12">
        <f>ROUND(+'WP II-E-3.3'!F19*$E$37,2)</f>
        <v>298837.65000000002</v>
      </c>
      <c r="G44" s="12">
        <f>ROUND(+'WP II-E-3.3'!G19*$E$37,2)</f>
        <v>663450.89000000001</v>
      </c>
      <c r="H44" s="12">
        <f>ROUND(+'WP II-E-3.3'!H19*$E$37,2)</f>
        <v>285619.83000000002</v>
      </c>
      <c r="I44" s="12">
        <v>0</v>
      </c>
      <c r="J44" s="12">
        <v>0</v>
      </c>
      <c r="K44" s="12">
        <f>ROUND(+'WP II-E-3.3'!K19*$E$37,2)</f>
        <v>343182.59999999998</v>
      </c>
      <c r="L44" s="12">
        <v>0</v>
      </c>
      <c r="M44" s="12">
        <f>ROUND(+'WP II-E-3.3'!M19*$E$37,2)</f>
        <v>84417.110000000001</v>
      </c>
      <c r="N44" s="12">
        <v>0</v>
      </c>
      <c r="O44" s="12">
        <f t="shared" si="3"/>
        <v>1675508.0800000003</v>
      </c>
      <c r="P44" s="12">
        <f>ROUND(+'WP II-E-3.3'!P19*$E$37,2)</f>
        <v>282512.91999999998</v>
      </c>
      <c r="Q44" s="12">
        <v>0</v>
      </c>
      <c r="R44" s="12">
        <f>ROUND(+'WP II-E-3.3'!R19*$E$37,2)</f>
        <v>225406.63000000001</v>
      </c>
      <c r="S44" s="12">
        <v>0</v>
      </c>
      <c r="T44" s="12">
        <f>ROUND(+'WP II-E-3.3'!T19*$E$37,2)</f>
        <v>127627.46000000001</v>
      </c>
      <c r="U44" s="12">
        <v>0</v>
      </c>
      <c r="V44" s="12">
        <f>+'WP II-E-3.3'!V19*$E$37</f>
        <v>0</v>
      </c>
      <c r="W44" s="12">
        <f>+'WP II-E-3.3'!W19*$E$37</f>
        <v>0</v>
      </c>
    </row>
    <row r="45" spans="1:23" ht="12.6">
      <c r="A45" s="8">
        <f t="shared" si="0"/>
        <v>34</v>
      </c>
      <c r="B45" s="11" t="s">
        <v>66</v>
      </c>
      <c r="C45" s="1" t="s">
        <v>67</v>
      </c>
      <c r="D45" s="8" t="s">
        <v>68</v>
      </c>
      <c r="E45" s="8" t="s">
        <v>52</v>
      </c>
      <c r="F45" s="12">
        <f>ROUND(+'WP II-E-3.3'!F20*$E$37,2)</f>
        <v>0</v>
      </c>
      <c r="G45" s="12">
        <f>ROUND(+'WP II-E-3.3'!G20*$E$37,2)</f>
        <v>0</v>
      </c>
      <c r="H45" s="12">
        <f>ROUND(+'WP II-E-3.3'!H20*$E$37,2)</f>
        <v>14261.91</v>
      </c>
      <c r="I45" s="12">
        <v>0</v>
      </c>
      <c r="J45" s="12">
        <v>0</v>
      </c>
      <c r="K45" s="12">
        <f>ROUND(+'WP II-E-3.3'!K20*$E$37,2)</f>
        <v>9294.8799999999992</v>
      </c>
      <c r="L45" s="12">
        <v>0</v>
      </c>
      <c r="M45" s="12">
        <f>ROUND(+'WP II-E-3.3'!M20*$E$37,2)</f>
        <v>0</v>
      </c>
      <c r="N45" s="12">
        <v>0</v>
      </c>
      <c r="O45" s="12">
        <f t="shared" si="3"/>
        <v>23556.790000000001</v>
      </c>
      <c r="P45" s="12">
        <f>ROUND(+'WP II-E-3.3'!P20*$E$37,2)</f>
        <v>4842.1800000000003</v>
      </c>
      <c r="Q45" s="12">
        <v>0</v>
      </c>
      <c r="R45" s="12">
        <f>ROUND(+'WP II-E-3.3'!R20*$E$37,2)</f>
        <v>3316.0500000000002</v>
      </c>
      <c r="S45" s="12">
        <v>0</v>
      </c>
      <c r="T45" s="12">
        <f>ROUND(+'WP II-E-3.3'!T20*$E$37,2)</f>
        <v>2371.21</v>
      </c>
      <c r="U45" s="12">
        <v>0</v>
      </c>
      <c r="V45" s="12">
        <f>+'WP II-E-3.3'!V20*$E$37</f>
        <v>0</v>
      </c>
      <c r="W45" s="12">
        <f>+'WP II-E-3.3'!W20*$E$37</f>
        <v>0</v>
      </c>
    </row>
    <row r="46" spans="1:23" ht="12.6">
      <c r="A46" s="8">
        <f t="shared" si="0"/>
        <v>35</v>
      </c>
      <c r="B46" s="11" t="s">
        <v>69</v>
      </c>
      <c r="C46" s="1" t="s">
        <v>70</v>
      </c>
      <c r="D46" s="8" t="s">
        <v>71</v>
      </c>
      <c r="E46" s="8" t="s">
        <v>52</v>
      </c>
      <c r="F46" s="12">
        <f>ROUND(+'WP II-E-3.3'!F21*$E$37,2)</f>
        <v>2316286.3300000001</v>
      </c>
      <c r="G46" s="12">
        <f>ROUND(+'WP II-E-3.3'!G21*$E$37,2)</f>
        <v>9118069.0700000003</v>
      </c>
      <c r="H46" s="12">
        <f>ROUND(+'WP II-E-3.3'!H21*$E$37,2)</f>
        <v>5529583.0700000003</v>
      </c>
      <c r="I46" s="12">
        <v>0</v>
      </c>
      <c r="J46" s="12">
        <v>0</v>
      </c>
      <c r="K46" s="12">
        <f>ROUND(+'WP II-E-3.3'!K21*$E$37,2)</f>
        <v>14194083.41</v>
      </c>
      <c r="L46" s="12">
        <v>0</v>
      </c>
      <c r="M46" s="12">
        <f>ROUND(+'WP II-E-3.3'!M21*$E$37,2)</f>
        <v>21680613.850000001</v>
      </c>
      <c r="N46" s="12">
        <v>0</v>
      </c>
      <c r="O46" s="12">
        <f t="shared" si="3"/>
        <v>52838635.730000004</v>
      </c>
      <c r="P46" s="12">
        <f>ROUND(+'WP II-E-3.3'!P21*$E$37,2)</f>
        <v>3785873.46</v>
      </c>
      <c r="Q46" s="12">
        <v>0</v>
      </c>
      <c r="R46" s="12">
        <f>ROUND(+'WP II-E-3.3'!R21*$E$37,2)</f>
        <v>4500242.5</v>
      </c>
      <c r="S46" s="12">
        <v>0</v>
      </c>
      <c r="T46" s="12">
        <f>ROUND(+'WP II-E-3.3'!T21*$E$37,2)</f>
        <v>4039724.2200000002</v>
      </c>
      <c r="U46" s="12">
        <v>0</v>
      </c>
      <c r="V46" s="12">
        <f>+'WP II-E-3.3'!V21*$E$37</f>
        <v>0</v>
      </c>
      <c r="W46" s="12">
        <f>+'WP II-E-3.3'!W21*$E$37</f>
        <v>0</v>
      </c>
    </row>
    <row r="47" spans="1:23" ht="12.6">
      <c r="A47" s="8">
        <f t="shared" si="0"/>
        <v>36</v>
      </c>
      <c r="B47" s="11" t="s">
        <v>72</v>
      </c>
      <c r="C47" s="1" t="s">
        <v>73</v>
      </c>
      <c r="D47" s="8" t="s">
        <v>51</v>
      </c>
      <c r="E47" s="8" t="s">
        <v>52</v>
      </c>
      <c r="F47" s="12">
        <f>ROUND(+'WP II-E-3.3'!F22*$E$37,2)</f>
        <v>0</v>
      </c>
      <c r="G47" s="12">
        <f>ROUND(+'WP II-E-3.3'!G22*$E$37,2)</f>
        <v>0</v>
      </c>
      <c r="H47" s="12">
        <f>ROUND(+'WP II-E-3.3'!H22*$E$37,2)</f>
        <v>0</v>
      </c>
      <c r="I47" s="12">
        <v>0</v>
      </c>
      <c r="J47" s="12">
        <v>0</v>
      </c>
      <c r="K47" s="12">
        <f>ROUND(+'WP II-E-3.3'!K22*$E$37,2)</f>
        <v>-840.04999999999995</v>
      </c>
      <c r="L47" s="12">
        <v>0</v>
      </c>
      <c r="M47" s="12">
        <f>ROUND(+'WP II-E-3.3'!M22*$E$37,2)</f>
        <v>0</v>
      </c>
      <c r="N47" s="12">
        <v>0</v>
      </c>
      <c r="O47" s="12">
        <f t="shared" si="3"/>
        <v>-840.04999999999995</v>
      </c>
      <c r="P47" s="12">
        <f>ROUND(+'WP II-E-3.3'!P22*$E$37,2)</f>
        <v>-231.44</v>
      </c>
      <c r="Q47" s="12">
        <v>0</v>
      </c>
      <c r="R47" s="12">
        <f>ROUND(+'WP II-E-3.3'!R22*$E$37,2)</f>
        <v>-165.31999999999999</v>
      </c>
      <c r="S47" s="12">
        <v>0</v>
      </c>
      <c r="T47" s="12">
        <f>ROUND(+'WP II-E-3.3'!T22*$E$37,2)</f>
        <v>-118.08</v>
      </c>
      <c r="U47" s="12">
        <v>0</v>
      </c>
      <c r="V47" s="12">
        <f>+'WP II-E-3.3'!V22*$E$37</f>
        <v>0</v>
      </c>
      <c r="W47" s="12">
        <f>+'WP II-E-3.3'!W22*$E$37</f>
        <v>0</v>
      </c>
    </row>
    <row r="48" spans="1:23" ht="12.6">
      <c r="A48" s="8">
        <f t="shared" si="0"/>
        <v>37</v>
      </c>
      <c r="B48" s="14" t="s">
        <v>74</v>
      </c>
      <c r="C48" s="1" t="s">
        <v>75</v>
      </c>
      <c r="D48" s="8" t="s">
        <v>76</v>
      </c>
      <c r="E48" s="8" t="s">
        <v>52</v>
      </c>
      <c r="F48" s="12">
        <f>ROUND(+'WP II-E-3.3'!F23*$E$37,2)</f>
        <v>115972650.92</v>
      </c>
      <c r="G48" s="12">
        <f>ROUND(+'WP II-E-3.3'!G23*$E$37,2)</f>
        <v>229446610.72999999</v>
      </c>
      <c r="H48" s="12">
        <f>ROUND(+'WP II-E-3.3'!H23*$E$37,2)</f>
        <v>284105823.85000002</v>
      </c>
      <c r="I48" s="12">
        <v>0</v>
      </c>
      <c r="J48" s="12">
        <v>0</v>
      </c>
      <c r="K48" s="12">
        <f>ROUND(+'WP II-E-3.3'!K23*$E$37,2)</f>
        <v>359379979.24000001</v>
      </c>
      <c r="L48" s="12">
        <v>0</v>
      </c>
      <c r="M48" s="12">
        <f>ROUND(+'WP II-E-3.3'!M23*$E$37,2)</f>
        <v>376436900.27999997</v>
      </c>
      <c r="N48" s="12">
        <v>0</v>
      </c>
      <c r="O48" s="12">
        <f t="shared" si="3"/>
        <v>1365341965.02</v>
      </c>
      <c r="P48" s="12">
        <f>ROUND(+'WP II-E-3.3'!P23*$E$37,2)</f>
        <v>79196504.840000004</v>
      </c>
      <c r="Q48" s="12">
        <v>0</v>
      </c>
      <c r="R48" s="12">
        <f>ROUND(+'WP II-E-3.3'!R23*$E$37,2)</f>
        <v>87207810.060000002</v>
      </c>
      <c r="S48" s="12">
        <v>0</v>
      </c>
      <c r="T48" s="12">
        <f>ROUND(+'WP II-E-3.3'!T23*$E$37,2)</f>
        <v>80664185.769999996</v>
      </c>
      <c r="U48" s="12">
        <v>0</v>
      </c>
      <c r="V48" s="12">
        <f>+'WP II-E-3.3'!V23*$E$37</f>
        <v>0</v>
      </c>
      <c r="W48" s="12">
        <f>+'WP II-E-3.3'!W23*$E$37</f>
        <v>0</v>
      </c>
    </row>
    <row r="49" spans="1:23" ht="12.6">
      <c r="A49" s="8">
        <f t="shared" si="0"/>
        <v>38</v>
      </c>
      <c r="B49" s="1" t="s">
        <v>77</v>
      </c>
      <c r="C49" s="1" t="s">
        <v>78</v>
      </c>
      <c r="D49" s="8" t="s">
        <v>71</v>
      </c>
      <c r="E49" s="8" t="s">
        <v>52</v>
      </c>
      <c r="F49" s="12">
        <f>ROUND(+'WP II-E-3.3'!F24*$E$37,2)</f>
        <v>144409116.77000001</v>
      </c>
      <c r="G49" s="12">
        <f>ROUND(+'WP II-E-3.3'!G24*$E$37,2)</f>
        <v>293418143.62</v>
      </c>
      <c r="H49" s="12">
        <f>ROUND(+'WP II-E-3.3'!H24*$E$37,2)</f>
        <v>398160189.67000002</v>
      </c>
      <c r="I49" s="12">
        <v>0</v>
      </c>
      <c r="J49" s="12">
        <v>0</v>
      </c>
      <c r="K49" s="12">
        <f>ROUND(+'WP II-E-3.3'!K24*$E$37,2)</f>
        <v>491897099.80000001</v>
      </c>
      <c r="L49" s="12">
        <v>0</v>
      </c>
      <c r="M49" s="12">
        <f>ROUND(+'WP II-E-3.3'!M24*$E$37,2)</f>
        <v>484628681.93000001</v>
      </c>
      <c r="N49" s="12">
        <v>0</v>
      </c>
      <c r="O49" s="12">
        <f t="shared" si="3"/>
        <v>1812513231.79</v>
      </c>
      <c r="P49" s="12">
        <f>ROUND(+'WP II-E-3.3'!P24*$E$37,2)</f>
        <v>137791950.77000001</v>
      </c>
      <c r="Q49" s="12">
        <v>0</v>
      </c>
      <c r="R49" s="12">
        <f>ROUND(+'WP II-E-3.3'!R24*$E$37,2)</f>
        <v>148540708.28</v>
      </c>
      <c r="S49" s="12">
        <v>0</v>
      </c>
      <c r="T49" s="12">
        <f>ROUND(+'WP II-E-3.3'!T24*$E$37,2)</f>
        <v>133757435.28</v>
      </c>
      <c r="U49" s="12">
        <v>0</v>
      </c>
      <c r="V49" s="12">
        <f>+'WP II-E-3.3'!V24*$E$37</f>
        <v>0</v>
      </c>
      <c r="W49" s="12">
        <f>+'WP II-E-3.3'!W24*$E$37</f>
        <v>0</v>
      </c>
    </row>
    <row r="50" spans="1:23" ht="12.6">
      <c r="A50" s="8">
        <f t="shared" si="0"/>
        <v>39</v>
      </c>
      <c r="B50" s="1" t="s">
        <v>79</v>
      </c>
      <c r="C50" s="1" t="s">
        <v>80</v>
      </c>
      <c r="D50" s="8" t="s">
        <v>76</v>
      </c>
      <c r="E50" s="8" t="s">
        <v>52</v>
      </c>
      <c r="F50" s="12">
        <f>ROUND(+'WP II-E-3.3'!F25*$E$37,2)</f>
        <v>1309533.8300000001</v>
      </c>
      <c r="G50" s="12">
        <f>ROUND(+'WP II-E-3.3'!G25*$E$37,2)</f>
        <v>1003507.45</v>
      </c>
      <c r="H50" s="12">
        <f>ROUND(+'WP II-E-3.3'!H25*$E$37,2)</f>
        <v>4784295.4400000004</v>
      </c>
      <c r="I50" s="12">
        <v>0</v>
      </c>
      <c r="J50" s="12">
        <v>0</v>
      </c>
      <c r="K50" s="12">
        <f>ROUND(+'WP II-E-3.3'!K25*$E$37,2)</f>
        <v>5356959.2300000004</v>
      </c>
      <c r="L50" s="12">
        <v>0</v>
      </c>
      <c r="M50" s="12">
        <f>ROUND(+'WP II-E-3.3'!M25*$E$37,2)</f>
        <v>4806340.9299999997</v>
      </c>
      <c r="N50" s="12">
        <v>0</v>
      </c>
      <c r="O50" s="12">
        <f t="shared" si="3"/>
        <v>17260636.880000003</v>
      </c>
      <c r="P50" s="12">
        <f>ROUND(+'WP II-E-3.3'!P25*$E$37,2)</f>
        <v>1339204.1100000001</v>
      </c>
      <c r="Q50" s="12">
        <v>0</v>
      </c>
      <c r="R50" s="12">
        <f>ROUND(+'WP II-E-3.3'!R25*$E$37,2)</f>
        <v>1384245.1499999999</v>
      </c>
      <c r="S50" s="12">
        <v>0</v>
      </c>
      <c r="T50" s="12">
        <f>ROUND(+'WP II-E-3.3'!T25*$E$37,2)</f>
        <v>1191492.8600000001</v>
      </c>
      <c r="U50" s="12">
        <v>0</v>
      </c>
      <c r="V50" s="12">
        <f>+'WP II-E-3.3'!V25*$E$37</f>
        <v>0</v>
      </c>
      <c r="W50" s="12">
        <f>+'WP II-E-3.3'!W25*$E$37</f>
        <v>0</v>
      </c>
    </row>
    <row r="51" spans="1:23" ht="12.6">
      <c r="A51" s="8">
        <f t="shared" si="0"/>
        <v>40</v>
      </c>
      <c r="B51" s="1" t="s">
        <v>81</v>
      </c>
      <c r="C51" s="1" t="s">
        <v>82</v>
      </c>
      <c r="D51" s="8" t="s">
        <v>68</v>
      </c>
      <c r="E51" s="8" t="s">
        <v>52</v>
      </c>
      <c r="F51" s="12">
        <f>ROUND(+'WP II-E-3.3'!F26*$E$37,2)</f>
        <v>10870072.720000001</v>
      </c>
      <c r="G51" s="12">
        <f>ROUND(+'WP II-E-3.3'!G26*$E$37,2)</f>
        <v>28358373.93</v>
      </c>
      <c r="H51" s="12">
        <f>ROUND(+'WP II-E-3.3'!H26*$E$37,2)</f>
        <v>34593995.079999998</v>
      </c>
      <c r="I51" s="12">
        <v>0</v>
      </c>
      <c r="J51" s="12">
        <v>0</v>
      </c>
      <c r="K51" s="12">
        <f>ROUND(+'WP II-E-3.3'!K26*$E$37,2)</f>
        <v>37309550.140000001</v>
      </c>
      <c r="L51" s="12">
        <v>0</v>
      </c>
      <c r="M51" s="12">
        <f>ROUND(+'WP II-E-3.3'!M26*$E$37,2)</f>
        <v>39070605.920000002</v>
      </c>
      <c r="N51" s="12">
        <v>0</v>
      </c>
      <c r="O51" s="12">
        <f t="shared" si="3"/>
        <v>150202597.78999999</v>
      </c>
      <c r="P51" s="12">
        <f>ROUND(+'WP II-E-3.3'!P26*$E$37,2)</f>
        <v>12890577.4</v>
      </c>
      <c r="Q51" s="12">
        <v>0</v>
      </c>
      <c r="R51" s="12">
        <f>ROUND(+'WP II-E-3.3'!R26*$E$37,2)</f>
        <v>13814264.310000001</v>
      </c>
      <c r="S51" s="12">
        <v>0</v>
      </c>
      <c r="T51" s="12">
        <f>ROUND(+'WP II-E-3.3'!T26*$E$37,2)</f>
        <v>12356199.93</v>
      </c>
      <c r="U51" s="12">
        <v>0</v>
      </c>
      <c r="V51" s="12">
        <f>+'WP II-E-3.3'!V26*$E$37</f>
        <v>0</v>
      </c>
      <c r="W51" s="12">
        <f>+'WP II-E-3.3'!W26*$E$37</f>
        <v>0</v>
      </c>
    </row>
    <row r="52" spans="1:23" ht="12.6">
      <c r="A52" s="8">
        <f t="shared" si="0"/>
        <v>41</v>
      </c>
      <c r="B52" s="1" t="s">
        <v>83</v>
      </c>
      <c r="C52" s="1" t="s">
        <v>84</v>
      </c>
      <c r="D52" s="8" t="s">
        <v>51</v>
      </c>
      <c r="E52" s="8" t="s">
        <v>52</v>
      </c>
      <c r="F52" s="12">
        <f>ROUND(+'WP II-E-3.3'!F27*$E$37,2)</f>
        <v>4946978.0499999998</v>
      </c>
      <c r="G52" s="12">
        <f>ROUND(+'WP II-E-3.3'!G27*$E$37,2)</f>
        <v>8525619.7100000009</v>
      </c>
      <c r="H52" s="12">
        <f>ROUND(+'WP II-E-3.3'!H27*$E$37,2)</f>
        <v>10953854.66</v>
      </c>
      <c r="I52" s="12">
        <v>0</v>
      </c>
      <c r="J52" s="12">
        <v>0</v>
      </c>
      <c r="K52" s="12">
        <f>ROUND(+'WP II-E-3.3'!K27*$E$37,2)</f>
        <v>11522975.949999999</v>
      </c>
      <c r="L52" s="12">
        <v>0</v>
      </c>
      <c r="M52" s="12">
        <f>ROUND(+'WP II-E-3.3'!M27*$E$37,2)</f>
        <v>11155413.060000001</v>
      </c>
      <c r="N52" s="12">
        <v>0</v>
      </c>
      <c r="O52" s="12">
        <f t="shared" si="3"/>
        <v>47104841.430000007</v>
      </c>
      <c r="P52" s="12">
        <f>ROUND(+'WP II-E-3.3'!P27*$E$37,2)</f>
        <v>2910406.3500000001</v>
      </c>
      <c r="Q52" s="12">
        <v>0</v>
      </c>
      <c r="R52" s="12">
        <f>ROUND(+'WP II-E-3.3'!R27*$E$37,2)</f>
        <v>3080541.3199999998</v>
      </c>
      <c r="S52" s="12">
        <v>0</v>
      </c>
      <c r="T52" s="12">
        <f>ROUND(+'WP II-E-3.3'!T27*$E$37,2)</f>
        <v>2874448.6099999999</v>
      </c>
      <c r="U52" s="12">
        <v>0</v>
      </c>
      <c r="V52" s="12">
        <f>+'WP II-E-3.3'!V27*$E$37</f>
        <v>0</v>
      </c>
      <c r="W52" s="12">
        <f>+'WP II-E-3.3'!W27*$E$37</f>
        <v>0</v>
      </c>
    </row>
    <row r="53" spans="1:23" ht="12.6">
      <c r="A53" s="8">
        <f t="shared" si="0"/>
        <v>42</v>
      </c>
      <c r="B53" s="11" t="s">
        <v>85</v>
      </c>
      <c r="C53" s="1" t="s">
        <v>86</v>
      </c>
      <c r="D53" s="8" t="s">
        <v>55</v>
      </c>
      <c r="E53" s="8" t="s">
        <v>52</v>
      </c>
      <c r="F53" s="12">
        <f>ROUND(+'WP II-E-3.3'!F28*$E$37,2)</f>
        <v>1847372.1100000001</v>
      </c>
      <c r="G53" s="12">
        <f>ROUND(+'WP II-E-3.3'!G28*$E$37,2)</f>
        <v>2908871.96</v>
      </c>
      <c r="H53" s="12">
        <f>ROUND(+'WP II-E-3.3'!H28*$E$37,2)</f>
        <v>2261888.8900000001</v>
      </c>
      <c r="I53" s="12">
        <v>0</v>
      </c>
      <c r="J53" s="12">
        <v>0</v>
      </c>
      <c r="K53" s="12">
        <f>ROUND(+'WP II-E-3.3'!K28*$E$37,2)</f>
        <v>6483510.1799999997</v>
      </c>
      <c r="L53" s="12">
        <v>0</v>
      </c>
      <c r="M53" s="12">
        <f>ROUND(+'WP II-E-3.3'!M28*$E$37,2)</f>
        <v>4337189.8600000003</v>
      </c>
      <c r="N53" s="12">
        <v>0</v>
      </c>
      <c r="O53" s="12">
        <f t="shared" si="3"/>
        <v>17838833</v>
      </c>
      <c r="P53" s="12">
        <f>ROUND(+'WP II-E-3.3'!P28*$E$37,2)</f>
        <v>4179580.7999999998</v>
      </c>
      <c r="Q53" s="12">
        <v>0</v>
      </c>
      <c r="R53" s="12">
        <f>ROUND(+'WP II-E-3.3'!R28*$E$37,2)</f>
        <v>3562371.4399999999</v>
      </c>
      <c r="S53" s="12">
        <v>0</v>
      </c>
      <c r="T53" s="12">
        <f>ROUND(+'WP II-E-3.3'!T28*$E$37,2)</f>
        <v>2110419.0499999998</v>
      </c>
      <c r="U53" s="12">
        <v>0</v>
      </c>
      <c r="V53" s="12">
        <f>+'WP II-E-3.3'!V28*$E$37</f>
        <v>0</v>
      </c>
      <c r="W53" s="12">
        <f>+'WP II-E-3.3'!W28*$E$37</f>
        <v>0</v>
      </c>
    </row>
    <row r="54" spans="1:23" ht="12.6">
      <c r="A54" s="8">
        <f t="shared" si="0"/>
        <v>43</v>
      </c>
      <c r="B54" s="1" t="s">
        <v>87</v>
      </c>
      <c r="C54" s="1" t="s">
        <v>88</v>
      </c>
      <c r="D54" s="8" t="s">
        <v>89</v>
      </c>
      <c r="E54" s="8" t="s">
        <v>90</v>
      </c>
      <c r="F54" s="12">
        <f>ROUND(+'WP II-E-3.3'!F29*$E$37,2)</f>
        <v>7381295.8700000001</v>
      </c>
      <c r="G54" s="12">
        <f>ROUND(+'WP II-E-3.3'!G29*$E$37,2)</f>
        <v>0</v>
      </c>
      <c r="H54" s="12">
        <f>ROUND(+'WP II-E-3.3'!H29*$E$37,2)</f>
        <v>0</v>
      </c>
      <c r="I54" s="12">
        <v>0</v>
      </c>
      <c r="J54" s="12">
        <v>0</v>
      </c>
      <c r="K54" s="12">
        <f>ROUND(+'WP II-E-3.3'!K29*$E$37,2)</f>
        <v>0</v>
      </c>
      <c r="L54" s="12">
        <v>0</v>
      </c>
      <c r="M54" s="12">
        <f>ROUND(+'WP II-E-3.3'!M29*$E$37,2)</f>
        <v>0</v>
      </c>
      <c r="N54" s="12">
        <v>0</v>
      </c>
      <c r="O54" s="12">
        <f t="shared" si="3"/>
        <v>7381295.8700000001</v>
      </c>
      <c r="P54" s="12">
        <f>ROUND(+'WP II-E-3.3'!P29*$E$37,2)</f>
        <v>492037.17999999999</v>
      </c>
      <c r="Q54" s="12">
        <v>0</v>
      </c>
      <c r="R54" s="12">
        <f>ROUND(+'WP II-E-3.3'!R29*$E$37,2)</f>
        <v>492111</v>
      </c>
      <c r="S54" s="12">
        <v>0</v>
      </c>
      <c r="T54" s="12">
        <f>ROUND(+'WP II-E-3.3'!T29*$E$37,2)</f>
        <v>492111</v>
      </c>
      <c r="U54" s="12">
        <v>0</v>
      </c>
      <c r="V54" s="12">
        <f>+'WP II-E-3.3'!V29*$E$37</f>
        <v>0</v>
      </c>
      <c r="W54" s="12">
        <f>+'WP II-E-3.3'!W29*$E$37</f>
        <v>0</v>
      </c>
    </row>
    <row r="55" spans="1:23" ht="12.6">
      <c r="A55" s="8">
        <f t="shared" si="0"/>
        <v>44</v>
      </c>
      <c r="B55" s="1" t="s">
        <v>91</v>
      </c>
      <c r="C55" s="1" t="s">
        <v>92</v>
      </c>
      <c r="D55" s="8" t="s">
        <v>93</v>
      </c>
      <c r="E55" s="8" t="s">
        <v>90</v>
      </c>
      <c r="F55" s="12">
        <f>ROUND(+'WP II-E-3.3'!F30*$E$37,2)</f>
        <v>19857</v>
      </c>
      <c r="G55" s="12">
        <f>ROUND(+'WP II-E-3.3'!G30*$E$37,2)</f>
        <v>4631.3299999999999</v>
      </c>
      <c r="H55" s="12">
        <f>ROUND(+'WP II-E-3.3'!H30*$E$37,2)</f>
        <v>0</v>
      </c>
      <c r="I55" s="12">
        <v>0</v>
      </c>
      <c r="J55" s="12">
        <v>0</v>
      </c>
      <c r="K55" s="12">
        <f>ROUND(+'WP II-E-3.3'!K30*$E$37,2)</f>
        <v>11924549.25</v>
      </c>
      <c r="L55" s="12">
        <v>0</v>
      </c>
      <c r="M55" s="12">
        <f>ROUND(+'WP II-E-3.3'!M30*$E$37,2)</f>
        <v>71126.699999999997</v>
      </c>
      <c r="N55" s="12">
        <v>0</v>
      </c>
      <c r="O55" s="12">
        <f t="shared" si="3"/>
        <v>12020164.279999999</v>
      </c>
      <c r="P55" s="12">
        <f>ROUND(+'WP II-E-3.3'!P30*$E$37,2)</f>
        <v>307737.29999999999</v>
      </c>
      <c r="Q55" s="12">
        <v>0</v>
      </c>
      <c r="R55" s="12">
        <f>ROUND(+'WP II-E-3.3'!R30*$E$37,2)</f>
        <v>308197.04999999999</v>
      </c>
      <c r="S55" s="12">
        <v>0</v>
      </c>
      <c r="T55" s="12">
        <f>ROUND(+'WP II-E-3.3'!T30*$E$37,2)</f>
        <v>308197.20000000001</v>
      </c>
      <c r="U55" s="12">
        <v>0</v>
      </c>
      <c r="V55" s="12">
        <f>+'WP II-E-3.3'!V30*$E$37</f>
        <v>0</v>
      </c>
      <c r="W55" s="12">
        <f>+'WP II-E-3.3'!W30*$E$37</f>
        <v>0</v>
      </c>
    </row>
    <row r="56" spans="1:23" ht="12.6">
      <c r="A56" s="8">
        <f t="shared" si="0"/>
        <v>45</v>
      </c>
      <c r="B56" s="1" t="s">
        <v>94</v>
      </c>
      <c r="C56" s="1" t="s">
        <v>95</v>
      </c>
      <c r="D56" s="8" t="s">
        <v>96</v>
      </c>
      <c r="E56" s="8" t="s">
        <v>52</v>
      </c>
      <c r="F56" s="12">
        <f>ROUND(+'WP II-E-3.3'!F31*$E$37,2)</f>
        <v>571241.01000000001</v>
      </c>
      <c r="G56" s="12">
        <f>ROUND(+'WP II-E-3.3'!G31*$E$37,2)</f>
        <v>961557.12</v>
      </c>
      <c r="H56" s="12">
        <f>ROUND(+'WP II-E-3.3'!H31*$E$37,2)</f>
        <v>2845827.1000000001</v>
      </c>
      <c r="I56" s="12">
        <v>0</v>
      </c>
      <c r="J56" s="12">
        <v>0</v>
      </c>
      <c r="K56" s="12">
        <f>ROUND(+'WP II-E-3.3'!K31*$E$37,2)</f>
        <v>-51122.129999999997</v>
      </c>
      <c r="L56" s="12">
        <v>0</v>
      </c>
      <c r="M56" s="12">
        <f>ROUND(+'WP II-E-3.3'!M31*$E$37,2)</f>
        <v>3865287.1899999999</v>
      </c>
      <c r="N56" s="12">
        <v>0</v>
      </c>
      <c r="O56" s="12">
        <f t="shared" si="3"/>
        <v>8192790.290000001</v>
      </c>
      <c r="P56" s="12">
        <f>ROUND(+'WP II-E-3.3'!P31*$E$37,2)</f>
        <v>160697.85999999999</v>
      </c>
      <c r="Q56" s="12">
        <v>0</v>
      </c>
      <c r="R56" s="12">
        <f>ROUND(+'WP II-E-3.3'!R31*$E$37,2)</f>
        <v>215317.70000000001</v>
      </c>
      <c r="S56" s="12">
        <v>0</v>
      </c>
      <c r="T56" s="12">
        <f>ROUND(+'WP II-E-3.3'!T31*$E$37,2)</f>
        <v>211220.64000000001</v>
      </c>
      <c r="U56" s="12">
        <v>0</v>
      </c>
      <c r="V56" s="12">
        <f>+'WP II-E-3.3'!V31*$E$37</f>
        <v>0</v>
      </c>
      <c r="W56" s="12">
        <f>+'WP II-E-3.3'!W31*$E$37</f>
        <v>0</v>
      </c>
    </row>
    <row r="57" spans="1:23" ht="12.6">
      <c r="A57" s="8">
        <f t="shared" si="0"/>
        <v>46</v>
      </c>
      <c r="B57" s="1" t="s">
        <v>97</v>
      </c>
      <c r="C57" s="1" t="s">
        <v>98</v>
      </c>
      <c r="D57" s="8" t="s">
        <v>99</v>
      </c>
      <c r="E57" s="8" t="s">
        <v>52</v>
      </c>
      <c r="F57" s="12">
        <f>ROUND(+'WP II-E-3.3'!F32*$E$37,2)</f>
        <v>4952989.0099999998</v>
      </c>
      <c r="G57" s="12">
        <f>ROUND(+'WP II-E-3.3'!G32*$E$37,2)</f>
        <v>1757050.71</v>
      </c>
      <c r="H57" s="12">
        <f>ROUND(+'WP II-E-3.3'!H32*$E$37,2)</f>
        <v>8152806.25</v>
      </c>
      <c r="I57" s="12">
        <v>0</v>
      </c>
      <c r="J57" s="12">
        <v>0</v>
      </c>
      <c r="K57" s="12">
        <f>ROUND(+'WP II-E-3.3'!K32*$E$37,2)</f>
        <v>21699233.77</v>
      </c>
      <c r="L57" s="12">
        <v>0</v>
      </c>
      <c r="M57" s="12">
        <f>ROUND(+'WP II-E-3.3'!M32*$E$37,2)</f>
        <v>7193545.8700000001</v>
      </c>
      <c r="N57" s="12">
        <v>0</v>
      </c>
      <c r="O57" s="12">
        <f t="shared" si="3"/>
        <v>43755625.609999992</v>
      </c>
      <c r="P57" s="12">
        <f>ROUND(+'WP II-E-3.3'!P32*$E$37,2)</f>
        <v>3349837.7999999998</v>
      </c>
      <c r="Q57" s="12">
        <v>0</v>
      </c>
      <c r="R57" s="12">
        <f>ROUND(+'WP II-E-3.3'!R32*$E$37,2)</f>
        <v>3385672.7400000002</v>
      </c>
      <c r="S57" s="12">
        <v>0</v>
      </c>
      <c r="T57" s="12">
        <f>ROUND(+'WP II-E-3.3'!T32*$E$37,2)</f>
        <v>3053492.1299999999</v>
      </c>
      <c r="U57" s="12">
        <v>0</v>
      </c>
      <c r="V57" s="12">
        <f>+'WP II-E-3.3'!V32*$E$37</f>
        <v>0</v>
      </c>
      <c r="W57" s="12">
        <f>+'WP II-E-3.3'!W32*$E$37</f>
        <v>0</v>
      </c>
    </row>
    <row r="58" spans="1:23" ht="12.6">
      <c r="A58" s="8">
        <f t="shared" si="0"/>
        <v>47</v>
      </c>
      <c r="B58" s="1" t="s">
        <v>100</v>
      </c>
      <c r="C58" s="1" t="s">
        <v>101</v>
      </c>
      <c r="D58" s="8" t="s">
        <v>102</v>
      </c>
      <c r="F58" s="12">
        <f>ROUND(+'WP II-E-3.3'!F33*$E$37,2)</f>
        <v>3724117.5499999998</v>
      </c>
      <c r="G58" s="12">
        <f>ROUND(+'WP II-E-3.3'!G33*$E$37,2)</f>
        <v>13252847.01</v>
      </c>
      <c r="H58" s="12">
        <f>ROUND(+'WP II-E-3.3'!H33*$E$37,2)</f>
        <v>1412857.8799999999</v>
      </c>
      <c r="I58" s="12">
        <v>0</v>
      </c>
      <c r="J58" s="12">
        <v>0</v>
      </c>
      <c r="K58" s="12">
        <f>ROUND(+'WP II-E-3.3'!K33*$E$37,2)</f>
        <v>7160563.0999999996</v>
      </c>
      <c r="L58" s="12">
        <v>0</v>
      </c>
      <c r="M58" s="12">
        <f>ROUND(+'WP II-E-3.3'!M33*$E$37,2)</f>
        <v>15658753.94</v>
      </c>
      <c r="N58" s="12">
        <v>0</v>
      </c>
      <c r="O58" s="12">
        <f t="shared" si="3"/>
        <v>41209139.479999997</v>
      </c>
      <c r="P58" s="12">
        <f>ROUND(+'WP II-E-3.3'!P33*$E$37,2)</f>
        <v>0</v>
      </c>
      <c r="Q58" s="12">
        <v>0</v>
      </c>
      <c r="R58" s="12">
        <f>ROUND(+'WP II-E-3.3'!R33*$E$37,2)</f>
        <v>0</v>
      </c>
      <c r="S58" s="12">
        <v>0</v>
      </c>
      <c r="T58" s="12">
        <f>ROUND(+'WP II-E-3.3'!T33*$E$37,2)</f>
        <v>0</v>
      </c>
      <c r="U58" s="12">
        <v>0</v>
      </c>
      <c r="V58" s="12">
        <f>+'WP II-E-3.3'!V33*$E$37</f>
        <v>0</v>
      </c>
      <c r="W58" s="12">
        <f>+'WP II-E-3.3'!W33*$E$37</f>
        <v>0</v>
      </c>
    </row>
    <row r="59" spans="1:23" ht="12.6">
      <c r="A59" s="8">
        <f t="shared" si="0"/>
        <v>48</v>
      </c>
      <c r="B59" s="1" t="s">
        <v>103</v>
      </c>
      <c r="C59" s="1" t="s">
        <v>104</v>
      </c>
      <c r="D59" s="8" t="s">
        <v>93</v>
      </c>
      <c r="E59" s="8" t="s">
        <v>90</v>
      </c>
      <c r="F59" s="12">
        <f>ROUND(+'WP II-E-3.3'!F34*$E$37,2)</f>
        <v>10054724.109999999</v>
      </c>
      <c r="G59" s="12">
        <f>ROUND(+'WP II-E-3.3'!G34*$E$37,2)</f>
        <v>14475434.380000001</v>
      </c>
      <c r="H59" s="12">
        <f>ROUND(+'WP II-E-3.3'!H34*$E$37,2)</f>
        <v>13486036.65</v>
      </c>
      <c r="I59" s="12">
        <v>0</v>
      </c>
      <c r="J59" s="12">
        <v>0</v>
      </c>
      <c r="K59" s="12">
        <f>ROUND(+'WP II-E-3.3'!K34*$E$37,2)</f>
        <v>18586858.34</v>
      </c>
      <c r="L59" s="12">
        <v>0</v>
      </c>
      <c r="M59" s="12">
        <f>ROUND(+'WP II-E-3.3'!M34*$E$37,2)</f>
        <v>25649594.390000001</v>
      </c>
      <c r="N59" s="12">
        <v>0</v>
      </c>
      <c r="O59" s="12">
        <f t="shared" si="3"/>
        <v>82252647.870000005</v>
      </c>
      <c r="P59" s="12">
        <f>ROUND(+'WP II-E-3.3'!P34*$E$37,2)</f>
        <v>1670543.3500000001</v>
      </c>
      <c r="Q59" s="12">
        <v>0</v>
      </c>
      <c r="R59" s="12">
        <f>ROUND(+'WP II-E-3.3'!R34*$E$37,2)</f>
        <v>2107172.2400000002</v>
      </c>
      <c r="S59" s="12">
        <v>0</v>
      </c>
      <c r="T59" s="12">
        <f>ROUND(+'WP II-E-3.3'!T34*$E$37,2)</f>
        <v>2107206.3300000001</v>
      </c>
      <c r="U59" s="12">
        <v>0</v>
      </c>
      <c r="V59" s="12">
        <f>+'WP II-E-3.3'!V34*$E$37</f>
        <v>0</v>
      </c>
      <c r="W59" s="12">
        <f>+'WP II-E-3.3'!W34*$E$37</f>
        <v>0</v>
      </c>
    </row>
    <row r="60" spans="1:23" ht="12.95">
      <c r="A60" s="8">
        <f t="shared" si="0"/>
        <v>49</v>
      </c>
      <c r="B60" s="15" t="s">
        <v>106</v>
      </c>
      <c r="F60" s="22">
        <f>SUM(F38:F59)</f>
        <v>316473914.75000006</v>
      </c>
      <c r="G60" s="22">
        <f>SUM(G38:G59)</f>
        <v>608784658.99000013</v>
      </c>
      <c r="H60" s="22">
        <f t="shared" si="4" ref="H60:U60">SUM(H38:H59)</f>
        <v>773752662.29000008</v>
      </c>
      <c r="I60" s="22">
        <f t="shared" si="4"/>
        <v>0</v>
      </c>
      <c r="J60" s="22">
        <f t="shared" si="4"/>
        <v>0</v>
      </c>
      <c r="K60" s="22">
        <f t="shared" si="4"/>
        <v>1020834059.39</v>
      </c>
      <c r="L60" s="22">
        <f t="shared" si="4"/>
        <v>0</v>
      </c>
      <c r="M60" s="22">
        <f t="shared" si="4"/>
        <v>1004482116.24</v>
      </c>
      <c r="N60" s="22">
        <f t="shared" si="4"/>
        <v>0</v>
      </c>
      <c r="O60" s="22">
        <f t="shared" si="4"/>
        <v>3724327411.6599998</v>
      </c>
      <c r="P60" s="22">
        <f t="shared" si="4"/>
        <v>265593981.50000009</v>
      </c>
      <c r="Q60" s="22">
        <f t="shared" si="4"/>
        <v>0</v>
      </c>
      <c r="R60" s="22">
        <f t="shared" si="4"/>
        <v>281799156.67000002</v>
      </c>
      <c r="S60" s="22">
        <f t="shared" si="4"/>
        <v>0</v>
      </c>
      <c r="T60" s="22">
        <f t="shared" si="4"/>
        <v>251048992.16000003</v>
      </c>
      <c r="U60" s="22">
        <f t="shared" si="4"/>
        <v>0</v>
      </c>
      <c r="V60" s="22">
        <f>ROUND(+V35*$E$37,2)</f>
        <v>281404062.79000002</v>
      </c>
      <c r="W60" s="22">
        <v>0</v>
      </c>
    </row>
    <row r="61" spans="1:1" ht="12.6">
      <c r="A61" s="8">
        <f t="shared" si="0"/>
        <v>50</v>
      </c>
    </row>
    <row r="62" spans="1:7" ht="12.95">
      <c r="A62" s="8">
        <f t="shared" si="0"/>
        <v>51</v>
      </c>
      <c r="B62" s="20" t="s">
        <v>107</v>
      </c>
      <c r="C62" s="9"/>
      <c r="D62" s="9"/>
      <c r="E62" s="21">
        <f>+'[1]II-F Alloc_Factor'!$F$41</f>
        <v>0.92440611245451165</v>
      </c>
      <c r="F62" s="10"/>
      <c r="G62" s="10"/>
    </row>
    <row r="63" spans="1:21" ht="12.6">
      <c r="A63" s="8">
        <f t="shared" si="0"/>
        <v>52</v>
      </c>
      <c r="B63" s="11" t="s">
        <v>49</v>
      </c>
      <c r="C63" s="1" t="s">
        <v>50</v>
      </c>
      <c r="D63" s="8" t="s">
        <v>51</v>
      </c>
      <c r="E63" s="8" t="s">
        <v>52</v>
      </c>
      <c r="F63" s="12">
        <v>0</v>
      </c>
      <c r="G63" s="12">
        <v>0</v>
      </c>
      <c r="H63" s="12">
        <v>0</v>
      </c>
      <c r="I63" s="12">
        <f>ROUND(+I13*$E$62,2)</f>
        <v>3736570.46</v>
      </c>
      <c r="J63" s="12">
        <f>ROUND(+J13*$E$62,2)</f>
        <v>-1068749.74</v>
      </c>
      <c r="K63" s="12">
        <v>0</v>
      </c>
      <c r="L63" s="12">
        <f>ROUND(+L13*$E$62,2)</f>
        <v>21731.93</v>
      </c>
      <c r="M63" s="12">
        <v>0</v>
      </c>
      <c r="N63" s="12">
        <f>ROUND(+N13*$E$62,2)</f>
        <v>0</v>
      </c>
      <c r="O63" s="12">
        <f>SUM(F63:N63)</f>
        <v>2689552.6499999999</v>
      </c>
      <c r="P63" s="12">
        <v>0</v>
      </c>
      <c r="Q63" s="12">
        <f>ROUND(+Q13*$E$62,2)</f>
        <v>210970.60999999999</v>
      </c>
      <c r="R63" s="12">
        <v>0</v>
      </c>
      <c r="S63" s="12">
        <f>ROUND(+S13*$E$62,2)</f>
        <v>90141.509999999995</v>
      </c>
      <c r="T63" s="12">
        <v>0</v>
      </c>
      <c r="U63" s="12">
        <f>ROUND(+U13*$E$62,2)</f>
        <v>78590.720000000001</v>
      </c>
    </row>
    <row r="64" spans="1:21" ht="12.6">
      <c r="A64" s="8">
        <f t="shared" si="0"/>
        <v>53</v>
      </c>
      <c r="B64" s="11" t="s">
        <v>53</v>
      </c>
      <c r="C64" s="1" t="s">
        <v>54</v>
      </c>
      <c r="D64" s="8" t="s">
        <v>55</v>
      </c>
      <c r="E64" s="8" t="s">
        <v>52</v>
      </c>
      <c r="F64" s="12">
        <v>0</v>
      </c>
      <c r="G64" s="12">
        <v>0</v>
      </c>
      <c r="H64" s="12">
        <v>0</v>
      </c>
      <c r="I64" s="12">
        <f t="shared" si="5" ref="I64:J79">ROUND(+I14*$E$62,2)</f>
        <v>6778.25</v>
      </c>
      <c r="J64" s="12">
        <f t="shared" si="5"/>
        <v>0</v>
      </c>
      <c r="K64" s="12">
        <v>0</v>
      </c>
      <c r="L64" s="12">
        <f t="shared" si="6" ref="L64:L84">ROUND(+L14*$E$62,2)</f>
        <v>0</v>
      </c>
      <c r="M64" s="12">
        <v>0</v>
      </c>
      <c r="N64" s="12">
        <f t="shared" si="7" ref="N64:N84">ROUND(+N14*$E$62,2)</f>
        <v>0</v>
      </c>
      <c r="O64" s="12">
        <f t="shared" si="8" ref="O64:O84">SUM(F64:N64)</f>
        <v>6778.25</v>
      </c>
      <c r="P64" s="12">
        <v>0</v>
      </c>
      <c r="Q64" s="12">
        <f t="shared" si="9" ref="Q64:Q84">ROUND(+Q14*$E$62,2)</f>
        <v>420.45999999999998</v>
      </c>
      <c r="R64" s="12">
        <v>0</v>
      </c>
      <c r="S64" s="12">
        <f t="shared" si="10" ref="S64:S84">ROUND(+S14*$E$62,2)</f>
        <v>420.45999999999998</v>
      </c>
      <c r="T64" s="12">
        <v>0</v>
      </c>
      <c r="U64" s="12">
        <f t="shared" si="11" ref="U64:U84">ROUND(+U14*$E$62,2)</f>
        <v>420.45999999999998</v>
      </c>
    </row>
    <row r="65" spans="1:21" ht="12.6">
      <c r="A65" s="8">
        <f t="shared" si="0"/>
        <v>54</v>
      </c>
      <c r="B65" s="11" t="s">
        <v>56</v>
      </c>
      <c r="C65" s="1" t="s">
        <v>57</v>
      </c>
      <c r="D65" s="8" t="s">
        <v>55</v>
      </c>
      <c r="E65" s="8" t="s">
        <v>52</v>
      </c>
      <c r="F65" s="12">
        <v>0</v>
      </c>
      <c r="G65" s="12">
        <v>0</v>
      </c>
      <c r="H65" s="12">
        <v>0</v>
      </c>
      <c r="I65" s="12">
        <f t="shared" si="5"/>
        <v>0</v>
      </c>
      <c r="J65" s="12">
        <f t="shared" si="5"/>
        <v>0</v>
      </c>
      <c r="K65" s="12">
        <v>0</v>
      </c>
      <c r="L65" s="12">
        <f t="shared" si="6"/>
        <v>0</v>
      </c>
      <c r="M65" s="12">
        <v>0</v>
      </c>
      <c r="N65" s="12">
        <f t="shared" si="7"/>
        <v>0</v>
      </c>
      <c r="O65" s="12">
        <f t="shared" si="8"/>
        <v>0</v>
      </c>
      <c r="P65" s="12">
        <v>0</v>
      </c>
      <c r="Q65" s="12">
        <f t="shared" si="9"/>
        <v>0</v>
      </c>
      <c r="R65" s="12">
        <v>0</v>
      </c>
      <c r="S65" s="12">
        <f t="shared" si="10"/>
        <v>0</v>
      </c>
      <c r="T65" s="12">
        <v>0</v>
      </c>
      <c r="U65" s="12">
        <f t="shared" si="11"/>
        <v>0</v>
      </c>
    </row>
    <row r="66" spans="1:21" ht="12.6">
      <c r="A66" s="8">
        <f t="shared" si="0"/>
        <v>55</v>
      </c>
      <c r="B66" s="11" t="s">
        <v>58</v>
      </c>
      <c r="C66" s="1" t="s">
        <v>59</v>
      </c>
      <c r="D66" s="8" t="s">
        <v>55</v>
      </c>
      <c r="E66" s="8" t="s">
        <v>52</v>
      </c>
      <c r="F66" s="12">
        <v>0</v>
      </c>
      <c r="G66" s="12">
        <v>0</v>
      </c>
      <c r="H66" s="12">
        <v>0</v>
      </c>
      <c r="I66" s="12">
        <f t="shared" si="5"/>
        <v>0</v>
      </c>
      <c r="J66" s="12">
        <f t="shared" si="5"/>
        <v>0</v>
      </c>
      <c r="K66" s="12">
        <v>0</v>
      </c>
      <c r="L66" s="12">
        <f t="shared" si="6"/>
        <v>51294.230000000003</v>
      </c>
      <c r="M66" s="12">
        <v>0</v>
      </c>
      <c r="N66" s="12">
        <f t="shared" si="7"/>
        <v>0</v>
      </c>
      <c r="O66" s="12">
        <f t="shared" si="8"/>
        <v>51294.230000000003</v>
      </c>
      <c r="P66" s="12">
        <v>0</v>
      </c>
      <c r="Q66" s="12">
        <f t="shared" si="9"/>
        <v>13336.5</v>
      </c>
      <c r="R66" s="12">
        <v>0</v>
      </c>
      <c r="S66" s="12">
        <f t="shared" si="10"/>
        <v>8001.8999999999996</v>
      </c>
      <c r="T66" s="12">
        <v>0</v>
      </c>
      <c r="U66" s="12">
        <f t="shared" si="11"/>
        <v>5647.4899999999998</v>
      </c>
    </row>
    <row r="67" spans="1:21" ht="12.6">
      <c r="A67" s="8">
        <f t="shared" si="0"/>
        <v>56</v>
      </c>
      <c r="B67" s="11" t="s">
        <v>60</v>
      </c>
      <c r="C67" s="1" t="s">
        <v>61</v>
      </c>
      <c r="D67" s="8" t="s">
        <v>55</v>
      </c>
      <c r="E67" s="8" t="s">
        <v>52</v>
      </c>
      <c r="F67" s="12">
        <v>0</v>
      </c>
      <c r="G67" s="12">
        <v>0</v>
      </c>
      <c r="H67" s="12">
        <v>0</v>
      </c>
      <c r="I67" s="12">
        <f t="shared" si="5"/>
        <v>965579.58999999997</v>
      </c>
      <c r="J67" s="12">
        <f t="shared" si="5"/>
        <v>-65497.400000000001</v>
      </c>
      <c r="K67" s="12">
        <v>0</v>
      </c>
      <c r="L67" s="12">
        <f t="shared" si="6"/>
        <v>0</v>
      </c>
      <c r="M67" s="12">
        <v>0</v>
      </c>
      <c r="N67" s="12">
        <f t="shared" si="7"/>
        <v>0</v>
      </c>
      <c r="O67" s="12">
        <f t="shared" si="8"/>
        <v>900082.18999999994</v>
      </c>
      <c r="P67" s="12">
        <v>0</v>
      </c>
      <c r="Q67" s="12">
        <f t="shared" si="9"/>
        <v>49234.970000000001</v>
      </c>
      <c r="R67" s="12">
        <v>0</v>
      </c>
      <c r="S67" s="12">
        <f t="shared" si="10"/>
        <v>47753.410000000003</v>
      </c>
      <c r="T67" s="12">
        <v>0</v>
      </c>
      <c r="U67" s="12">
        <f t="shared" si="11"/>
        <v>47753.410000000003</v>
      </c>
    </row>
    <row r="68" spans="1:21" ht="12.6">
      <c r="A68" s="8">
        <f t="shared" si="0"/>
        <v>57</v>
      </c>
      <c r="B68" s="11" t="s">
        <v>62</v>
      </c>
      <c r="C68" s="1" t="s">
        <v>63</v>
      </c>
      <c r="D68" s="8" t="s">
        <v>55</v>
      </c>
      <c r="E68" s="8" t="s">
        <v>52</v>
      </c>
      <c r="F68" s="12">
        <v>0</v>
      </c>
      <c r="G68" s="12">
        <v>0</v>
      </c>
      <c r="H68" s="12">
        <v>0</v>
      </c>
      <c r="I68" s="12">
        <f t="shared" si="5"/>
        <v>0</v>
      </c>
      <c r="J68" s="12">
        <f t="shared" si="5"/>
        <v>0</v>
      </c>
      <c r="K68" s="12">
        <v>0</v>
      </c>
      <c r="L68" s="12">
        <f t="shared" si="6"/>
        <v>0</v>
      </c>
      <c r="M68" s="12">
        <v>0</v>
      </c>
      <c r="N68" s="12">
        <f t="shared" si="7"/>
        <v>0</v>
      </c>
      <c r="O68" s="12">
        <f t="shared" si="8"/>
        <v>0</v>
      </c>
      <c r="P68" s="12">
        <v>0</v>
      </c>
      <c r="Q68" s="12">
        <f t="shared" si="9"/>
        <v>0</v>
      </c>
      <c r="R68" s="12">
        <v>0</v>
      </c>
      <c r="S68" s="12">
        <f t="shared" si="10"/>
        <v>0</v>
      </c>
      <c r="T68" s="12">
        <v>0</v>
      </c>
      <c r="U68" s="12">
        <f t="shared" si="11"/>
        <v>0</v>
      </c>
    </row>
    <row r="69" spans="1:21" ht="12.6">
      <c r="A69" s="8">
        <f t="shared" si="0"/>
        <v>58</v>
      </c>
      <c r="B69" s="11" t="s">
        <v>64</v>
      </c>
      <c r="C69" s="1" t="s">
        <v>65</v>
      </c>
      <c r="D69" s="8" t="s">
        <v>55</v>
      </c>
      <c r="E69" s="8" t="s">
        <v>52</v>
      </c>
      <c r="F69" s="12">
        <v>0</v>
      </c>
      <c r="G69" s="12">
        <v>0</v>
      </c>
      <c r="H69" s="12">
        <v>0</v>
      </c>
      <c r="I69" s="12">
        <f t="shared" si="5"/>
        <v>0</v>
      </c>
      <c r="J69" s="12">
        <f t="shared" si="5"/>
        <v>0</v>
      </c>
      <c r="K69" s="12">
        <v>0</v>
      </c>
      <c r="L69" s="12">
        <f t="shared" si="6"/>
        <v>48909.370000000003</v>
      </c>
      <c r="M69" s="12">
        <v>0</v>
      </c>
      <c r="N69" s="12">
        <f t="shared" si="7"/>
        <v>0</v>
      </c>
      <c r="O69" s="12">
        <f t="shared" si="8"/>
        <v>48909.370000000003</v>
      </c>
      <c r="P69" s="12">
        <v>0</v>
      </c>
      <c r="Q69" s="12">
        <f t="shared" si="9"/>
        <v>18585.549999999999</v>
      </c>
      <c r="R69" s="12">
        <v>0</v>
      </c>
      <c r="S69" s="12">
        <f t="shared" si="10"/>
        <v>11151.33</v>
      </c>
      <c r="T69" s="12">
        <v>0</v>
      </c>
      <c r="U69" s="12">
        <f t="shared" si="11"/>
        <v>6690.8100000000004</v>
      </c>
    </row>
    <row r="70" spans="1:21" ht="12.6">
      <c r="A70" s="8">
        <f t="shared" si="0"/>
        <v>59</v>
      </c>
      <c r="B70" s="11" t="s">
        <v>66</v>
      </c>
      <c r="C70" s="1" t="s">
        <v>67</v>
      </c>
      <c r="D70" s="8" t="s">
        <v>68</v>
      </c>
      <c r="E70" s="8" t="s">
        <v>52</v>
      </c>
      <c r="F70" s="12">
        <v>0</v>
      </c>
      <c r="G70" s="12">
        <v>0</v>
      </c>
      <c r="H70" s="12">
        <v>0</v>
      </c>
      <c r="I70" s="12">
        <f t="shared" si="5"/>
        <v>0</v>
      </c>
      <c r="J70" s="12">
        <f t="shared" si="5"/>
        <v>0</v>
      </c>
      <c r="K70" s="12">
        <v>0</v>
      </c>
      <c r="L70" s="12">
        <f t="shared" si="6"/>
        <v>0</v>
      </c>
      <c r="M70" s="12">
        <v>0</v>
      </c>
      <c r="N70" s="12">
        <f t="shared" si="7"/>
        <v>0</v>
      </c>
      <c r="O70" s="12">
        <f t="shared" si="8"/>
        <v>0</v>
      </c>
      <c r="P70" s="12">
        <v>0</v>
      </c>
      <c r="Q70" s="12">
        <f t="shared" si="9"/>
        <v>0</v>
      </c>
      <c r="R70" s="12">
        <v>0</v>
      </c>
      <c r="S70" s="12">
        <f t="shared" si="10"/>
        <v>0</v>
      </c>
      <c r="T70" s="12">
        <v>0</v>
      </c>
      <c r="U70" s="12">
        <f t="shared" si="11"/>
        <v>0</v>
      </c>
    </row>
    <row r="71" spans="1:21" ht="12.75">
      <c r="A71" s="8">
        <f t="shared" si="0"/>
        <v>60</v>
      </c>
      <c r="B71" s="11" t="s">
        <v>69</v>
      </c>
      <c r="C71" s="1" t="s">
        <v>70</v>
      </c>
      <c r="D71" s="8" t="s">
        <v>71</v>
      </c>
      <c r="E71" s="8" t="s">
        <v>52</v>
      </c>
      <c r="F71" s="12">
        <v>0</v>
      </c>
      <c r="G71" s="12">
        <v>0</v>
      </c>
      <c r="H71" s="12">
        <v>0</v>
      </c>
      <c r="I71" s="12">
        <f t="shared" si="5"/>
        <v>8372404.8600000003</v>
      </c>
      <c r="J71" s="12">
        <f t="shared" si="5"/>
        <v>0</v>
      </c>
      <c r="K71" s="12">
        <v>0</v>
      </c>
      <c r="L71" s="12">
        <f t="shared" si="6"/>
        <v>0</v>
      </c>
      <c r="M71" s="12">
        <v>0</v>
      </c>
      <c r="N71" s="12">
        <f t="shared" si="7"/>
        <v>0</v>
      </c>
      <c r="O71" s="12">
        <f t="shared" si="8"/>
        <v>8372404.8600000003</v>
      </c>
      <c r="P71" s="12">
        <v>0</v>
      </c>
      <c r="Q71" s="12">
        <f t="shared" si="9"/>
        <v>545909.19999999995</v>
      </c>
      <c r="R71" s="12">
        <v>0</v>
      </c>
      <c r="S71" s="12">
        <f t="shared" si="10"/>
        <v>515411.21999999997</v>
      </c>
      <c r="T71" s="12">
        <v>0</v>
      </c>
      <c r="U71" s="12">
        <f t="shared" si="11"/>
        <v>494631.28000000003</v>
      </c>
    </row>
    <row r="72" spans="1:21" ht="12.75">
      <c r="A72" s="8">
        <f t="shared" si="0"/>
        <v>61</v>
      </c>
      <c r="B72" s="11" t="s">
        <v>72</v>
      </c>
      <c r="C72" s="1" t="s">
        <v>73</v>
      </c>
      <c r="D72" s="8" t="s">
        <v>51</v>
      </c>
      <c r="E72" s="8" t="s">
        <v>52</v>
      </c>
      <c r="F72" s="12">
        <v>0</v>
      </c>
      <c r="G72" s="12">
        <v>0</v>
      </c>
      <c r="H72" s="12">
        <v>0</v>
      </c>
      <c r="I72" s="12">
        <f t="shared" si="5"/>
        <v>0</v>
      </c>
      <c r="J72" s="12">
        <f t="shared" si="5"/>
        <v>0</v>
      </c>
      <c r="K72" s="12">
        <v>0</v>
      </c>
      <c r="L72" s="12">
        <f t="shared" si="6"/>
        <v>0</v>
      </c>
      <c r="M72" s="12">
        <v>0</v>
      </c>
      <c r="N72" s="12">
        <f t="shared" si="7"/>
        <v>0</v>
      </c>
      <c r="O72" s="12">
        <f t="shared" si="8"/>
        <v>0</v>
      </c>
      <c r="P72" s="12">
        <v>0</v>
      </c>
      <c r="Q72" s="12">
        <f t="shared" si="9"/>
        <v>0</v>
      </c>
      <c r="R72" s="12">
        <v>0</v>
      </c>
      <c r="S72" s="12">
        <f t="shared" si="10"/>
        <v>0</v>
      </c>
      <c r="T72" s="12">
        <v>0</v>
      </c>
      <c r="U72" s="12">
        <f t="shared" si="11"/>
        <v>0</v>
      </c>
    </row>
    <row r="73" spans="1:21" ht="12.75">
      <c r="A73" s="8">
        <f t="shared" si="0"/>
        <v>62</v>
      </c>
      <c r="B73" s="14" t="s">
        <v>74</v>
      </c>
      <c r="C73" s="1" t="s">
        <v>75</v>
      </c>
      <c r="D73" s="8" t="s">
        <v>76</v>
      </c>
      <c r="E73" s="8" t="s">
        <v>52</v>
      </c>
      <c r="F73" s="12">
        <v>0</v>
      </c>
      <c r="G73" s="12">
        <v>0</v>
      </c>
      <c r="H73" s="12">
        <v>0</v>
      </c>
      <c r="I73" s="12">
        <f t="shared" si="5"/>
        <v>64089029.729999997</v>
      </c>
      <c r="J73" s="12">
        <f t="shared" si="5"/>
        <v>-36149.190000000002</v>
      </c>
      <c r="K73" s="12">
        <v>0</v>
      </c>
      <c r="L73" s="12">
        <f t="shared" si="6"/>
        <v>-619785.71999999997</v>
      </c>
      <c r="M73" s="12">
        <v>0</v>
      </c>
      <c r="N73" s="12">
        <f t="shared" si="7"/>
        <v>69680.610000000001</v>
      </c>
      <c r="O73" s="12">
        <f t="shared" si="8"/>
        <v>63502775.43</v>
      </c>
      <c r="P73" s="12">
        <v>0</v>
      </c>
      <c r="Q73" s="12">
        <f t="shared" si="9"/>
        <v>2840115.1000000001</v>
      </c>
      <c r="R73" s="12">
        <v>0</v>
      </c>
      <c r="S73" s="12">
        <f t="shared" si="10"/>
        <v>2696446.3599999999</v>
      </c>
      <c r="T73" s="12">
        <v>0</v>
      </c>
      <c r="U73" s="12">
        <f t="shared" si="11"/>
        <v>2755613.0800000001</v>
      </c>
    </row>
    <row r="74" spans="1:21" ht="12.75">
      <c r="A74" s="8">
        <f t="shared" si="0"/>
        <v>63</v>
      </c>
      <c r="B74" s="1" t="s">
        <v>77</v>
      </c>
      <c r="C74" s="1" t="s">
        <v>78</v>
      </c>
      <c r="D74" s="8" t="s">
        <v>71</v>
      </c>
      <c r="E74" s="8" t="s">
        <v>52</v>
      </c>
      <c r="F74" s="12">
        <v>0</v>
      </c>
      <c r="G74" s="12">
        <v>0</v>
      </c>
      <c r="H74" s="12">
        <v>0</v>
      </c>
      <c r="I74" s="12">
        <f t="shared" si="5"/>
        <v>1048190269.09</v>
      </c>
      <c r="J74" s="12">
        <f t="shared" si="5"/>
        <v>7163528.3700000001</v>
      </c>
      <c r="K74" s="12">
        <v>0</v>
      </c>
      <c r="L74" s="12">
        <f t="shared" si="6"/>
        <v>4491008.7999999998</v>
      </c>
      <c r="M74" s="12">
        <v>0</v>
      </c>
      <c r="N74" s="12">
        <f t="shared" si="7"/>
        <v>-910700.14000000001</v>
      </c>
      <c r="O74" s="12">
        <f t="shared" si="8"/>
        <v>1058934106.12</v>
      </c>
      <c r="P74" s="12">
        <v>0</v>
      </c>
      <c r="Q74" s="12">
        <f t="shared" si="9"/>
        <v>69350530.900000006</v>
      </c>
      <c r="R74" s="12">
        <v>0</v>
      </c>
      <c r="S74" s="12">
        <f t="shared" si="10"/>
        <v>66307570.729999997</v>
      </c>
      <c r="T74" s="12">
        <v>0</v>
      </c>
      <c r="U74" s="12">
        <f t="shared" si="11"/>
        <v>64018017.509999998</v>
      </c>
    </row>
    <row r="75" spans="1:21" ht="12.75">
      <c r="A75" s="8">
        <f t="shared" si="0"/>
        <v>64</v>
      </c>
      <c r="B75" s="1" t="s">
        <v>79</v>
      </c>
      <c r="C75" s="1" t="s">
        <v>80</v>
      </c>
      <c r="D75" s="8" t="s">
        <v>76</v>
      </c>
      <c r="E75" s="8" t="s">
        <v>52</v>
      </c>
      <c r="F75" s="12">
        <v>0</v>
      </c>
      <c r="G75" s="12">
        <v>0</v>
      </c>
      <c r="H75" s="12">
        <v>0</v>
      </c>
      <c r="I75" s="12">
        <f t="shared" si="5"/>
        <v>0</v>
      </c>
      <c r="J75" s="12">
        <f t="shared" si="5"/>
        <v>0</v>
      </c>
      <c r="K75" s="12">
        <v>0</v>
      </c>
      <c r="L75" s="12">
        <f t="shared" si="6"/>
        <v>0</v>
      </c>
      <c r="M75" s="12">
        <v>0</v>
      </c>
      <c r="N75" s="12">
        <f t="shared" si="7"/>
        <v>0</v>
      </c>
      <c r="O75" s="12">
        <f t="shared" si="8"/>
        <v>0</v>
      </c>
      <c r="P75" s="12">
        <v>0</v>
      </c>
      <c r="Q75" s="12">
        <f t="shared" si="9"/>
        <v>0</v>
      </c>
      <c r="R75" s="12">
        <v>0</v>
      </c>
      <c r="S75" s="12">
        <f t="shared" si="10"/>
        <v>0</v>
      </c>
      <c r="T75" s="12">
        <v>0</v>
      </c>
      <c r="U75" s="12">
        <f t="shared" si="11"/>
        <v>0</v>
      </c>
    </row>
    <row r="76" spans="1:21" ht="12.75">
      <c r="A76" s="8">
        <f t="shared" si="0"/>
        <v>65</v>
      </c>
      <c r="B76" s="1" t="s">
        <v>81</v>
      </c>
      <c r="C76" s="1" t="s">
        <v>82</v>
      </c>
      <c r="D76" s="8" t="s">
        <v>68</v>
      </c>
      <c r="E76" s="8" t="s">
        <v>52</v>
      </c>
      <c r="F76" s="12">
        <v>0</v>
      </c>
      <c r="G76" s="12">
        <v>0</v>
      </c>
      <c r="H76" s="12">
        <v>0</v>
      </c>
      <c r="I76" s="12">
        <f t="shared" si="5"/>
        <v>0</v>
      </c>
      <c r="J76" s="12">
        <f t="shared" si="5"/>
        <v>15528.040000000001</v>
      </c>
      <c r="K76" s="12">
        <v>0</v>
      </c>
      <c r="L76" s="12">
        <f t="shared" si="6"/>
        <v>0</v>
      </c>
      <c r="M76" s="12">
        <v>0</v>
      </c>
      <c r="N76" s="12">
        <f t="shared" si="7"/>
        <v>0</v>
      </c>
      <c r="O76" s="12">
        <f t="shared" si="8"/>
        <v>15528.040000000001</v>
      </c>
      <c r="P76" s="12">
        <v>0</v>
      </c>
      <c r="Q76" s="12">
        <f t="shared" si="9"/>
        <v>1831.3800000000001</v>
      </c>
      <c r="R76" s="12">
        <v>0</v>
      </c>
      <c r="S76" s="12">
        <f t="shared" si="10"/>
        <v>1556.53</v>
      </c>
      <c r="T76" s="12">
        <v>0</v>
      </c>
      <c r="U76" s="12">
        <f t="shared" si="11"/>
        <v>1357.1500000000001</v>
      </c>
    </row>
    <row r="77" spans="1:21" ht="12.75">
      <c r="A77" s="8">
        <f t="shared" si="0"/>
        <v>66</v>
      </c>
      <c r="B77" s="1" t="s">
        <v>83</v>
      </c>
      <c r="C77" s="1" t="s">
        <v>84</v>
      </c>
      <c r="D77" s="8" t="s">
        <v>51</v>
      </c>
      <c r="E77" s="8" t="s">
        <v>52</v>
      </c>
      <c r="F77" s="12">
        <v>0</v>
      </c>
      <c r="G77" s="12">
        <v>0</v>
      </c>
      <c r="H77" s="12">
        <v>0</v>
      </c>
      <c r="I77" s="12">
        <f t="shared" si="5"/>
        <v>6703.9300000000003</v>
      </c>
      <c r="J77" s="12">
        <f t="shared" si="5"/>
        <v>0</v>
      </c>
      <c r="K77" s="12">
        <v>0</v>
      </c>
      <c r="L77" s="12">
        <f t="shared" si="6"/>
        <v>0</v>
      </c>
      <c r="M77" s="12">
        <v>0</v>
      </c>
      <c r="N77" s="12">
        <f t="shared" si="7"/>
        <v>0</v>
      </c>
      <c r="O77" s="12">
        <f t="shared" si="8"/>
        <v>6703.9300000000003</v>
      </c>
      <c r="P77" s="12">
        <v>0</v>
      </c>
      <c r="Q77" s="12">
        <f t="shared" si="9"/>
        <v>837.65999999999997</v>
      </c>
      <c r="R77" s="12">
        <v>0</v>
      </c>
      <c r="S77" s="12">
        <f t="shared" si="10"/>
        <v>598.32000000000005</v>
      </c>
      <c r="T77" s="12">
        <v>0</v>
      </c>
      <c r="U77" s="12">
        <f t="shared" si="11"/>
        <v>598.32000000000005</v>
      </c>
    </row>
    <row r="78" spans="1:21" ht="12.75">
      <c r="A78" s="8">
        <f t="shared" si="12" ref="A78:A141">+A77+1</f>
        <v>67</v>
      </c>
      <c r="B78" s="11" t="s">
        <v>85</v>
      </c>
      <c r="C78" s="1" t="s">
        <v>86</v>
      </c>
      <c r="D78" s="8" t="s">
        <v>55</v>
      </c>
      <c r="E78" s="8" t="s">
        <v>52</v>
      </c>
      <c r="F78" s="12">
        <v>0</v>
      </c>
      <c r="G78" s="12">
        <v>0</v>
      </c>
      <c r="H78" s="12">
        <v>0</v>
      </c>
      <c r="I78" s="12">
        <f t="shared" si="5"/>
        <v>2033282.6000000001</v>
      </c>
      <c r="J78" s="12">
        <f t="shared" si="5"/>
        <v>-1802066.8600000001</v>
      </c>
      <c r="K78" s="12">
        <v>0</v>
      </c>
      <c r="L78" s="12">
        <f t="shared" si="6"/>
        <v>0</v>
      </c>
      <c r="M78" s="12">
        <v>0</v>
      </c>
      <c r="N78" s="12">
        <f t="shared" si="7"/>
        <v>0</v>
      </c>
      <c r="O78" s="12">
        <f t="shared" si="8"/>
        <v>231215.73999999999</v>
      </c>
      <c r="P78" s="12">
        <v>0</v>
      </c>
      <c r="Q78" s="12">
        <f t="shared" si="9"/>
        <v>12477.190000000001</v>
      </c>
      <c r="R78" s="12">
        <v>0</v>
      </c>
      <c r="S78" s="12">
        <f t="shared" si="10"/>
        <v>11991.889999999999</v>
      </c>
      <c r="T78" s="12">
        <v>0</v>
      </c>
      <c r="U78" s="12">
        <f t="shared" si="11"/>
        <v>11899.200000000001</v>
      </c>
    </row>
    <row r="79" spans="1:21" ht="12.75">
      <c r="A79" s="8">
        <f t="shared" si="12"/>
        <v>68</v>
      </c>
      <c r="B79" s="1" t="s">
        <v>87</v>
      </c>
      <c r="C79" s="1" t="s">
        <v>88</v>
      </c>
      <c r="D79" s="8" t="s">
        <v>89</v>
      </c>
      <c r="E79" s="8" t="s">
        <v>90</v>
      </c>
      <c r="F79" s="12">
        <v>0</v>
      </c>
      <c r="G79" s="12">
        <v>0</v>
      </c>
      <c r="H79" s="12">
        <v>0</v>
      </c>
      <c r="I79" s="12">
        <f t="shared" si="5"/>
        <v>0</v>
      </c>
      <c r="J79" s="12">
        <f t="shared" si="5"/>
        <v>0</v>
      </c>
      <c r="K79" s="12">
        <v>0</v>
      </c>
      <c r="L79" s="12">
        <f t="shared" si="6"/>
        <v>0</v>
      </c>
      <c r="M79" s="12">
        <v>0</v>
      </c>
      <c r="N79" s="12">
        <f t="shared" si="7"/>
        <v>0</v>
      </c>
      <c r="O79" s="12">
        <f t="shared" si="8"/>
        <v>0</v>
      </c>
      <c r="P79" s="12">
        <v>0</v>
      </c>
      <c r="Q79" s="12">
        <f t="shared" si="9"/>
        <v>0</v>
      </c>
      <c r="R79" s="12">
        <v>0</v>
      </c>
      <c r="S79" s="12">
        <f t="shared" si="10"/>
        <v>0</v>
      </c>
      <c r="T79" s="12">
        <v>0</v>
      </c>
      <c r="U79" s="12">
        <f t="shared" si="11"/>
        <v>0</v>
      </c>
    </row>
    <row r="80" spans="1:21" ht="12.75">
      <c r="A80" s="8">
        <f t="shared" si="12"/>
        <v>69</v>
      </c>
      <c r="B80" s="1" t="s">
        <v>91</v>
      </c>
      <c r="C80" s="1" t="s">
        <v>92</v>
      </c>
      <c r="D80" s="8" t="s">
        <v>93</v>
      </c>
      <c r="E80" s="8" t="s">
        <v>90</v>
      </c>
      <c r="F80" s="12">
        <v>0</v>
      </c>
      <c r="G80" s="12">
        <v>0</v>
      </c>
      <c r="H80" s="12">
        <v>0</v>
      </c>
      <c r="I80" s="12">
        <f t="shared" si="13" ref="I80:J84">ROUND(+I30*$E$62,2)</f>
        <v>0</v>
      </c>
      <c r="J80" s="12">
        <f t="shared" si="13"/>
        <v>0</v>
      </c>
      <c r="K80" s="12">
        <v>0</v>
      </c>
      <c r="L80" s="12">
        <f t="shared" si="6"/>
        <v>0</v>
      </c>
      <c r="M80" s="12">
        <v>0</v>
      </c>
      <c r="N80" s="12">
        <f t="shared" si="7"/>
        <v>0</v>
      </c>
      <c r="O80" s="12">
        <f t="shared" si="8"/>
        <v>0</v>
      </c>
      <c r="P80" s="12">
        <v>0</v>
      </c>
      <c r="Q80" s="12">
        <f t="shared" si="9"/>
        <v>0</v>
      </c>
      <c r="R80" s="12">
        <v>0</v>
      </c>
      <c r="S80" s="12">
        <f t="shared" si="10"/>
        <v>0</v>
      </c>
      <c r="T80" s="12">
        <v>0</v>
      </c>
      <c r="U80" s="12">
        <f t="shared" si="11"/>
        <v>0</v>
      </c>
    </row>
    <row r="81" spans="1:21" ht="12.75">
      <c r="A81" s="8">
        <f t="shared" si="12"/>
        <v>70</v>
      </c>
      <c r="B81" s="1" t="s">
        <v>94</v>
      </c>
      <c r="C81" s="1" t="s">
        <v>95</v>
      </c>
      <c r="D81" s="8" t="s">
        <v>96</v>
      </c>
      <c r="E81" s="8" t="s">
        <v>52</v>
      </c>
      <c r="F81" s="12">
        <v>0</v>
      </c>
      <c r="G81" s="12">
        <v>0</v>
      </c>
      <c r="H81" s="12">
        <v>0</v>
      </c>
      <c r="I81" s="12">
        <f t="shared" si="13"/>
        <v>0</v>
      </c>
      <c r="J81" s="12">
        <f t="shared" si="13"/>
        <v>0</v>
      </c>
      <c r="K81" s="12">
        <v>0</v>
      </c>
      <c r="L81" s="12">
        <f t="shared" si="6"/>
        <v>0</v>
      </c>
      <c r="M81" s="12">
        <v>0</v>
      </c>
      <c r="N81" s="12">
        <f t="shared" si="7"/>
        <v>0</v>
      </c>
      <c r="O81" s="12">
        <f t="shared" si="8"/>
        <v>0</v>
      </c>
      <c r="P81" s="12">
        <v>0</v>
      </c>
      <c r="Q81" s="12">
        <f t="shared" si="9"/>
        <v>0</v>
      </c>
      <c r="R81" s="12">
        <v>0</v>
      </c>
      <c r="S81" s="12">
        <f t="shared" si="10"/>
        <v>0</v>
      </c>
      <c r="T81" s="12">
        <v>0</v>
      </c>
      <c r="U81" s="12">
        <f t="shared" si="11"/>
        <v>0</v>
      </c>
    </row>
    <row r="82" spans="1:21" ht="12.75">
      <c r="A82" s="8">
        <f t="shared" si="12"/>
        <v>71</v>
      </c>
      <c r="B82" s="1" t="s">
        <v>97</v>
      </c>
      <c r="C82" s="1" t="s">
        <v>98</v>
      </c>
      <c r="D82" s="8" t="s">
        <v>99</v>
      </c>
      <c r="E82" s="8" t="s">
        <v>52</v>
      </c>
      <c r="F82" s="12">
        <v>0</v>
      </c>
      <c r="G82" s="12">
        <v>0</v>
      </c>
      <c r="H82" s="12">
        <v>0</v>
      </c>
      <c r="I82" s="12">
        <f t="shared" si="13"/>
        <v>92452042.290000007</v>
      </c>
      <c r="J82" s="12">
        <f t="shared" si="13"/>
        <v>0</v>
      </c>
      <c r="K82" s="12">
        <v>0</v>
      </c>
      <c r="L82" s="12">
        <f t="shared" si="6"/>
        <v>0</v>
      </c>
      <c r="M82" s="12">
        <v>0</v>
      </c>
      <c r="N82" s="12">
        <f t="shared" si="7"/>
        <v>5316458.5499999998</v>
      </c>
      <c r="O82" s="12">
        <f t="shared" si="8"/>
        <v>97768500.840000004</v>
      </c>
      <c r="P82" s="12">
        <v>0</v>
      </c>
      <c r="Q82" s="12">
        <f t="shared" si="9"/>
        <v>1417542.73</v>
      </c>
      <c r="R82" s="12">
        <v>0</v>
      </c>
      <c r="S82" s="12">
        <f t="shared" si="10"/>
        <v>1594999.98</v>
      </c>
      <c r="T82" s="12">
        <v>0</v>
      </c>
      <c r="U82" s="12">
        <f t="shared" si="11"/>
        <v>1564317.6699999999</v>
      </c>
    </row>
    <row r="83" spans="1:21" ht="12.75">
      <c r="A83" s="8">
        <f t="shared" si="12"/>
        <v>72</v>
      </c>
      <c r="B83" s="1" t="s">
        <v>100</v>
      </c>
      <c r="C83" s="1" t="s">
        <v>101</v>
      </c>
      <c r="D83" s="8" t="s">
        <v>102</v>
      </c>
      <c r="F83" s="12">
        <v>0</v>
      </c>
      <c r="G83" s="12">
        <v>0</v>
      </c>
      <c r="H83" s="12">
        <v>0</v>
      </c>
      <c r="I83" s="12">
        <f t="shared" si="13"/>
        <v>50637317.170000002</v>
      </c>
      <c r="J83" s="12">
        <f t="shared" si="13"/>
        <v>-2991205.5699999998</v>
      </c>
      <c r="K83" s="12">
        <v>0</v>
      </c>
      <c r="L83" s="12">
        <f t="shared" si="6"/>
        <v>0</v>
      </c>
      <c r="M83" s="12">
        <v>0</v>
      </c>
      <c r="N83" s="12">
        <f t="shared" si="7"/>
        <v>-5316458.5499999998</v>
      </c>
      <c r="O83" s="12">
        <f t="shared" si="8"/>
        <v>42329653.050000004</v>
      </c>
      <c r="P83" s="12">
        <v>0</v>
      </c>
      <c r="Q83" s="12">
        <f t="shared" si="9"/>
        <v>0</v>
      </c>
      <c r="R83" s="12">
        <v>0</v>
      </c>
      <c r="S83" s="12">
        <f t="shared" si="10"/>
        <v>0</v>
      </c>
      <c r="T83" s="12">
        <v>0</v>
      </c>
      <c r="U83" s="12">
        <f t="shared" si="11"/>
        <v>0</v>
      </c>
    </row>
    <row r="84" spans="1:21" ht="12.75">
      <c r="A84" s="8">
        <f t="shared" si="12"/>
        <v>73</v>
      </c>
      <c r="B84" s="1" t="s">
        <v>103</v>
      </c>
      <c r="C84" s="1" t="s">
        <v>104</v>
      </c>
      <c r="D84" s="8" t="s">
        <v>93</v>
      </c>
      <c r="E84" s="8" t="s">
        <v>90</v>
      </c>
      <c r="F84" s="12">
        <v>0</v>
      </c>
      <c r="G84" s="12">
        <v>0</v>
      </c>
      <c r="H84" s="12">
        <v>0</v>
      </c>
      <c r="I84" s="12">
        <f t="shared" si="13"/>
        <v>123588185.43000001</v>
      </c>
      <c r="J84" s="12">
        <f t="shared" si="13"/>
        <v>-647168.14000000001</v>
      </c>
      <c r="K84" s="12">
        <v>0</v>
      </c>
      <c r="L84" s="12">
        <f t="shared" si="6"/>
        <v>1059405.28</v>
      </c>
      <c r="M84" s="12">
        <v>0</v>
      </c>
      <c r="N84" s="12">
        <f t="shared" si="7"/>
        <v>-198747.31</v>
      </c>
      <c r="O84" s="12">
        <f t="shared" si="8"/>
        <v>123801675.26000001</v>
      </c>
      <c r="P84" s="12">
        <v>0</v>
      </c>
      <c r="Q84" s="12">
        <f t="shared" si="9"/>
        <v>3075900.6499999999</v>
      </c>
      <c r="R84" s="12">
        <v>0</v>
      </c>
      <c r="S84" s="12">
        <f t="shared" si="10"/>
        <v>3025394.29</v>
      </c>
      <c r="T84" s="12">
        <v>0</v>
      </c>
      <c r="U84" s="12">
        <f t="shared" si="11"/>
        <v>3010524.4399999999</v>
      </c>
    </row>
    <row r="85" spans="1:23" ht="12.75">
      <c r="A85" s="8">
        <f t="shared" si="12"/>
        <v>74</v>
      </c>
      <c r="B85" s="15" t="s">
        <v>108</v>
      </c>
      <c r="F85" s="22">
        <f>SUM(F63:F84)</f>
        <v>0</v>
      </c>
      <c r="G85" s="22">
        <f t="shared" si="14" ref="G85:V85">SUM(G63:G84)</f>
        <v>0</v>
      </c>
      <c r="H85" s="22">
        <f t="shared" si="14"/>
        <v>0</v>
      </c>
      <c r="I85" s="22">
        <f t="shared" si="14"/>
        <v>1394078163.4000001</v>
      </c>
      <c r="J85" s="22">
        <f t="shared" si="14"/>
        <v>568219.50999999989</v>
      </c>
      <c r="K85" s="22">
        <f t="shared" si="14"/>
        <v>0</v>
      </c>
      <c r="L85" s="22">
        <f t="shared" si="14"/>
        <v>5052563.8899999997</v>
      </c>
      <c r="M85" s="22">
        <f t="shared" si="14"/>
        <v>0</v>
      </c>
      <c r="N85" s="22">
        <f t="shared" si="14"/>
        <v>-1039766.8400000003</v>
      </c>
      <c r="O85" s="22">
        <f t="shared" si="14"/>
        <v>1398659179.9599998</v>
      </c>
      <c r="P85" s="22">
        <f t="shared" si="14"/>
        <v>0</v>
      </c>
      <c r="Q85" s="22">
        <f t="shared" si="14"/>
        <v>77537692.900000006</v>
      </c>
      <c r="R85" s="22">
        <f t="shared" si="14"/>
        <v>0</v>
      </c>
      <c r="S85" s="22">
        <f t="shared" si="14"/>
        <v>74311437.930000007</v>
      </c>
      <c r="T85" s="22">
        <f t="shared" si="14"/>
        <v>0</v>
      </c>
      <c r="U85" s="22">
        <f t="shared" si="14"/>
        <v>71996061.539999992</v>
      </c>
      <c r="V85" s="22">
        <f t="shared" si="14"/>
        <v>0</v>
      </c>
      <c r="W85" s="22">
        <f>ROUND(W35*$E$62,2)</f>
        <v>129296278.53</v>
      </c>
    </row>
    <row r="86" spans="1:1" ht="12.75">
      <c r="A86" s="8">
        <f t="shared" si="12"/>
        <v>75</v>
      </c>
    </row>
    <row r="87" spans="1:7" ht="12.75">
      <c r="A87" s="8">
        <f t="shared" si="12"/>
        <v>76</v>
      </c>
      <c r="B87" s="20" t="s">
        <v>109</v>
      </c>
      <c r="C87" s="9"/>
      <c r="D87" s="9"/>
      <c r="E87" s="21">
        <f>+'[1]II-F Alloc_Factor'!$G$40</f>
        <v>0.00059225955215527976</v>
      </c>
      <c r="F87" s="10"/>
      <c r="G87" s="10"/>
    </row>
    <row r="88" spans="1:22" ht="12.75">
      <c r="A88" s="8">
        <f t="shared" si="12"/>
        <v>77</v>
      </c>
      <c r="B88" s="11" t="s">
        <v>49</v>
      </c>
      <c r="C88" s="1" t="s">
        <v>50</v>
      </c>
      <c r="D88" s="8" t="s">
        <v>51</v>
      </c>
      <c r="E88" s="8" t="s">
        <v>52</v>
      </c>
      <c r="F88" s="12">
        <f>ROUND(+'WP II-E-3.3'!F13*$E$87,2)</f>
        <v>590.80999999999995</v>
      </c>
      <c r="G88" s="12">
        <f>ROUND(+'WP II-E-3.3'!G13*$E$87,2)</f>
        <v>744.28999999999996</v>
      </c>
      <c r="H88" s="12">
        <f>ROUND(+'WP II-E-3.3'!H13*$E$87,2)</f>
        <v>1551.8499999999999</v>
      </c>
      <c r="I88" s="12">
        <v>0</v>
      </c>
      <c r="J88" s="12">
        <v>0</v>
      </c>
      <c r="K88" s="12">
        <f>ROUND(+'WP II-E-3.3'!K13*$E$87,2)</f>
        <v>6699.1400000000003</v>
      </c>
      <c r="L88" s="12">
        <v>0</v>
      </c>
      <c r="M88" s="12">
        <f>ROUND(+'WP II-E-3.3'!M13*$E$87,2)</f>
        <v>2945.5799999999999</v>
      </c>
      <c r="N88" s="12">
        <v>0</v>
      </c>
      <c r="O88" s="12">
        <f>SUM(F88:N88)</f>
        <v>12531.67</v>
      </c>
      <c r="P88" s="12">
        <f>ROUND(+'WP II-E-3.3'!P13*$E$87,2)</f>
        <v>2663.1100000000001</v>
      </c>
      <c r="Q88" s="12">
        <v>0</v>
      </c>
      <c r="R88" s="12">
        <f>ROUND(+'WP II-E-3.3'!R13*$E$87,2)</f>
        <v>2332.02</v>
      </c>
      <c r="S88" s="12">
        <v>0</v>
      </c>
      <c r="T88" s="12">
        <f>ROUND(+'WP II-E-3.3'!T13*$E$87,2)</f>
        <v>1699.3499999999999</v>
      </c>
      <c r="U88" s="12">
        <v>0</v>
      </c>
      <c r="V88" s="12"/>
    </row>
    <row r="89" spans="1:22" ht="12.75">
      <c r="A89" s="8">
        <f t="shared" si="12"/>
        <v>78</v>
      </c>
      <c r="B89" s="11" t="s">
        <v>53</v>
      </c>
      <c r="C89" s="1" t="s">
        <v>54</v>
      </c>
      <c r="D89" s="8" t="s">
        <v>55</v>
      </c>
      <c r="E89" s="8" t="s">
        <v>52</v>
      </c>
      <c r="F89" s="12">
        <f>ROUND(+'WP II-E-3.3'!F14*$E$87,2)</f>
        <v>7279.0799999999999</v>
      </c>
      <c r="G89" s="12">
        <f>ROUND(+'WP II-E-3.3'!G14*$E$87,2)</f>
        <v>3349.7600000000002</v>
      </c>
      <c r="H89" s="12">
        <f>ROUND(+'WP II-E-3.3'!H14*$E$87,2)</f>
        <v>6279.1999999999998</v>
      </c>
      <c r="I89" s="12">
        <v>0</v>
      </c>
      <c r="J89" s="12">
        <v>0</v>
      </c>
      <c r="K89" s="12">
        <f>ROUND(+'WP II-E-3.3'!K14*$E$87,2)</f>
        <v>36553.730000000003</v>
      </c>
      <c r="L89" s="12">
        <v>0</v>
      </c>
      <c r="M89" s="12">
        <f>ROUND(+'WP II-E-3.3'!M14*$E$87,2)</f>
        <v>8965.3799999999992</v>
      </c>
      <c r="N89" s="12">
        <v>0</v>
      </c>
      <c r="O89" s="12">
        <f t="shared" si="15" ref="O89:O109">SUM(F89:N89)</f>
        <v>62427.150000000001</v>
      </c>
      <c r="P89" s="12">
        <f>ROUND(+'WP II-E-3.3'!P14*$E$87,2)</f>
        <v>17954.349999999999</v>
      </c>
      <c r="Q89" s="12">
        <v>0</v>
      </c>
      <c r="R89" s="12">
        <f>ROUND(+'WP II-E-3.3'!R14*$E$87,2)</f>
        <v>13117.57</v>
      </c>
      <c r="S89" s="12">
        <v>0</v>
      </c>
      <c r="T89" s="12">
        <f>ROUND(+'WP II-E-3.3'!T14*$E$87,2)</f>
        <v>7605.1700000000001</v>
      </c>
      <c r="U89" s="12">
        <v>0</v>
      </c>
      <c r="V89" s="12"/>
    </row>
    <row r="90" spans="1:22" ht="12.75">
      <c r="A90" s="8">
        <f t="shared" si="12"/>
        <v>79</v>
      </c>
      <c r="B90" s="11" t="s">
        <v>56</v>
      </c>
      <c r="C90" s="1" t="s">
        <v>57</v>
      </c>
      <c r="D90" s="8" t="s">
        <v>55</v>
      </c>
      <c r="E90" s="8" t="s">
        <v>52</v>
      </c>
      <c r="F90" s="12">
        <f>ROUND(+'WP II-E-3.3'!F15*$E$87,2)</f>
        <v>0</v>
      </c>
      <c r="G90" s="12">
        <f>ROUND(+'WP II-E-3.3'!G15*$E$87,2)</f>
        <v>1550.3399999999999</v>
      </c>
      <c r="H90" s="12">
        <f>ROUND(+'WP II-E-3.3'!H15*$E$87,2)</f>
        <v>983.13999999999999</v>
      </c>
      <c r="I90" s="12">
        <v>0</v>
      </c>
      <c r="J90" s="12">
        <v>0</v>
      </c>
      <c r="K90" s="12">
        <f>ROUND(+'WP II-E-3.3'!K15*$E$87,2)</f>
        <v>0</v>
      </c>
      <c r="L90" s="12">
        <v>0</v>
      </c>
      <c r="M90" s="12">
        <f>ROUND(+'WP II-E-3.3'!M15*$E$87,2)</f>
        <v>0</v>
      </c>
      <c r="N90" s="12">
        <v>0</v>
      </c>
      <c r="O90" s="12">
        <f t="shared" si="15"/>
        <v>2533.48</v>
      </c>
      <c r="P90" s="12">
        <f>ROUND(+'WP II-E-3.3'!P15*$E$87,2)</f>
        <v>367.36000000000001</v>
      </c>
      <c r="Q90" s="12">
        <v>0</v>
      </c>
      <c r="R90" s="12">
        <f>ROUND(+'WP II-E-3.3'!R15*$E$87,2)</f>
        <v>291.86000000000001</v>
      </c>
      <c r="S90" s="12">
        <v>0</v>
      </c>
      <c r="T90" s="12">
        <f>ROUND(+'WP II-E-3.3'!T15*$E$87,2)</f>
        <v>202.56</v>
      </c>
      <c r="U90" s="12">
        <v>0</v>
      </c>
      <c r="V90" s="12"/>
    </row>
    <row r="91" spans="1:22" ht="12.75">
      <c r="A91" s="8">
        <f t="shared" si="12"/>
        <v>80</v>
      </c>
      <c r="B91" s="11" t="s">
        <v>58</v>
      </c>
      <c r="C91" s="1" t="s">
        <v>59</v>
      </c>
      <c r="D91" s="8" t="s">
        <v>55</v>
      </c>
      <c r="E91" s="8" t="s">
        <v>52</v>
      </c>
      <c r="F91" s="12">
        <f>ROUND(+'WP II-E-3.3'!F16*$E$87,2)</f>
        <v>377.06999999999999</v>
      </c>
      <c r="G91" s="12">
        <f>ROUND(+'WP II-E-3.3'!G16*$E$87,2)</f>
        <v>194.72999999999999</v>
      </c>
      <c r="H91" s="12">
        <f>ROUND(+'WP II-E-3.3'!H16*$E$87,2)</f>
        <v>327.58999999999997</v>
      </c>
      <c r="I91" s="12">
        <v>0</v>
      </c>
      <c r="J91" s="12">
        <v>0</v>
      </c>
      <c r="K91" s="12">
        <f>ROUND(+'WP II-E-3.3'!K16*$E$87,2)</f>
        <v>1227.5999999999999</v>
      </c>
      <c r="L91" s="12">
        <v>0</v>
      </c>
      <c r="M91" s="12">
        <f>ROUND(+'WP II-E-3.3'!M16*$E$87,2)</f>
        <v>593.95000000000005</v>
      </c>
      <c r="N91" s="12">
        <v>0</v>
      </c>
      <c r="O91" s="12">
        <f t="shared" si="15"/>
        <v>2720.9399999999996</v>
      </c>
      <c r="P91" s="12">
        <f>ROUND(+'WP II-E-3.3'!P16*$E$87,2)</f>
        <v>701.32000000000005</v>
      </c>
      <c r="Q91" s="12">
        <v>0</v>
      </c>
      <c r="R91" s="12">
        <f>ROUND(+'WP II-E-3.3'!R16*$E$87,2)</f>
        <v>556.76999999999998</v>
      </c>
      <c r="S91" s="12">
        <v>0</v>
      </c>
      <c r="T91" s="12">
        <f>ROUND(+'WP II-E-3.3'!T16*$E$87,2)</f>
        <v>327.82999999999998</v>
      </c>
      <c r="U91" s="12">
        <v>0</v>
      </c>
      <c r="V91" s="12"/>
    </row>
    <row r="92" spans="1:22" ht="12.75">
      <c r="A92" s="8">
        <f t="shared" si="12"/>
        <v>81</v>
      </c>
      <c r="B92" s="11" t="s">
        <v>60</v>
      </c>
      <c r="C92" s="1" t="s">
        <v>61</v>
      </c>
      <c r="D92" s="8" t="s">
        <v>55</v>
      </c>
      <c r="E92" s="8" t="s">
        <v>52</v>
      </c>
      <c r="F92" s="12">
        <f>ROUND(+'WP II-E-3.3'!F17*$E$87,2)</f>
        <v>1301.01</v>
      </c>
      <c r="G92" s="12">
        <f>ROUND(+'WP II-E-3.3'!G17*$E$87,2)</f>
        <v>183.66</v>
      </c>
      <c r="H92" s="12">
        <f>ROUND(+'WP II-E-3.3'!H17*$E$87,2)</f>
        <v>0</v>
      </c>
      <c r="I92" s="12">
        <v>0</v>
      </c>
      <c r="J92" s="12">
        <v>0</v>
      </c>
      <c r="K92" s="12">
        <f>ROUND(+'WP II-E-3.3'!K17*$E$87,2)</f>
        <v>0.70999999999999996</v>
      </c>
      <c r="L92" s="12">
        <v>0</v>
      </c>
      <c r="M92" s="12">
        <f>ROUND(+'WP II-E-3.3'!M17*$E$87,2)</f>
        <v>0</v>
      </c>
      <c r="N92" s="12">
        <v>0</v>
      </c>
      <c r="O92" s="12">
        <f t="shared" si="15"/>
        <v>1485.3800000000001</v>
      </c>
      <c r="P92" s="12">
        <f>ROUND(+'WP II-E-3.3'!P17*$E$87,2)</f>
        <v>156.63999999999999</v>
      </c>
      <c r="Q92" s="12">
        <v>0</v>
      </c>
      <c r="R92" s="12">
        <f>ROUND(+'WP II-E-3.3'!R17*$E$87,2)</f>
        <v>136.22</v>
      </c>
      <c r="S92" s="12">
        <v>0</v>
      </c>
      <c r="T92" s="12">
        <f>ROUND(+'WP II-E-3.3'!T17*$E$87,2)</f>
        <v>10.66</v>
      </c>
      <c r="U92" s="12">
        <v>0</v>
      </c>
      <c r="V92" s="12"/>
    </row>
    <row r="93" spans="1:22" ht="12.75">
      <c r="A93" s="8">
        <f t="shared" si="12"/>
        <v>82</v>
      </c>
      <c r="B93" s="11" t="s">
        <v>62</v>
      </c>
      <c r="C93" s="1" t="s">
        <v>63</v>
      </c>
      <c r="D93" s="8" t="s">
        <v>55</v>
      </c>
      <c r="E93" s="8" t="s">
        <v>52</v>
      </c>
      <c r="F93" s="12">
        <f>ROUND(+'WP II-E-3.3'!F18*$E$87,2)</f>
        <v>401.66000000000002</v>
      </c>
      <c r="G93" s="12">
        <f>ROUND(+'WP II-E-3.3'!G18*$E$87,2)</f>
        <v>216.43000000000001</v>
      </c>
      <c r="H93" s="12">
        <f>ROUND(+'WP II-E-3.3'!H18*$E$87,2)</f>
        <v>0</v>
      </c>
      <c r="I93" s="12">
        <v>0</v>
      </c>
      <c r="J93" s="12">
        <v>0</v>
      </c>
      <c r="K93" s="12">
        <f>ROUND(+'WP II-E-3.3'!K18*$E$87,2)</f>
        <v>194.38999999999999</v>
      </c>
      <c r="L93" s="12">
        <v>0</v>
      </c>
      <c r="M93" s="12">
        <f>ROUND(+'WP II-E-3.3'!M18*$E$87,2)</f>
        <v>53.439999999999998</v>
      </c>
      <c r="N93" s="12">
        <v>0</v>
      </c>
      <c r="O93" s="12">
        <f t="shared" si="15"/>
        <v>865.92000000000007</v>
      </c>
      <c r="P93" s="12">
        <f>ROUND(+'WP II-E-3.3'!P18*$E$87,2)</f>
        <v>141.38999999999999</v>
      </c>
      <c r="Q93" s="12">
        <v>0</v>
      </c>
      <c r="R93" s="12">
        <f>ROUND(+'WP II-E-3.3'!R18*$E$87,2)</f>
        <v>114.94</v>
      </c>
      <c r="S93" s="12">
        <v>0</v>
      </c>
      <c r="T93" s="12">
        <f>ROUND(+'WP II-E-3.3'!T18*$E$87,2)</f>
        <v>45.560000000000002</v>
      </c>
      <c r="U93" s="12">
        <v>0</v>
      </c>
      <c r="V93" s="12"/>
    </row>
    <row r="94" spans="1:22" ht="12.75">
      <c r="A94" s="8">
        <f t="shared" si="12"/>
        <v>83</v>
      </c>
      <c r="B94" s="11" t="s">
        <v>64</v>
      </c>
      <c r="C94" s="1" t="s">
        <v>65</v>
      </c>
      <c r="D94" s="8" t="s">
        <v>55</v>
      </c>
      <c r="E94" s="8" t="s">
        <v>52</v>
      </c>
      <c r="F94" s="12">
        <f>ROUND(+'WP II-E-3.3'!F19*$E$87,2)</f>
        <v>381.25</v>
      </c>
      <c r="G94" s="12">
        <f>ROUND(+'WP II-E-3.3'!G19*$E$87,2)</f>
        <v>846.41999999999996</v>
      </c>
      <c r="H94" s="12">
        <f>ROUND(+'WP II-E-3.3'!H19*$E$87,2)</f>
        <v>364.38999999999999</v>
      </c>
      <c r="I94" s="12">
        <v>0</v>
      </c>
      <c r="J94" s="12">
        <v>0</v>
      </c>
      <c r="K94" s="12">
        <f>ROUND(+'WP II-E-3.3'!K19*$E$87,2)</f>
        <v>437.82999999999998</v>
      </c>
      <c r="L94" s="12">
        <v>0</v>
      </c>
      <c r="M94" s="12">
        <f>ROUND(+'WP II-E-3.3'!M19*$E$87,2)</f>
        <v>107.7</v>
      </c>
      <c r="N94" s="12">
        <v>0</v>
      </c>
      <c r="O94" s="12">
        <f t="shared" si="15"/>
        <v>2137.5899999999997</v>
      </c>
      <c r="P94" s="12">
        <f>ROUND(+'WP II-E-3.3'!P19*$E$87,2)</f>
        <v>360.42000000000002</v>
      </c>
      <c r="Q94" s="12">
        <v>0</v>
      </c>
      <c r="R94" s="12">
        <f>ROUND(+'WP II-E-3.3'!R19*$E$87,2)</f>
        <v>287.56999999999999</v>
      </c>
      <c r="S94" s="12">
        <v>0</v>
      </c>
      <c r="T94" s="12">
        <f>ROUND(+'WP II-E-3.3'!T19*$E$87,2)</f>
        <v>162.81999999999999</v>
      </c>
      <c r="U94" s="12">
        <v>0</v>
      </c>
      <c r="V94" s="12"/>
    </row>
    <row r="95" spans="1:22" ht="12.75">
      <c r="A95" s="8">
        <f t="shared" si="12"/>
        <v>84</v>
      </c>
      <c r="B95" s="11" t="s">
        <v>66</v>
      </c>
      <c r="C95" s="1" t="s">
        <v>67</v>
      </c>
      <c r="D95" s="8" t="s">
        <v>68</v>
      </c>
      <c r="E95" s="8" t="s">
        <v>52</v>
      </c>
      <c r="F95" s="12">
        <f>ROUND(+'WP II-E-3.3'!F20*$E$87,2)</f>
        <v>0</v>
      </c>
      <c r="G95" s="12">
        <f>ROUND(+'WP II-E-3.3'!G20*$E$87,2)</f>
        <v>0</v>
      </c>
      <c r="H95" s="12">
        <f>ROUND(+'WP II-E-3.3'!H20*$E$87,2)</f>
        <v>18.199999999999999</v>
      </c>
      <c r="I95" s="12">
        <v>0</v>
      </c>
      <c r="J95" s="12">
        <v>0</v>
      </c>
      <c r="K95" s="12">
        <f>ROUND(+'WP II-E-3.3'!K20*$E$87,2)</f>
        <v>11.859999999999999</v>
      </c>
      <c r="L95" s="12">
        <v>0</v>
      </c>
      <c r="M95" s="12">
        <f>ROUND(+'WP II-E-3.3'!M20*$E$87,2)</f>
        <v>0</v>
      </c>
      <c r="N95" s="12">
        <v>0</v>
      </c>
      <c r="O95" s="12">
        <f t="shared" si="15"/>
        <v>30.059999999999999</v>
      </c>
      <c r="P95" s="12">
        <f>ROUND(+'WP II-E-3.3'!P20*$E$87,2)</f>
        <v>6.1799999999999997</v>
      </c>
      <c r="Q95" s="12">
        <v>0</v>
      </c>
      <c r="R95" s="12">
        <f>ROUND(+'WP II-E-3.3'!R20*$E$87,2)</f>
        <v>4.2300000000000004</v>
      </c>
      <c r="S95" s="12">
        <v>0</v>
      </c>
      <c r="T95" s="12">
        <f>ROUND(+'WP II-E-3.3'!T20*$E$87,2)</f>
        <v>3.0299999999999998</v>
      </c>
      <c r="U95" s="12">
        <v>0</v>
      </c>
      <c r="V95" s="12"/>
    </row>
    <row r="96" spans="1:22" ht="12.75">
      <c r="A96" s="8">
        <f t="shared" si="12"/>
        <v>85</v>
      </c>
      <c r="B96" s="11" t="s">
        <v>69</v>
      </c>
      <c r="C96" s="1" t="s">
        <v>70</v>
      </c>
      <c r="D96" s="8" t="s">
        <v>71</v>
      </c>
      <c r="E96" s="8" t="s">
        <v>52</v>
      </c>
      <c r="F96" s="12">
        <f>ROUND(+'WP II-E-3.3'!F21*$E$87,2)</f>
        <v>2955.0799999999999</v>
      </c>
      <c r="G96" s="12">
        <f>ROUND(+'WP II-E-3.3'!G21*$E$87,2)</f>
        <v>11632.67</v>
      </c>
      <c r="H96" s="12">
        <f>ROUND(+'WP II-E-3.3'!H21*$E$87,2)</f>
        <v>7054.54</v>
      </c>
      <c r="I96" s="12">
        <v>0</v>
      </c>
      <c r="J96" s="12">
        <v>0</v>
      </c>
      <c r="K96" s="12">
        <f>ROUND(+'WP II-E-3.3'!K21*$E$87,2)</f>
        <v>18108.560000000001</v>
      </c>
      <c r="L96" s="12">
        <v>0</v>
      </c>
      <c r="M96" s="12">
        <f>ROUND(+'WP II-E-3.3'!M21*$E$87,2)</f>
        <v>27659.740000000002</v>
      </c>
      <c r="N96" s="12">
        <v>0</v>
      </c>
      <c r="O96" s="12">
        <f t="shared" si="15"/>
        <v>67410.590000000011</v>
      </c>
      <c r="P96" s="12">
        <f>ROUND(+'WP II-E-3.3'!P21*$E$87,2)</f>
        <v>4829.9499999999998</v>
      </c>
      <c r="Q96" s="12">
        <v>0</v>
      </c>
      <c r="R96" s="12">
        <f>ROUND(+'WP II-E-3.3'!R21*$E$87,2)</f>
        <v>5741.3299999999999</v>
      </c>
      <c r="S96" s="12">
        <v>0</v>
      </c>
      <c r="T96" s="12">
        <f>ROUND(+'WP II-E-3.3'!T21*$E$87,2)</f>
        <v>5153.8100000000004</v>
      </c>
      <c r="U96" s="12">
        <v>0</v>
      </c>
      <c r="V96" s="12"/>
    </row>
    <row r="97" spans="1:22" ht="12.75">
      <c r="A97" s="8">
        <f t="shared" si="12"/>
        <v>86</v>
      </c>
      <c r="B97" s="11" t="s">
        <v>72</v>
      </c>
      <c r="C97" s="1" t="s">
        <v>73</v>
      </c>
      <c r="D97" s="8" t="s">
        <v>51</v>
      </c>
      <c r="E97" s="8" t="s">
        <v>52</v>
      </c>
      <c r="F97" s="12">
        <f>ROUND(+'WP II-E-3.3'!F22*$E$87,2)</f>
        <v>0</v>
      </c>
      <c r="G97" s="12">
        <f>ROUND(+'WP II-E-3.3'!G22*$E$87,2)</f>
        <v>0</v>
      </c>
      <c r="H97" s="12">
        <f>ROUND(+'WP II-E-3.3'!H22*$E$87,2)</f>
        <v>0</v>
      </c>
      <c r="I97" s="12">
        <v>0</v>
      </c>
      <c r="J97" s="12">
        <v>0</v>
      </c>
      <c r="K97" s="12">
        <f>ROUND(+'WP II-E-3.3'!K22*$E$87,2)</f>
        <v>-1.0700000000000001</v>
      </c>
      <c r="L97" s="12">
        <v>0</v>
      </c>
      <c r="M97" s="12">
        <f>ROUND(+'WP II-E-3.3'!M22*$E$87,2)</f>
        <v>0</v>
      </c>
      <c r="N97" s="12">
        <v>0</v>
      </c>
      <c r="O97" s="12">
        <f t="shared" si="15"/>
        <v>-1.0700000000000001</v>
      </c>
      <c r="P97" s="12">
        <f>ROUND(+'WP II-E-3.3'!P22*$E$87,2)</f>
        <v>-0.29999999999999999</v>
      </c>
      <c r="Q97" s="12">
        <v>0</v>
      </c>
      <c r="R97" s="12">
        <f>ROUND(+'WP II-E-3.3'!R22*$E$87,2)</f>
        <v>-0.20999999999999999</v>
      </c>
      <c r="S97" s="12">
        <v>0</v>
      </c>
      <c r="T97" s="12">
        <f>ROUND(+'WP II-E-3.3'!T22*$E$87,2)</f>
        <v>-0.14999999999999999</v>
      </c>
      <c r="U97" s="12">
        <v>0</v>
      </c>
      <c r="V97" s="12"/>
    </row>
    <row r="98" spans="1:22" ht="12.75">
      <c r="A98" s="8">
        <f t="shared" si="12"/>
        <v>87</v>
      </c>
      <c r="B98" s="14" t="s">
        <v>74</v>
      </c>
      <c r="C98" s="1" t="s">
        <v>75</v>
      </c>
      <c r="D98" s="8" t="s">
        <v>76</v>
      </c>
      <c r="E98" s="8" t="s">
        <v>52</v>
      </c>
      <c r="F98" s="12">
        <f>ROUND(+'WP II-E-3.3'!F23*$E$87,2)</f>
        <v>147955.85999999999</v>
      </c>
      <c r="G98" s="12">
        <f>ROUND(+'WP II-E-3.3'!G23*$E$87,2)</f>
        <v>292723.92999999999</v>
      </c>
      <c r="H98" s="12">
        <f>ROUND(+'WP II-E-3.3'!H23*$E$87,2)</f>
        <v>362457.19</v>
      </c>
      <c r="I98" s="12">
        <v>0</v>
      </c>
      <c r="J98" s="12">
        <v>0</v>
      </c>
      <c r="K98" s="12">
        <f>ROUND(+'WP II-E-3.3'!K23*$E$87,2)</f>
        <v>458490.63</v>
      </c>
      <c r="L98" s="12">
        <v>0</v>
      </c>
      <c r="M98" s="12">
        <f>ROUND(+'WP II-E-3.3'!M23*$E$87,2)</f>
        <v>480251.54999999999</v>
      </c>
      <c r="N98" s="12">
        <v>0</v>
      </c>
      <c r="O98" s="12">
        <f t="shared" si="15"/>
        <v>1741879.1599999999</v>
      </c>
      <c r="P98" s="12">
        <f>ROUND(+'WP II-E-3.3'!P23*$E$87,2)</f>
        <v>101037.5</v>
      </c>
      <c r="Q98" s="12">
        <v>0</v>
      </c>
      <c r="R98" s="12">
        <f>ROUND(+'WP II-E-3.3'!R23*$E$87,2)</f>
        <v>111258.17999999999</v>
      </c>
      <c r="S98" s="12">
        <v>0</v>
      </c>
      <c r="T98" s="12">
        <f>ROUND(+'WP II-E-3.3'!T23*$E$87,2)</f>
        <v>102909.94</v>
      </c>
      <c r="U98" s="12">
        <v>0</v>
      </c>
      <c r="V98" s="12"/>
    </row>
    <row r="99" spans="1:22" ht="12.75">
      <c r="A99" s="8">
        <f t="shared" si="12"/>
        <v>88</v>
      </c>
      <c r="B99" s="1" t="s">
        <v>77</v>
      </c>
      <c r="C99" s="1" t="s">
        <v>78</v>
      </c>
      <c r="D99" s="8" t="s">
        <v>71</v>
      </c>
      <c r="E99" s="8" t="s">
        <v>52</v>
      </c>
      <c r="F99" s="12">
        <f>ROUND(+'WP II-E-3.3'!F24*$E$87,2)</f>
        <v>184234.60000000001</v>
      </c>
      <c r="G99" s="12">
        <f>ROUND(+'WP II-E-3.3'!G24*$E$87,2)</f>
        <v>374337.67999999999</v>
      </c>
      <c r="H99" s="12">
        <f>ROUND(+'WP II-E-3.3'!H24*$E$87,2)</f>
        <v>507965.73999999999</v>
      </c>
      <c r="I99" s="12">
        <v>0</v>
      </c>
      <c r="J99" s="12">
        <v>0</v>
      </c>
      <c r="K99" s="12">
        <f>ROUND(+'WP II-E-3.3'!K24*$E$87,2)</f>
        <v>627553.63</v>
      </c>
      <c r="L99" s="12">
        <v>0</v>
      </c>
      <c r="M99" s="12">
        <f>ROUND(+'WP II-E-3.3'!M24*$E$87,2)</f>
        <v>618280.70999999996</v>
      </c>
      <c r="N99" s="12">
        <v>0</v>
      </c>
      <c r="O99" s="12">
        <f t="shared" si="15"/>
        <v>2312372.3599999999</v>
      </c>
      <c r="P99" s="12">
        <f>ROUND(+'WP II-E-3.3'!P24*$E$87,2)</f>
        <v>175792.54000000001</v>
      </c>
      <c r="Q99" s="12">
        <v>0</v>
      </c>
      <c r="R99" s="12">
        <f>ROUND(+'WP II-E-3.3'!R24*$E$87,2)</f>
        <v>189505.60999999999</v>
      </c>
      <c r="S99" s="12">
        <v>0</v>
      </c>
      <c r="T99" s="12">
        <f>ROUND(+'WP II-E-3.3'!T24*$E$87,2)</f>
        <v>170645.37</v>
      </c>
      <c r="U99" s="12">
        <v>0</v>
      </c>
      <c r="V99" s="12"/>
    </row>
    <row r="100" spans="1:22" ht="12.75">
      <c r="A100" s="8">
        <f t="shared" si="12"/>
        <v>89</v>
      </c>
      <c r="B100" s="1" t="s">
        <v>79</v>
      </c>
      <c r="C100" s="1" t="s">
        <v>80</v>
      </c>
      <c r="D100" s="8" t="s">
        <v>76</v>
      </c>
      <c r="E100" s="8" t="s">
        <v>52</v>
      </c>
      <c r="F100" s="12">
        <f>ROUND(+'WP II-E-3.3'!F25*$E$87,2)</f>
        <v>1670.6800000000001</v>
      </c>
      <c r="G100" s="12">
        <f>ROUND(+'WP II-E-3.3'!G25*$E$87,2)</f>
        <v>1280.26</v>
      </c>
      <c r="H100" s="12">
        <f>ROUND(+'WP II-E-3.3'!H25*$E$87,2)</f>
        <v>6103.7200000000003</v>
      </c>
      <c r="I100" s="12">
        <v>0</v>
      </c>
      <c r="J100" s="12">
        <v>0</v>
      </c>
      <c r="K100" s="12">
        <f>ROUND(+'WP II-E-3.3'!K25*$E$87,2)</f>
        <v>6834.3100000000004</v>
      </c>
      <c r="L100" s="12">
        <v>0</v>
      </c>
      <c r="M100" s="12">
        <f>ROUND(+'WP II-E-3.3'!M25*$E$87,2)</f>
        <v>6131.8400000000001</v>
      </c>
      <c r="N100" s="12">
        <v>0</v>
      </c>
      <c r="O100" s="12">
        <f t="shared" si="15"/>
        <v>22020.810000000001</v>
      </c>
      <c r="P100" s="12">
        <f>ROUND(+'WP II-E-3.3'!P25*$E$87,2)</f>
        <v>1708.53</v>
      </c>
      <c r="Q100" s="12">
        <v>0</v>
      </c>
      <c r="R100" s="12">
        <f>ROUND(+'WP II-E-3.3'!R25*$E$87,2)</f>
        <v>1766</v>
      </c>
      <c r="S100" s="12">
        <v>0</v>
      </c>
      <c r="T100" s="12">
        <f>ROUND(+'WP II-E-3.3'!T25*$E$87,2)</f>
        <v>1520.0899999999999</v>
      </c>
      <c r="U100" s="12">
        <v>0</v>
      </c>
      <c r="V100" s="12"/>
    </row>
    <row r="101" spans="1:22" ht="12.75">
      <c r="A101" s="8">
        <f t="shared" si="12"/>
        <v>90</v>
      </c>
      <c r="B101" s="1" t="s">
        <v>81</v>
      </c>
      <c r="C101" s="1" t="s">
        <v>82</v>
      </c>
      <c r="D101" s="8" t="s">
        <v>68</v>
      </c>
      <c r="E101" s="8" t="s">
        <v>52</v>
      </c>
      <c r="F101" s="12">
        <f>ROUND(+'WP II-E-3.3'!F26*$E$87,2)</f>
        <v>13867.85</v>
      </c>
      <c r="G101" s="12">
        <f>ROUND(+'WP II-E-3.3'!G26*$E$87,2)</f>
        <v>36179.110000000001</v>
      </c>
      <c r="H101" s="12">
        <f>ROUND(+'WP II-E-3.3'!H26*$E$87,2)</f>
        <v>44134.410000000003</v>
      </c>
      <c r="I101" s="12">
        <v>0</v>
      </c>
      <c r="J101" s="12">
        <v>0</v>
      </c>
      <c r="K101" s="12">
        <f>ROUND(+'WP II-E-3.3'!K26*$E$87,2)</f>
        <v>47598.860000000001</v>
      </c>
      <c r="L101" s="12">
        <v>0</v>
      </c>
      <c r="M101" s="12">
        <f>ROUND(+'WP II-E-3.3'!M26*$E$87,2)</f>
        <v>49845.589999999997</v>
      </c>
      <c r="N101" s="12">
        <v>0</v>
      </c>
      <c r="O101" s="12">
        <f t="shared" si="15"/>
        <v>191625.81999999998</v>
      </c>
      <c r="P101" s="12">
        <f>ROUND(+'WP II-E-3.3'!P26*$E$87,2)</f>
        <v>16445.57</v>
      </c>
      <c r="Q101" s="12">
        <v>0</v>
      </c>
      <c r="R101" s="12">
        <f>ROUND(+'WP II-E-3.3'!R26*$E$87,2)</f>
        <v>17623.990000000002</v>
      </c>
      <c r="S101" s="12">
        <v>0</v>
      </c>
      <c r="T101" s="12">
        <f>ROUND(+'WP II-E-3.3'!T26*$E$87,2)</f>
        <v>15763.82</v>
      </c>
      <c r="U101" s="12">
        <v>0</v>
      </c>
      <c r="V101" s="12"/>
    </row>
    <row r="102" spans="1:22" ht="12.75">
      <c r="A102" s="8">
        <f t="shared" si="12"/>
        <v>91</v>
      </c>
      <c r="B102" s="1" t="s">
        <v>83</v>
      </c>
      <c r="C102" s="1" t="s">
        <v>84</v>
      </c>
      <c r="D102" s="8" t="s">
        <v>51</v>
      </c>
      <c r="E102" s="8" t="s">
        <v>52</v>
      </c>
      <c r="F102" s="12">
        <f>ROUND(+'WP II-E-3.3'!F27*$E$87,2)</f>
        <v>6311.2700000000004</v>
      </c>
      <c r="G102" s="12">
        <f>ROUND(+'WP II-E-3.3'!G27*$E$87,2)</f>
        <v>10876.84</v>
      </c>
      <c r="H102" s="12">
        <f>ROUND(+'WP II-E-3.3'!H27*$E$87,2)</f>
        <v>13974.73</v>
      </c>
      <c r="I102" s="12">
        <v>0</v>
      </c>
      <c r="J102" s="12">
        <v>0</v>
      </c>
      <c r="K102" s="12">
        <f>ROUND(+'WP II-E-3.3'!K27*$E$87,2)</f>
        <v>14700.81</v>
      </c>
      <c r="L102" s="12">
        <v>0</v>
      </c>
      <c r="M102" s="12">
        <f>ROUND(+'WP II-E-3.3'!M27*$E$87,2)</f>
        <v>14231.879999999999</v>
      </c>
      <c r="N102" s="12">
        <v>0</v>
      </c>
      <c r="O102" s="12">
        <f t="shared" si="15"/>
        <v>60095.529999999999</v>
      </c>
      <c r="P102" s="12">
        <f>ROUND(+'WP II-E-3.3'!P27*$E$87,2)</f>
        <v>3713.0500000000002</v>
      </c>
      <c r="Q102" s="12">
        <v>0</v>
      </c>
      <c r="R102" s="12">
        <f>ROUND(+'WP II-E-3.3'!R27*$E$87,2)</f>
        <v>3930.0999999999999</v>
      </c>
      <c r="S102" s="12">
        <v>0</v>
      </c>
      <c r="T102" s="12">
        <f>ROUND(+'WP II-E-3.3'!T27*$E$87,2)</f>
        <v>3667.1700000000001</v>
      </c>
      <c r="U102" s="12">
        <v>0</v>
      </c>
      <c r="V102" s="12"/>
    </row>
    <row r="103" spans="1:22" ht="12.75">
      <c r="A103" s="8">
        <f t="shared" si="12"/>
        <v>92</v>
      </c>
      <c r="B103" s="11" t="s">
        <v>85</v>
      </c>
      <c r="C103" s="1" t="s">
        <v>86</v>
      </c>
      <c r="D103" s="8" t="s">
        <v>55</v>
      </c>
      <c r="E103" s="8" t="s">
        <v>52</v>
      </c>
      <c r="F103" s="12">
        <f>ROUND(+'WP II-E-3.3'!F28*$E$87,2)</f>
        <v>2356.8400000000001</v>
      </c>
      <c r="G103" s="12">
        <f>ROUND(+'WP II-E-3.3'!G28*$E$87,2)</f>
        <v>3711.0900000000001</v>
      </c>
      <c r="H103" s="12">
        <f>ROUND(+'WP II-E-3.3'!H28*$E$87,2)</f>
        <v>2885.6799999999998</v>
      </c>
      <c r="I103" s="12">
        <v>0</v>
      </c>
      <c r="J103" s="12">
        <v>0</v>
      </c>
      <c r="K103" s="12">
        <f>ROUND(+'WP II-E-3.3'!K28*$E$87,2)</f>
        <v>8271.5499999999993</v>
      </c>
      <c r="L103" s="12">
        <v>0</v>
      </c>
      <c r="M103" s="12">
        <f>ROUND(+'WP II-E-3.3'!M28*$E$87,2)</f>
        <v>5533.3100000000004</v>
      </c>
      <c r="N103" s="12">
        <v>0</v>
      </c>
      <c r="O103" s="12">
        <f t="shared" si="15"/>
        <v>22758.470000000001</v>
      </c>
      <c r="P103" s="12">
        <f>ROUND(+'WP II-E-3.3'!P28*$E$87,2)</f>
        <v>5332.2399999999998</v>
      </c>
      <c r="Q103" s="12">
        <v>0</v>
      </c>
      <c r="R103" s="12">
        <f>ROUND(+'WP II-E-3.3'!R28*$E$87,2)</f>
        <v>4544.8100000000004</v>
      </c>
      <c r="S103" s="12">
        <v>0</v>
      </c>
      <c r="T103" s="12">
        <f>ROUND(+'WP II-E-3.3'!T28*$E$87,2)</f>
        <v>2692.4400000000001</v>
      </c>
      <c r="U103" s="12">
        <v>0</v>
      </c>
      <c r="V103" s="12"/>
    </row>
    <row r="104" spans="1:22" ht="12.75">
      <c r="A104" s="8">
        <f t="shared" si="12"/>
        <v>93</v>
      </c>
      <c r="B104" s="1" t="s">
        <v>87</v>
      </c>
      <c r="C104" s="1" t="s">
        <v>88</v>
      </c>
      <c r="D104" s="8" t="s">
        <v>89</v>
      </c>
      <c r="E104" s="8" t="s">
        <v>90</v>
      </c>
      <c r="F104" s="12">
        <f>ROUND(+'WP II-E-3.3'!F29*$E$87,2)</f>
        <v>9416.9300000000003</v>
      </c>
      <c r="G104" s="12">
        <f>ROUND(+'WP II-E-3.3'!G29*$E$87,2)</f>
        <v>0</v>
      </c>
      <c r="H104" s="12">
        <f>ROUND(+'WP II-E-3.3'!H29*$E$87,2)</f>
        <v>0</v>
      </c>
      <c r="I104" s="12">
        <v>0</v>
      </c>
      <c r="J104" s="12">
        <v>0</v>
      </c>
      <c r="K104" s="12">
        <f>ROUND(+'WP II-E-3.3'!K29*$E$87,2)</f>
        <v>0</v>
      </c>
      <c r="L104" s="12">
        <v>0</v>
      </c>
      <c r="M104" s="12">
        <f>ROUND(+'WP II-E-3.3'!M29*$E$87,2)</f>
        <v>0</v>
      </c>
      <c r="N104" s="12">
        <v>0</v>
      </c>
      <c r="O104" s="12">
        <f t="shared" si="15"/>
        <v>9416.9300000000003</v>
      </c>
      <c r="P104" s="12">
        <f>ROUND(+'WP II-E-3.3'!P29*$E$87,2)</f>
        <v>627.73000000000002</v>
      </c>
      <c r="Q104" s="12">
        <v>0</v>
      </c>
      <c r="R104" s="12">
        <f>ROUND(+'WP II-E-3.3'!R29*$E$87,2)</f>
        <v>627.83000000000004</v>
      </c>
      <c r="S104" s="12">
        <v>0</v>
      </c>
      <c r="T104" s="12">
        <f>ROUND(+'WP II-E-3.3'!T29*$E$87,2)</f>
        <v>627.83000000000004</v>
      </c>
      <c r="U104" s="12">
        <v>0</v>
      </c>
      <c r="V104" s="12"/>
    </row>
    <row r="105" spans="1:22" ht="12.75">
      <c r="A105" s="8">
        <f t="shared" si="12"/>
        <v>94</v>
      </c>
      <c r="B105" s="1" t="s">
        <v>91</v>
      </c>
      <c r="C105" s="1" t="s">
        <v>92</v>
      </c>
      <c r="D105" s="8" t="s">
        <v>93</v>
      </c>
      <c r="E105" s="8" t="s">
        <v>90</v>
      </c>
      <c r="F105" s="12">
        <f>ROUND(+'WP II-E-3.3'!F30*$E$87,2)</f>
        <v>25.329999999999998</v>
      </c>
      <c r="G105" s="12">
        <f>ROUND(+'WP II-E-3.3'!G30*$E$87,2)</f>
        <v>5.9100000000000001</v>
      </c>
      <c r="H105" s="12">
        <f>ROUND(+'WP II-E-3.3'!H30*$E$87,2)</f>
        <v>0</v>
      </c>
      <c r="I105" s="12">
        <v>0</v>
      </c>
      <c r="J105" s="12">
        <v>0</v>
      </c>
      <c r="K105" s="12">
        <f>ROUND(+'WP II-E-3.3'!K30*$E$87,2)</f>
        <v>15213.129999999999</v>
      </c>
      <c r="L105" s="12">
        <v>0</v>
      </c>
      <c r="M105" s="12">
        <f>ROUND(+'WP II-E-3.3'!M30*$E$87,2)</f>
        <v>90.739999999999995</v>
      </c>
      <c r="N105" s="12">
        <v>0</v>
      </c>
      <c r="O105" s="12">
        <f t="shared" si="15"/>
        <v>15335.109999999999</v>
      </c>
      <c r="P105" s="12">
        <f>ROUND(+'WP II-E-3.3'!P30*$E$87,2)</f>
        <v>392.61000000000001</v>
      </c>
      <c r="Q105" s="12">
        <v>0</v>
      </c>
      <c r="R105" s="12">
        <f>ROUND(+'WP II-E-3.3'!R30*$E$87,2)</f>
        <v>393.19</v>
      </c>
      <c r="S105" s="12">
        <v>0</v>
      </c>
      <c r="T105" s="12">
        <f>ROUND(+'WP II-E-3.3'!T30*$E$87,2)</f>
        <v>393.19</v>
      </c>
      <c r="U105" s="12">
        <v>0</v>
      </c>
      <c r="V105" s="12"/>
    </row>
    <row r="106" spans="1:22" ht="12.75">
      <c r="A106" s="8">
        <f t="shared" si="12"/>
        <v>95</v>
      </c>
      <c r="B106" s="1" t="s">
        <v>94</v>
      </c>
      <c r="C106" s="1" t="s">
        <v>95</v>
      </c>
      <c r="D106" s="8" t="s">
        <v>96</v>
      </c>
      <c r="E106" s="8" t="s">
        <v>52</v>
      </c>
      <c r="F106" s="12">
        <f>ROUND(+'WP II-E-3.3'!F31*$E$87,2)</f>
        <v>728.77999999999997</v>
      </c>
      <c r="G106" s="12">
        <f>ROUND(+'WP II-E-3.3'!G31*$E$87,2)</f>
        <v>1226.74</v>
      </c>
      <c r="H106" s="12">
        <f>ROUND(+'WP II-E-3.3'!H31*$E$87,2)</f>
        <v>3630.6599999999999</v>
      </c>
      <c r="I106" s="12">
        <v>0</v>
      </c>
      <c r="J106" s="12">
        <v>0</v>
      </c>
      <c r="K106" s="12">
        <f>ROUND(+'WP II-E-3.3'!K31*$E$87,2)</f>
        <v>-65.219999999999999</v>
      </c>
      <c r="L106" s="12">
        <v>0</v>
      </c>
      <c r="M106" s="12">
        <f>ROUND(+'WP II-E-3.3'!M31*$E$87,2)</f>
        <v>4931.2700000000004</v>
      </c>
      <c r="N106" s="12">
        <v>0</v>
      </c>
      <c r="O106" s="12">
        <f t="shared" si="15"/>
        <v>10452.23</v>
      </c>
      <c r="P106" s="12">
        <f>ROUND(+'WP II-E-3.3'!P31*$E$87,2)</f>
        <v>205.02000000000001</v>
      </c>
      <c r="Q106" s="12">
        <v>0</v>
      </c>
      <c r="R106" s="12">
        <f>ROUND(+'WP II-E-3.3'!R31*$E$87,2)</f>
        <v>274.69999999999999</v>
      </c>
      <c r="S106" s="12">
        <v>0</v>
      </c>
      <c r="T106" s="12">
        <f>ROUND(+'WP II-E-3.3'!T31*$E$87,2)</f>
        <v>269.47000000000003</v>
      </c>
      <c r="U106" s="12">
        <v>0</v>
      </c>
      <c r="V106" s="12"/>
    </row>
    <row r="107" spans="1:22" ht="12.75">
      <c r="A107" s="8">
        <f t="shared" si="12"/>
        <v>96</v>
      </c>
      <c r="B107" s="1" t="s">
        <v>97</v>
      </c>
      <c r="C107" s="1" t="s">
        <v>98</v>
      </c>
      <c r="D107" s="8" t="s">
        <v>99</v>
      </c>
      <c r="E107" s="8" t="s">
        <v>52</v>
      </c>
      <c r="F107" s="12">
        <f>ROUND(+'WP II-E-3.3'!F32*$E$87,2)</f>
        <v>6318.9399999999996</v>
      </c>
      <c r="G107" s="12">
        <f>ROUND(+'WP II-E-3.3'!G32*$E$87,2)</f>
        <v>2241.6100000000001</v>
      </c>
      <c r="H107" s="12">
        <f>ROUND(+'WP II-E-3.3'!H32*$E$87,2)</f>
        <v>10401.209999999999</v>
      </c>
      <c r="I107" s="12">
        <v>0</v>
      </c>
      <c r="J107" s="12">
        <v>0</v>
      </c>
      <c r="K107" s="12">
        <f>ROUND(+'WP II-E-3.3'!K32*$E$87,2)</f>
        <v>27683.5</v>
      </c>
      <c r="L107" s="12">
        <v>0</v>
      </c>
      <c r="M107" s="12">
        <f>ROUND(+'WP II-E-3.3'!M32*$E$87,2)</f>
        <v>9177.3999999999996</v>
      </c>
      <c r="N107" s="12">
        <v>0</v>
      </c>
      <c r="O107" s="12">
        <f t="shared" si="15"/>
        <v>55822.659999999996</v>
      </c>
      <c r="P107" s="12">
        <f>ROUND(+'WP II-E-3.3'!P32*$E$87,2)</f>
        <v>4273.6599999999999</v>
      </c>
      <c r="Q107" s="12">
        <v>0</v>
      </c>
      <c r="R107" s="12">
        <f>ROUND(+'WP II-E-3.3'!R32*$E$87,2)</f>
        <v>4319.3800000000001</v>
      </c>
      <c r="S107" s="12">
        <v>0</v>
      </c>
      <c r="T107" s="12">
        <f>ROUND(+'WP II-E-3.3'!T32*$E$87,2)</f>
        <v>3895.5900000000001</v>
      </c>
      <c r="U107" s="12">
        <v>0</v>
      </c>
      <c r="V107" s="12"/>
    </row>
    <row r="108" spans="1:22" ht="12.75">
      <c r="A108" s="8">
        <f t="shared" si="12"/>
        <v>97</v>
      </c>
      <c r="B108" s="1" t="s">
        <v>100</v>
      </c>
      <c r="C108" s="1" t="s">
        <v>101</v>
      </c>
      <c r="D108" s="8" t="s">
        <v>102</v>
      </c>
      <c r="F108" s="12">
        <f>ROUND(+'WP II-E-3.3'!F33*$E$87,2)</f>
        <v>4751.1599999999999</v>
      </c>
      <c r="G108" s="12">
        <f>ROUND(+'WP II-E-3.3'!G33*$E$87,2)</f>
        <v>16907.75</v>
      </c>
      <c r="H108" s="12">
        <f>ROUND(+'WP II-E-3.3'!H33*$E$87,2)</f>
        <v>1802.5</v>
      </c>
      <c r="I108" s="12">
        <v>0</v>
      </c>
      <c r="J108" s="12">
        <v>0</v>
      </c>
      <c r="K108" s="12">
        <f>ROUND(+'WP II-E-3.3'!K33*$E$87,2)</f>
        <v>9135.3199999999997</v>
      </c>
      <c r="L108" s="12">
        <v>0</v>
      </c>
      <c r="M108" s="12">
        <f>ROUND(+'WP II-E-3.3'!M33*$E$87,2)</f>
        <v>19977.16</v>
      </c>
      <c r="N108" s="12">
        <v>0</v>
      </c>
      <c r="O108" s="12">
        <f t="shared" si="15"/>
        <v>52573.889999999999</v>
      </c>
      <c r="P108" s="12">
        <f>ROUND(+'WP II-E-3.3'!P33*$E$87,2)</f>
        <v>0</v>
      </c>
      <c r="Q108" s="12">
        <v>0</v>
      </c>
      <c r="R108" s="12">
        <f>ROUND(+'WP II-E-3.3'!R33*$E$87,2)</f>
        <v>0</v>
      </c>
      <c r="S108" s="12">
        <v>0</v>
      </c>
      <c r="T108" s="12">
        <f>ROUND(+'WP II-E-3.3'!T33*$E$87,2)</f>
        <v>0</v>
      </c>
      <c r="U108" s="12">
        <v>0</v>
      </c>
      <c r="V108" s="12"/>
    </row>
    <row r="109" spans="1:22" ht="12.75">
      <c r="A109" s="8">
        <f t="shared" si="12"/>
        <v>98</v>
      </c>
      <c r="B109" s="1" t="s">
        <v>103</v>
      </c>
      <c r="C109" s="1" t="s">
        <v>104</v>
      </c>
      <c r="D109" s="8" t="s">
        <v>93</v>
      </c>
      <c r="E109" s="8" t="s">
        <v>90</v>
      </c>
      <c r="F109" s="12">
        <f>ROUND(+'WP II-E-3.3'!F34*$E$87,2)</f>
        <v>12827.639999999999</v>
      </c>
      <c r="G109" s="12">
        <f>ROUND(+'WP II-E-3.3'!G34*$E$87,2)</f>
        <v>18467.5</v>
      </c>
      <c r="H109" s="12">
        <f>ROUND(+'WP II-E-3.3'!H34*$E$87,2)</f>
        <v>17205.25</v>
      </c>
      <c r="I109" s="12">
        <v>0</v>
      </c>
      <c r="J109" s="12">
        <v>0</v>
      </c>
      <c r="K109" s="12">
        <f>ROUND(+'WP II-E-3.3'!K34*$E$87,2)</f>
        <v>23712.790000000001</v>
      </c>
      <c r="L109" s="12">
        <v>0</v>
      </c>
      <c r="M109" s="12">
        <f>ROUND(+'WP II-E-3.3'!M34*$E$87,2)</f>
        <v>32723.299999999999</v>
      </c>
      <c r="N109" s="12">
        <v>0</v>
      </c>
      <c r="O109" s="12">
        <f t="shared" si="15"/>
        <v>104936.48</v>
      </c>
      <c r="P109" s="12">
        <f>ROUND(+'WP II-E-3.3'!P34*$E$87,2)</f>
        <v>2131.25</v>
      </c>
      <c r="Q109" s="12">
        <v>0</v>
      </c>
      <c r="R109" s="12">
        <f>ROUND(+'WP II-E-3.3'!R34*$E$87,2)</f>
        <v>2688.29</v>
      </c>
      <c r="S109" s="12">
        <v>0</v>
      </c>
      <c r="T109" s="12">
        <f>ROUND(+'WP II-E-3.3'!T34*$E$87,2)</f>
        <v>2688.3400000000001</v>
      </c>
      <c r="U109" s="12">
        <v>0</v>
      </c>
      <c r="V109" s="12"/>
    </row>
    <row r="110" spans="1:23" ht="12.75">
      <c r="A110" s="8">
        <f t="shared" si="12"/>
        <v>99</v>
      </c>
      <c r="B110" s="15" t="s">
        <v>110</v>
      </c>
      <c r="F110" s="22">
        <f>SUM(F88:F109)</f>
        <v>403751.84000000003</v>
      </c>
      <c r="G110" s="22">
        <f t="shared" si="16" ref="G110:W110">SUM(G88:G109)</f>
        <v>776676.71999999986</v>
      </c>
      <c r="H110" s="22">
        <f t="shared" si="16"/>
        <v>987140</v>
      </c>
      <c r="I110" s="22">
        <f t="shared" si="16"/>
        <v>0</v>
      </c>
      <c r="J110" s="22">
        <f t="shared" si="16"/>
        <v>0</v>
      </c>
      <c r="K110" s="22">
        <f t="shared" si="16"/>
        <v>1302362.0600000003</v>
      </c>
      <c r="L110" s="22">
        <f t="shared" si="16"/>
        <v>0</v>
      </c>
      <c r="M110" s="22">
        <f t="shared" si="16"/>
        <v>1281500.5399999998</v>
      </c>
      <c r="N110" s="22">
        <f t="shared" si="16"/>
        <v>0</v>
      </c>
      <c r="O110" s="22">
        <f t="shared" si="16"/>
        <v>4751431.1600000001</v>
      </c>
      <c r="P110" s="22">
        <f t="shared" si="16"/>
        <v>338840.12</v>
      </c>
      <c r="Q110" s="22">
        <f t="shared" si="16"/>
        <v>0</v>
      </c>
      <c r="R110" s="22">
        <f t="shared" si="16"/>
        <v>359514.37999999995</v>
      </c>
      <c r="S110" s="22">
        <f t="shared" si="16"/>
        <v>0</v>
      </c>
      <c r="T110" s="22">
        <f t="shared" si="16"/>
        <v>320283.89000000007</v>
      </c>
      <c r="U110" s="22">
        <f t="shared" si="16"/>
        <v>0</v>
      </c>
      <c r="V110" s="22">
        <f>ROUND(+V35*E87,2)</f>
        <v>359010.33000000002</v>
      </c>
      <c r="W110" s="22">
        <f t="shared" si="16"/>
        <v>0</v>
      </c>
    </row>
    <row r="111" spans="1:1" ht="12.75">
      <c r="A111" s="8">
        <f t="shared" si="12"/>
        <v>100</v>
      </c>
    </row>
    <row r="112" spans="1:7" ht="12.75">
      <c r="A112" s="8">
        <f t="shared" si="12"/>
        <v>101</v>
      </c>
      <c r="B112" s="20" t="s">
        <v>111</v>
      </c>
      <c r="C112" s="9"/>
      <c r="D112" s="9"/>
      <c r="E112" s="21">
        <f>+'[1]II-F Alloc_Factor'!$I$40</f>
        <v>0.50345288393613263</v>
      </c>
      <c r="F112" s="10"/>
      <c r="G112" s="10"/>
    </row>
    <row r="113" spans="1:21" ht="12.75">
      <c r="A113" s="8">
        <f t="shared" si="12"/>
        <v>102</v>
      </c>
      <c r="B113" s="11" t="s">
        <v>49</v>
      </c>
      <c r="C113" s="1" t="s">
        <v>50</v>
      </c>
      <c r="D113" s="8" t="s">
        <v>51</v>
      </c>
      <c r="E113" s="8" t="s">
        <v>52</v>
      </c>
      <c r="F113" s="12">
        <f>ROUND(+'WP II-E-3.3'!F13*$E$112,2)</f>
        <v>502216.71000000002</v>
      </c>
      <c r="G113" s="12">
        <f>ROUND(+'WP II-E-3.3'!G13*$E$112,2)</f>
        <v>632683.19999999995</v>
      </c>
      <c r="H113" s="12">
        <f>ROUND(+'WP II-E-3.3'!H13*$E$112,2)</f>
        <v>1319156.77</v>
      </c>
      <c r="I113" s="12">
        <v>0</v>
      </c>
      <c r="J113" s="12">
        <v>0</v>
      </c>
      <c r="K113" s="12">
        <f>ROUND(+'WP II-E-3.3'!K13*$E$112,2)</f>
        <v>5694636.2400000002</v>
      </c>
      <c r="L113" s="12">
        <v>0</v>
      </c>
      <c r="M113" s="12">
        <f>ROUND(+'WP II-E-3.3'!M13*$E$112,2)</f>
        <v>2503901.2999999998</v>
      </c>
      <c r="N113" s="12">
        <v>0</v>
      </c>
      <c r="O113" s="12">
        <f>SUM(F113:N113)</f>
        <v>10652594.219999999</v>
      </c>
      <c r="P113" s="12">
        <f>ROUND(+'WP II-E-3.3'!P13*$E$112,2)</f>
        <v>2263789.6299999999</v>
      </c>
      <c r="Q113" s="12">
        <v>0</v>
      </c>
      <c r="R113" s="12">
        <f>ROUND(+'WP II-E-3.3'!R13*$E$112,2)</f>
        <v>1982345.03</v>
      </c>
      <c r="S113" s="12">
        <v>0</v>
      </c>
      <c r="T113" s="12">
        <f>ROUND(+'WP II-E-3.3'!T13*$E$112,2)</f>
        <v>1444539.8000000001</v>
      </c>
      <c r="U113" s="12">
        <v>0</v>
      </c>
    </row>
    <row r="114" spans="1:21" ht="12.75">
      <c r="A114" s="8">
        <f t="shared" si="12"/>
        <v>103</v>
      </c>
      <c r="B114" s="11" t="s">
        <v>53</v>
      </c>
      <c r="C114" s="1" t="s">
        <v>54</v>
      </c>
      <c r="D114" s="8" t="s">
        <v>55</v>
      </c>
      <c r="E114" s="8" t="s">
        <v>52</v>
      </c>
      <c r="F114" s="12">
        <f>ROUND(+'WP II-E-3.3'!F14*$E$112,2)</f>
        <v>6187611.4500000002</v>
      </c>
      <c r="G114" s="12">
        <f>ROUND(+'WP II-E-3.3'!G14*$E$112,2)</f>
        <v>2847477.9399999999</v>
      </c>
      <c r="H114" s="12">
        <f>ROUND(+'WP II-E-3.3'!H14*$E$112,2)</f>
        <v>5337663.5499999998</v>
      </c>
      <c r="I114" s="12">
        <v>0</v>
      </c>
      <c r="J114" s="12">
        <v>0</v>
      </c>
      <c r="K114" s="12">
        <f>ROUND(+'WP II-E-3.3'!K14*$E$112,2)</f>
        <v>31072666.02</v>
      </c>
      <c r="L114" s="12">
        <v>0</v>
      </c>
      <c r="M114" s="12">
        <f>ROUND(+'WP II-E-3.3'!M14*$E$112,2)</f>
        <v>7621058.79</v>
      </c>
      <c r="N114" s="12">
        <v>0</v>
      </c>
      <c r="O114" s="12">
        <f t="shared" si="17" ref="O114:O134">SUM(F114:N114)</f>
        <v>53066477.75</v>
      </c>
      <c r="P114" s="12">
        <f>ROUND(+'WP II-E-3.3'!P14*$E$112,2)</f>
        <v>15262176.630000001</v>
      </c>
      <c r="Q114" s="12">
        <v>0</v>
      </c>
      <c r="R114" s="12">
        <f>ROUND(+'WP II-E-3.3'!R14*$E$112,2)</f>
        <v>11150648</v>
      </c>
      <c r="S114" s="12">
        <v>0</v>
      </c>
      <c r="T114" s="12">
        <f>ROUND(+'WP II-E-3.3'!T14*$E$112,2)</f>
        <v>6464804.8399999999</v>
      </c>
      <c r="U114" s="12">
        <v>0</v>
      </c>
    </row>
    <row r="115" spans="1:21" ht="12.75">
      <c r="A115" s="8">
        <f t="shared" si="12"/>
        <v>104</v>
      </c>
      <c r="B115" s="11" t="s">
        <v>56</v>
      </c>
      <c r="C115" s="1" t="s">
        <v>57</v>
      </c>
      <c r="D115" s="8" t="s">
        <v>55</v>
      </c>
      <c r="E115" s="8" t="s">
        <v>52</v>
      </c>
      <c r="F115" s="12">
        <f>ROUND(+'WP II-E-3.3'!F15*$E$112,2)</f>
        <v>0</v>
      </c>
      <c r="G115" s="12">
        <f>ROUND(+'WP II-E-3.3'!G15*$E$112,2)</f>
        <v>1317871.5</v>
      </c>
      <c r="H115" s="12">
        <f>ROUND(+'WP II-E-3.3'!H15*$E$112,2)</f>
        <v>835719.19999999995</v>
      </c>
      <c r="I115" s="12">
        <v>0</v>
      </c>
      <c r="J115" s="12">
        <v>0</v>
      </c>
      <c r="K115" s="12">
        <f>ROUND(+'WP II-E-3.3'!K15*$E$112,2)</f>
        <v>0</v>
      </c>
      <c r="L115" s="12">
        <v>0</v>
      </c>
      <c r="M115" s="12">
        <f>ROUND(+'WP II-E-3.3'!M15*$E$112,2)</f>
        <v>0</v>
      </c>
      <c r="N115" s="12">
        <v>0</v>
      </c>
      <c r="O115" s="12">
        <f t="shared" si="17"/>
        <v>2153590.7000000002</v>
      </c>
      <c r="P115" s="12">
        <f>ROUND(+'WP II-E-3.3'!P15*$E$112,2)</f>
        <v>312276.88</v>
      </c>
      <c r="Q115" s="12">
        <v>0</v>
      </c>
      <c r="R115" s="12">
        <f>ROUND(+'WP II-E-3.3'!R15*$E$112,2)</f>
        <v>248093.64999999999</v>
      </c>
      <c r="S115" s="12">
        <v>0</v>
      </c>
      <c r="T115" s="12">
        <f>ROUND(+'WP II-E-3.3'!T15*$E$112,2)</f>
        <v>172184.25</v>
      </c>
      <c r="U115" s="12">
        <v>0</v>
      </c>
    </row>
    <row r="116" spans="1:21" ht="12.75">
      <c r="A116" s="8">
        <f t="shared" si="12"/>
        <v>105</v>
      </c>
      <c r="B116" s="11" t="s">
        <v>58</v>
      </c>
      <c r="C116" s="1" t="s">
        <v>59</v>
      </c>
      <c r="D116" s="8" t="s">
        <v>55</v>
      </c>
      <c r="E116" s="8" t="s">
        <v>52</v>
      </c>
      <c r="F116" s="12">
        <f>ROUND(+'WP II-E-3.3'!F16*$E$112,2)</f>
        <v>320532.62</v>
      </c>
      <c r="G116" s="12">
        <f>ROUND(+'WP II-E-3.3'!G16*$E$112,2)</f>
        <v>165532.70999999999</v>
      </c>
      <c r="H116" s="12">
        <f>ROUND(+'WP II-E-3.3'!H16*$E$112,2)</f>
        <v>278466.38</v>
      </c>
      <c r="I116" s="12">
        <v>0</v>
      </c>
      <c r="J116" s="12">
        <v>0</v>
      </c>
      <c r="K116" s="12">
        <f>ROUND(+'WP II-E-3.3'!K16*$E$112,2)</f>
        <v>1043527.4</v>
      </c>
      <c r="L116" s="12">
        <v>0</v>
      </c>
      <c r="M116" s="12">
        <f>ROUND(+'WP II-E-3.3'!M16*$E$112,2)</f>
        <v>504893.12</v>
      </c>
      <c r="N116" s="12">
        <v>0</v>
      </c>
      <c r="O116" s="12">
        <f t="shared" si="17"/>
        <v>2312952.23</v>
      </c>
      <c r="P116" s="12">
        <f>ROUND(+'WP II-E-3.3'!P16*$E$112,2)</f>
        <v>596155.98999999999</v>
      </c>
      <c r="Q116" s="12">
        <v>0</v>
      </c>
      <c r="R116" s="12">
        <f>ROUND(+'WP II-E-3.3'!R16*$E$112,2)</f>
        <v>473282.48999999999</v>
      </c>
      <c r="S116" s="12">
        <v>0</v>
      </c>
      <c r="T116" s="12">
        <f>ROUND(+'WP II-E-3.3'!T16*$E$112,2)</f>
        <v>278670.81</v>
      </c>
      <c r="U116" s="12">
        <v>0</v>
      </c>
    </row>
    <row r="117" spans="1:21" ht="12.75">
      <c r="A117" s="8">
        <f t="shared" si="12"/>
        <v>106</v>
      </c>
      <c r="B117" s="11" t="s">
        <v>60</v>
      </c>
      <c r="C117" s="1" t="s">
        <v>61</v>
      </c>
      <c r="D117" s="8" t="s">
        <v>55</v>
      </c>
      <c r="E117" s="8" t="s">
        <v>52</v>
      </c>
      <c r="F117" s="12">
        <f>ROUND(+'WP II-E-3.3'!F17*$E$112,2)</f>
        <v>1105926.8799999999</v>
      </c>
      <c r="G117" s="12">
        <f>ROUND(+'WP II-E-3.3'!G17*$E$112,2)</f>
        <v>156120.20000000001</v>
      </c>
      <c r="H117" s="12">
        <f>ROUND(+'WP II-E-3.3'!H17*$E$112,2)</f>
        <v>0</v>
      </c>
      <c r="I117" s="12">
        <v>0</v>
      </c>
      <c r="J117" s="12">
        <v>0</v>
      </c>
      <c r="K117" s="12">
        <f>ROUND(+'WP II-E-3.3'!K17*$E$112,2)</f>
        <v>599.88</v>
      </c>
      <c r="L117" s="12">
        <v>0</v>
      </c>
      <c r="M117" s="12">
        <f>ROUND(+'WP II-E-3.3'!M17*$E$112,2)</f>
        <v>0</v>
      </c>
      <c r="N117" s="12">
        <v>0</v>
      </c>
      <c r="O117" s="12">
        <f t="shared" si="17"/>
        <v>1262646.9599999997</v>
      </c>
      <c r="P117" s="12">
        <f>ROUND(+'WP II-E-3.3'!P17*$E$112,2)</f>
        <v>133149.60999999999</v>
      </c>
      <c r="Q117" s="12">
        <v>0</v>
      </c>
      <c r="R117" s="12">
        <f>ROUND(+'WP II-E-3.3'!R17*$E$112,2)</f>
        <v>115796.86</v>
      </c>
      <c r="S117" s="12">
        <v>0</v>
      </c>
      <c r="T117" s="12">
        <f>ROUND(+'WP II-E-3.3'!T17*$E$112,2)</f>
        <v>9060.7299999999996</v>
      </c>
      <c r="U117" s="12">
        <v>0</v>
      </c>
    </row>
    <row r="118" spans="1:21" ht="12.75">
      <c r="A118" s="8">
        <f t="shared" si="12"/>
        <v>107</v>
      </c>
      <c r="B118" s="11" t="s">
        <v>62</v>
      </c>
      <c r="C118" s="1" t="s">
        <v>63</v>
      </c>
      <c r="D118" s="8" t="s">
        <v>55</v>
      </c>
      <c r="E118" s="8" t="s">
        <v>52</v>
      </c>
      <c r="F118" s="12">
        <f>ROUND(+'WP II-E-3.3'!F18*$E$112,2)</f>
        <v>341435.29999999999</v>
      </c>
      <c r="G118" s="12">
        <f>ROUND(+'WP II-E-3.3'!G18*$E$112,2)</f>
        <v>183976.17000000001</v>
      </c>
      <c r="H118" s="12">
        <f>ROUND(+'WP II-E-3.3'!H18*$E$112,2)</f>
        <v>0</v>
      </c>
      <c r="I118" s="12">
        <v>0</v>
      </c>
      <c r="J118" s="12">
        <v>0</v>
      </c>
      <c r="K118" s="12">
        <f>ROUND(+'WP II-E-3.3'!K18*$E$112,2)</f>
        <v>165245.19</v>
      </c>
      <c r="L118" s="12">
        <v>0</v>
      </c>
      <c r="M118" s="12">
        <f>ROUND(+'WP II-E-3.3'!M18*$E$112,2)</f>
        <v>45427.290000000001</v>
      </c>
      <c r="N118" s="12">
        <v>0</v>
      </c>
      <c r="O118" s="12">
        <f t="shared" si="17"/>
        <v>736083.94999999995</v>
      </c>
      <c r="P118" s="12">
        <f>ROUND(+'WP II-E-3.3'!P18*$E$112,2)</f>
        <v>120186.63000000001</v>
      </c>
      <c r="Q118" s="12">
        <v>0</v>
      </c>
      <c r="R118" s="12">
        <f>ROUND(+'WP II-E-3.3'!R18*$E$112,2)</f>
        <v>97707.619999999995</v>
      </c>
      <c r="S118" s="12">
        <v>0</v>
      </c>
      <c r="T118" s="12">
        <f>ROUND(+'WP II-E-3.3'!T18*$E$112,2)</f>
        <v>38724.510000000002</v>
      </c>
      <c r="U118" s="12">
        <v>0</v>
      </c>
    </row>
    <row r="119" spans="1:21" ht="12.75">
      <c r="A119" s="8">
        <f t="shared" si="12"/>
        <v>108</v>
      </c>
      <c r="B119" s="11" t="s">
        <v>64</v>
      </c>
      <c r="C119" s="1" t="s">
        <v>65</v>
      </c>
      <c r="D119" s="8" t="s">
        <v>55</v>
      </c>
      <c r="E119" s="8" t="s">
        <v>52</v>
      </c>
      <c r="F119" s="12">
        <f>ROUND(+'WP II-E-3.3'!F19*$E$112,2)</f>
        <v>324084.78999999998</v>
      </c>
      <c r="G119" s="12">
        <f>ROUND(+'WP II-E-3.3'!G19*$E$112,2)</f>
        <v>719502.19999999995</v>
      </c>
      <c r="H119" s="12">
        <f>ROUND(+'WP II-E-3.3'!H19*$E$112,2)</f>
        <v>309750.28000000003</v>
      </c>
      <c r="I119" s="12">
        <v>0</v>
      </c>
      <c r="J119" s="12">
        <v>0</v>
      </c>
      <c r="K119" s="12">
        <f>ROUND(+'WP II-E-3.3'!K19*$E$112,2)</f>
        <v>372176.20000000001</v>
      </c>
      <c r="L119" s="12">
        <v>0</v>
      </c>
      <c r="M119" s="12">
        <f>ROUND(+'WP II-E-3.3'!M19*$E$112,2)</f>
        <v>91549.050000000003</v>
      </c>
      <c r="N119" s="12">
        <v>0</v>
      </c>
      <c r="O119" s="12">
        <f t="shared" si="17"/>
        <v>1817062.52</v>
      </c>
      <c r="P119" s="12">
        <f>ROUND(+'WP II-E-3.3'!P19*$E$112,2)</f>
        <v>306380.88</v>
      </c>
      <c r="Q119" s="12">
        <v>0</v>
      </c>
      <c r="R119" s="12">
        <f>ROUND(+'WP II-E-3.3'!R19*$E$112,2)</f>
        <v>244450</v>
      </c>
      <c r="S119" s="12">
        <v>0</v>
      </c>
      <c r="T119" s="12">
        <f>ROUND(+'WP II-E-3.3'!T19*$E$112,2)</f>
        <v>138410</v>
      </c>
      <c r="U119" s="12">
        <v>0</v>
      </c>
    </row>
    <row r="120" spans="1:21" ht="12.75">
      <c r="A120" s="8">
        <f t="shared" si="12"/>
        <v>109</v>
      </c>
      <c r="B120" s="11" t="s">
        <v>66</v>
      </c>
      <c r="C120" s="1" t="s">
        <v>67</v>
      </c>
      <c r="D120" s="8" t="s">
        <v>68</v>
      </c>
      <c r="E120" s="8" t="s">
        <v>52</v>
      </c>
      <c r="F120" s="12">
        <f>ROUND(+'WP II-E-3.3'!F20*$E$112,2)</f>
        <v>0</v>
      </c>
      <c r="G120" s="12">
        <f>ROUND(+'WP II-E-3.3'!G20*$E$112,2)</f>
        <v>0</v>
      </c>
      <c r="H120" s="12">
        <f>ROUND(+'WP II-E-3.3'!H20*$E$112,2)</f>
        <v>15466.82</v>
      </c>
      <c r="I120" s="12">
        <v>0</v>
      </c>
      <c r="J120" s="12">
        <v>0</v>
      </c>
      <c r="K120" s="12">
        <f>ROUND(+'WP II-E-3.3'!K20*$E$112,2)</f>
        <v>10080.15</v>
      </c>
      <c r="L120" s="12">
        <v>0</v>
      </c>
      <c r="M120" s="12">
        <f>ROUND(+'WP II-E-3.3'!M20*$E$112,2)</f>
        <v>0</v>
      </c>
      <c r="N120" s="12">
        <v>0</v>
      </c>
      <c r="O120" s="12">
        <f t="shared" si="17"/>
        <v>25546.970000000001</v>
      </c>
      <c r="P120" s="12">
        <f>ROUND(+'WP II-E-3.3'!P20*$E$112,2)</f>
        <v>5251.2700000000004</v>
      </c>
      <c r="Q120" s="12">
        <v>0</v>
      </c>
      <c r="R120" s="12">
        <f>ROUND(+'WP II-E-3.3'!R20*$E$112,2)</f>
        <v>3596.21</v>
      </c>
      <c r="S120" s="12">
        <v>0</v>
      </c>
      <c r="T120" s="12">
        <f>ROUND(+'WP II-E-3.3'!T20*$E$112,2)</f>
        <v>2571.54</v>
      </c>
      <c r="U120" s="12">
        <v>0</v>
      </c>
    </row>
    <row r="121" spans="1:21" ht="12.75">
      <c r="A121" s="8">
        <f t="shared" si="12"/>
        <v>110</v>
      </c>
      <c r="B121" s="11" t="s">
        <v>69</v>
      </c>
      <c r="C121" s="1" t="s">
        <v>70</v>
      </c>
      <c r="D121" s="8" t="s">
        <v>71</v>
      </c>
      <c r="E121" s="8" t="s">
        <v>52</v>
      </c>
      <c r="F121" s="12">
        <f>ROUND(+'WP II-E-3.3'!F21*$E$112,2)</f>
        <v>2511976.5899999999</v>
      </c>
      <c r="G121" s="12">
        <f>ROUND(+'WP II-E-3.3'!G21*$E$112,2)</f>
        <v>9888404.4399999995</v>
      </c>
      <c r="H121" s="12">
        <f>ROUND(+'WP II-E-3.3'!H21*$E$112,2)</f>
        <v>5996747.0499999998</v>
      </c>
      <c r="I121" s="12">
        <v>0</v>
      </c>
      <c r="J121" s="12">
        <v>0</v>
      </c>
      <c r="K121" s="12">
        <f>ROUND(+'WP II-E-3.3'!K21*$E$112,2)</f>
        <v>15393263.24</v>
      </c>
      <c r="L121" s="12">
        <v>0</v>
      </c>
      <c r="M121" s="12">
        <f>ROUND(+'WP II-E-3.3'!M21*$E$112,2)</f>
        <v>23512289.350000001</v>
      </c>
      <c r="N121" s="12">
        <v>0</v>
      </c>
      <c r="O121" s="12">
        <f t="shared" si="17"/>
        <v>57302680.670000002</v>
      </c>
      <c r="P121" s="12">
        <f>ROUND(+'WP II-E-3.3'!P21*$E$112,2)</f>
        <v>4105721.0299999998</v>
      </c>
      <c r="Q121" s="12">
        <v>0</v>
      </c>
      <c r="R121" s="12">
        <f>ROUND(+'WP II-E-3.3'!R21*$E$112,2)</f>
        <v>4880443.1699999999</v>
      </c>
      <c r="S121" s="12">
        <v>0</v>
      </c>
      <c r="T121" s="12">
        <f>ROUND(+'WP II-E-3.3'!T21*$E$112,2)</f>
        <v>4381018.2400000002</v>
      </c>
      <c r="U121" s="12">
        <v>0</v>
      </c>
    </row>
    <row r="122" spans="1:21" ht="12.75">
      <c r="A122" s="8">
        <f t="shared" si="12"/>
        <v>111</v>
      </c>
      <c r="B122" s="11" t="s">
        <v>72</v>
      </c>
      <c r="C122" s="1" t="s">
        <v>73</v>
      </c>
      <c r="D122" s="8" t="s">
        <v>51</v>
      </c>
      <c r="E122" s="8" t="s">
        <v>52</v>
      </c>
      <c r="F122" s="12">
        <f>ROUND(+'WP II-E-3.3'!F22*$E$112,2)</f>
        <v>0</v>
      </c>
      <c r="G122" s="12">
        <f>ROUND(+'WP II-E-3.3'!G22*$E$112,2)</f>
        <v>0</v>
      </c>
      <c r="H122" s="12">
        <f>ROUND(+'WP II-E-3.3'!H22*$E$112,2)</f>
        <v>0</v>
      </c>
      <c r="I122" s="12">
        <v>0</v>
      </c>
      <c r="J122" s="12">
        <v>0</v>
      </c>
      <c r="K122" s="12">
        <f>ROUND(+'WP II-E-3.3'!K22*$E$112,2)</f>
        <v>-911.01999999999998</v>
      </c>
      <c r="L122" s="12">
        <v>0</v>
      </c>
      <c r="M122" s="12">
        <f>ROUND(+'WP II-E-3.3'!M22*$E$112,2)</f>
        <v>0</v>
      </c>
      <c r="N122" s="12">
        <v>0</v>
      </c>
      <c r="O122" s="12">
        <f t="shared" si="17"/>
        <v>-911.01999999999998</v>
      </c>
      <c r="P122" s="12">
        <f>ROUND(+'WP II-E-3.3'!P22*$E$112,2)</f>
        <v>-251</v>
      </c>
      <c r="Q122" s="12">
        <v>0</v>
      </c>
      <c r="R122" s="12">
        <f>ROUND(+'WP II-E-3.3'!R22*$E$112,2)</f>
        <v>-179.28999999999999</v>
      </c>
      <c r="S122" s="12">
        <v>0</v>
      </c>
      <c r="T122" s="12">
        <f>ROUND(+'WP II-E-3.3'!T22*$E$112,2)</f>
        <v>-128.05000000000001</v>
      </c>
      <c r="U122" s="12">
        <v>0</v>
      </c>
    </row>
    <row r="123" spans="1:21" ht="12.75">
      <c r="A123" s="8">
        <f t="shared" si="12"/>
        <v>112</v>
      </c>
      <c r="B123" s="14" t="s">
        <v>74</v>
      </c>
      <c r="C123" s="1" t="s">
        <v>75</v>
      </c>
      <c r="D123" s="8" t="s">
        <v>76</v>
      </c>
      <c r="E123" s="8" t="s">
        <v>52</v>
      </c>
      <c r="F123" s="12">
        <f>ROUND(+'WP II-E-3.3'!F23*$E$112,2)</f>
        <v>125770540.59999999</v>
      </c>
      <c r="G123" s="12">
        <f>ROUND(+'WP II-E-3.3'!G23*$E$112,2)</f>
        <v>248831289.47</v>
      </c>
      <c r="H123" s="12">
        <f>ROUND(+'WP II-E-3.3'!H23*$E$112,2)</f>
        <v>308108358.06</v>
      </c>
      <c r="I123" s="12">
        <v>0</v>
      </c>
      <c r="J123" s="12">
        <v>0</v>
      </c>
      <c r="K123" s="12">
        <f>ROUND(+'WP II-E-3.3'!K23*$E$112,2)</f>
        <v>389742011.69999999</v>
      </c>
      <c r="L123" s="12">
        <v>0</v>
      </c>
      <c r="M123" s="12">
        <f>ROUND(+'WP II-E-3.3'!M23*$E$112,2)</f>
        <v>408239977.93000001</v>
      </c>
      <c r="N123" s="12">
        <v>0</v>
      </c>
      <c r="O123" s="12">
        <f t="shared" si="17"/>
        <v>1480692177.76</v>
      </c>
      <c r="P123" s="12">
        <f>ROUND(+'WP II-E-3.3'!P23*$E$112,2)</f>
        <v>85887380.760000005</v>
      </c>
      <c r="Q123" s="12">
        <v>0</v>
      </c>
      <c r="R123" s="12">
        <f>ROUND(+'WP II-E-3.3'!R23*$E$112,2)</f>
        <v>94575516.980000004</v>
      </c>
      <c r="S123" s="12">
        <v>0</v>
      </c>
      <c r="T123" s="12">
        <f>ROUND(+'WP II-E-3.3'!T23*$E$112,2)</f>
        <v>87479057.959999993</v>
      </c>
      <c r="U123" s="12">
        <v>0</v>
      </c>
    </row>
    <row r="124" spans="1:21" ht="12.75">
      <c r="A124" s="8">
        <f t="shared" si="12"/>
        <v>113</v>
      </c>
      <c r="B124" s="1" t="s">
        <v>77</v>
      </c>
      <c r="C124" s="1" t="s">
        <v>78</v>
      </c>
      <c r="D124" s="8" t="s">
        <v>71</v>
      </c>
      <c r="E124" s="8" t="s">
        <v>52</v>
      </c>
      <c r="F124" s="12">
        <f>ROUND(+'WP II-E-3.3'!F24*$E$112,2)</f>
        <v>156609446.63</v>
      </c>
      <c r="G124" s="12">
        <f>ROUND(+'WP II-E-3.3'!G24*$E$112,2)</f>
        <v>318207424.37</v>
      </c>
      <c r="H124" s="12">
        <f>ROUND(+'WP II-E-3.3'!H24*$E$112,2)</f>
        <v>431798548.23000002</v>
      </c>
      <c r="I124" s="12">
        <v>0</v>
      </c>
      <c r="J124" s="12">
        <v>0</v>
      </c>
      <c r="K124" s="12">
        <f>ROUND(+'WP II-E-3.3'!K24*$E$112,2)</f>
        <v>533454772.94999999</v>
      </c>
      <c r="L124" s="12">
        <v>0</v>
      </c>
      <c r="M124" s="12">
        <f>ROUND(+'WP II-E-3.3'!M24*$E$112,2)</f>
        <v>525572286.52999997</v>
      </c>
      <c r="N124" s="12">
        <v>0</v>
      </c>
      <c r="O124" s="12">
        <f t="shared" si="17"/>
        <v>1965642478.71</v>
      </c>
      <c r="P124" s="12">
        <f>ROUND(+'WP II-E-3.3'!P24*$E$112,2)</f>
        <v>149433232.75999999</v>
      </c>
      <c r="Q124" s="12">
        <v>0</v>
      </c>
      <c r="R124" s="12">
        <f>ROUND(+'WP II-E-3.3'!R24*$E$112,2)</f>
        <v>161090093.52000001</v>
      </c>
      <c r="S124" s="12">
        <v>0</v>
      </c>
      <c r="T124" s="12">
        <f>ROUND(+'WP II-E-3.3'!T24*$E$112,2)</f>
        <v>145057863.31</v>
      </c>
      <c r="U124" s="12">
        <v>0</v>
      </c>
    </row>
    <row r="125" spans="1:21" ht="12.75">
      <c r="A125" s="8">
        <f t="shared" si="12"/>
        <v>114</v>
      </c>
      <c r="B125" s="1" t="s">
        <v>79</v>
      </c>
      <c r="C125" s="1" t="s">
        <v>80</v>
      </c>
      <c r="D125" s="8" t="s">
        <v>76</v>
      </c>
      <c r="E125" s="8" t="s">
        <v>52</v>
      </c>
      <c r="F125" s="12">
        <f>ROUND(+'WP II-E-3.3'!F25*$E$112,2)</f>
        <v>1420169.1299999999</v>
      </c>
      <c r="G125" s="12">
        <f>ROUND(+'WP II-E-3.3'!G25*$E$112,2)</f>
        <v>1088288.26</v>
      </c>
      <c r="H125" s="12">
        <f>ROUND(+'WP II-E-3.3'!H25*$E$112,2)</f>
        <v>5188494.1799999997</v>
      </c>
      <c r="I125" s="12">
        <v>0</v>
      </c>
      <c r="J125" s="12">
        <v>0</v>
      </c>
      <c r="K125" s="12">
        <f>ROUND(+'WP II-E-3.3'!K25*$E$112,2)</f>
        <v>5809539.1699999999</v>
      </c>
      <c r="L125" s="12">
        <v>0</v>
      </c>
      <c r="M125" s="12">
        <f>ROUND(+'WP II-E-3.3'!M25*$E$112,2)</f>
        <v>5212402.1699999999</v>
      </c>
      <c r="N125" s="12">
        <v>0</v>
      </c>
      <c r="O125" s="12">
        <f t="shared" si="17"/>
        <v>18718892.909999996</v>
      </c>
      <c r="P125" s="12">
        <f>ROUND(+'WP II-E-3.3'!P25*$E$112,2)</f>
        <v>1452346.0800000001</v>
      </c>
      <c r="Q125" s="12">
        <v>0</v>
      </c>
      <c r="R125" s="12">
        <f>ROUND(+'WP II-E-3.3'!R25*$E$112,2)</f>
        <v>1501192.3899999999</v>
      </c>
      <c r="S125" s="12">
        <v>0</v>
      </c>
      <c r="T125" s="12">
        <f>ROUND(+'WP II-E-3.3'!T25*$E$112,2)</f>
        <v>1292155.52</v>
      </c>
      <c r="U125" s="12">
        <v>0</v>
      </c>
    </row>
    <row r="126" spans="1:21" ht="12.75">
      <c r="A126" s="8">
        <f t="shared" si="12"/>
        <v>115</v>
      </c>
      <c r="B126" s="1" t="s">
        <v>81</v>
      </c>
      <c r="C126" s="1" t="s">
        <v>82</v>
      </c>
      <c r="D126" s="8" t="s">
        <v>68</v>
      </c>
      <c r="E126" s="8" t="s">
        <v>52</v>
      </c>
      <c r="F126" s="12">
        <f>ROUND(+'WP II-E-3.3'!F26*$E$112,2)</f>
        <v>11788425.220000001</v>
      </c>
      <c r="G126" s="12">
        <f>ROUND(+'WP II-E-3.3'!G26*$E$112,2)</f>
        <v>30754216.539999999</v>
      </c>
      <c r="H126" s="12">
        <f>ROUND(+'WP II-E-3.3'!H26*$E$112,2)</f>
        <v>37516650.93</v>
      </c>
      <c r="I126" s="12">
        <v>0</v>
      </c>
      <c r="J126" s="12">
        <v>0</v>
      </c>
      <c r="K126" s="12">
        <f>ROUND(+'WP II-E-3.3'!K26*$E$112,2)</f>
        <v>40461628.270000003</v>
      </c>
      <c r="L126" s="12">
        <v>0</v>
      </c>
      <c r="M126" s="12">
        <f>ROUND(+'WP II-E-3.3'!M26*$E$112,2)</f>
        <v>42371465.939999998</v>
      </c>
      <c r="N126" s="12">
        <v>0</v>
      </c>
      <c r="O126" s="12">
        <f t="shared" si="17"/>
        <v>162892386.90000001</v>
      </c>
      <c r="P126" s="12">
        <f>ROUND(+'WP II-E-3.3'!P26*$E$112,2)</f>
        <v>13979631.199999999</v>
      </c>
      <c r="Q126" s="12">
        <v>0</v>
      </c>
      <c r="R126" s="12">
        <f>ROUND(+'WP II-E-3.3'!R26*$E$112,2)</f>
        <v>14981355.310000001</v>
      </c>
      <c r="S126" s="12">
        <v>0</v>
      </c>
      <c r="T126" s="12">
        <f>ROUND(+'WP II-E-3.3'!T26*$E$112,2)</f>
        <v>13400107.119999999</v>
      </c>
      <c r="U126" s="12">
        <v>0</v>
      </c>
    </row>
    <row r="127" spans="1:21" ht="12.75">
      <c r="A127" s="8">
        <f t="shared" si="12"/>
        <v>116</v>
      </c>
      <c r="B127" s="1" t="s">
        <v>83</v>
      </c>
      <c r="C127" s="1" t="s">
        <v>84</v>
      </c>
      <c r="D127" s="8" t="s">
        <v>51</v>
      </c>
      <c r="E127" s="8" t="s">
        <v>52</v>
      </c>
      <c r="F127" s="12">
        <f>ROUND(+'WP II-E-3.3'!F27*$E$112,2)</f>
        <v>5364920.9500000002</v>
      </c>
      <c r="G127" s="12">
        <f>ROUND(+'WP II-E-3.3'!G27*$E$112,2)</f>
        <v>9245902.3000000007</v>
      </c>
      <c r="H127" s="12">
        <f>ROUND(+'WP II-E-3.3'!H27*$E$112,2)</f>
        <v>11879285.43</v>
      </c>
      <c r="I127" s="12">
        <v>0</v>
      </c>
      <c r="J127" s="12">
        <v>0</v>
      </c>
      <c r="K127" s="12">
        <f>ROUND(+'WP II-E-3.3'!K27*$E$112,2)</f>
        <v>12496488.630000001</v>
      </c>
      <c r="L127" s="12">
        <v>0</v>
      </c>
      <c r="M127" s="12">
        <f>ROUND(+'WP II-E-3.3'!M27*$E$112,2)</f>
        <v>12097872.390000001</v>
      </c>
      <c r="N127" s="12">
        <v>0</v>
      </c>
      <c r="O127" s="12">
        <f t="shared" si="17"/>
        <v>51084469.700000003</v>
      </c>
      <c r="P127" s="12">
        <f>ROUND(+'WP II-E-3.3'!P27*$E$112,2)</f>
        <v>3156290.5299999998</v>
      </c>
      <c r="Q127" s="12">
        <v>0</v>
      </c>
      <c r="R127" s="12">
        <f>ROUND(+'WP II-E-3.3'!R27*$E$112,2)</f>
        <v>3340799.27</v>
      </c>
      <c r="S127" s="12">
        <v>0</v>
      </c>
      <c r="T127" s="12">
        <f>ROUND(+'WP II-E-3.3'!T27*$E$112,2)</f>
        <v>3117294.9199999999</v>
      </c>
      <c r="U127" s="12">
        <v>0</v>
      </c>
    </row>
    <row r="128" spans="1:21" ht="12.75">
      <c r="A128" s="8">
        <f t="shared" si="12"/>
        <v>117</v>
      </c>
      <c r="B128" s="11" t="s">
        <v>85</v>
      </c>
      <c r="C128" s="1" t="s">
        <v>86</v>
      </c>
      <c r="D128" s="8" t="s">
        <v>55</v>
      </c>
      <c r="E128" s="8" t="s">
        <v>52</v>
      </c>
      <c r="F128" s="12">
        <f>ROUND(+'WP II-E-3.3'!F28*$E$112,2)</f>
        <v>2003446.3899999999</v>
      </c>
      <c r="G128" s="12">
        <f>ROUND(+'WP II-E-3.3'!G28*$E$112,2)</f>
        <v>3154626.5099999998</v>
      </c>
      <c r="H128" s="12">
        <f>ROUND(+'WP II-E-3.3'!H28*$E$112,2)</f>
        <v>2452983.3999999999</v>
      </c>
      <c r="I128" s="12">
        <v>0</v>
      </c>
      <c r="J128" s="12">
        <v>0</v>
      </c>
      <c r="K128" s="12">
        <f>ROUND(+'WP II-E-3.3'!K28*$E$112,2)</f>
        <v>7031266.2000000002</v>
      </c>
      <c r="L128" s="12">
        <v>0</v>
      </c>
      <c r="M128" s="12">
        <f>ROUND(+'WP II-E-3.3'!M28*$E$112,2)</f>
        <v>4703615.1100000003</v>
      </c>
      <c r="N128" s="12">
        <v>0</v>
      </c>
      <c r="O128" s="12">
        <f t="shared" si="17"/>
        <v>19345937.609999999</v>
      </c>
      <c r="P128" s="12">
        <f>ROUND(+'WP II-E-3.3'!P28*$E$112,2)</f>
        <v>4532690.5300000003</v>
      </c>
      <c r="Q128" s="12">
        <v>0</v>
      </c>
      <c r="R128" s="12">
        <f>ROUND(+'WP II-E-3.3'!R28*$E$112,2)</f>
        <v>3863336.5499999998</v>
      </c>
      <c r="S128" s="12">
        <v>0</v>
      </c>
      <c r="T128" s="12">
        <f>ROUND(+'WP II-E-3.3'!T28*$E$112,2)</f>
        <v>2288716.7200000002</v>
      </c>
      <c r="U128" s="12">
        <v>0</v>
      </c>
    </row>
    <row r="129" spans="1:21" ht="12.75">
      <c r="A129" s="8">
        <f t="shared" si="12"/>
        <v>118</v>
      </c>
      <c r="B129" s="1" t="s">
        <v>87</v>
      </c>
      <c r="C129" s="1" t="s">
        <v>88</v>
      </c>
      <c r="D129" s="8" t="s">
        <v>89</v>
      </c>
      <c r="E129" s="8" t="s">
        <v>90</v>
      </c>
      <c r="F129" s="12">
        <f>ROUND(+'WP II-E-3.3'!F29*$E$112,2)</f>
        <v>8004900.8499999996</v>
      </c>
      <c r="G129" s="12">
        <f>ROUND(+'WP II-E-3.3'!G29*$E$112,2)</f>
        <v>0</v>
      </c>
      <c r="H129" s="12">
        <f>ROUND(+'WP II-E-3.3'!H29*$E$112,2)</f>
        <v>0</v>
      </c>
      <c r="I129" s="12">
        <v>0</v>
      </c>
      <c r="J129" s="12">
        <v>0</v>
      </c>
      <c r="K129" s="12">
        <f>ROUND(+'WP II-E-3.3'!K29*$E$112,2)</f>
        <v>0</v>
      </c>
      <c r="L129" s="12">
        <v>0</v>
      </c>
      <c r="M129" s="12">
        <f>ROUND(+'WP II-E-3.3'!M29*$E$112,2)</f>
        <v>0</v>
      </c>
      <c r="N129" s="12">
        <v>0</v>
      </c>
      <c r="O129" s="12">
        <f t="shared" si="17"/>
        <v>8004900.8499999996</v>
      </c>
      <c r="P129" s="12">
        <f>ROUND(+'WP II-E-3.3'!P29*$E$112,2)</f>
        <v>533606.68999999994</v>
      </c>
      <c r="Q129" s="12">
        <v>0</v>
      </c>
      <c r="R129" s="12">
        <f>ROUND(+'WP II-E-3.3'!R29*$E$112,2)</f>
        <v>533686.73999999999</v>
      </c>
      <c r="S129" s="12">
        <v>0</v>
      </c>
      <c r="T129" s="12">
        <f>ROUND(+'WP II-E-3.3'!T29*$E$112,2)</f>
        <v>533686.73999999999</v>
      </c>
      <c r="U129" s="12">
        <v>0</v>
      </c>
    </row>
    <row r="130" spans="1:21" ht="12.75">
      <c r="A130" s="8">
        <f t="shared" si="12"/>
        <v>119</v>
      </c>
      <c r="B130" s="1" t="s">
        <v>91</v>
      </c>
      <c r="C130" s="1" t="s">
        <v>92</v>
      </c>
      <c r="D130" s="8" t="s">
        <v>93</v>
      </c>
      <c r="E130" s="8" t="s">
        <v>90</v>
      </c>
      <c r="F130" s="12">
        <f>ROUND(+'WP II-E-3.3'!F30*$E$112,2)</f>
        <v>21534.610000000001</v>
      </c>
      <c r="G130" s="12">
        <f>ROUND(+'WP II-E-3.3'!G30*$E$112,2)</f>
        <v>5022.6099999999997</v>
      </c>
      <c r="H130" s="12">
        <f>ROUND(+'WP II-E-3.3'!H30*$E$112,2)</f>
        <v>0</v>
      </c>
      <c r="I130" s="12">
        <v>0</v>
      </c>
      <c r="J130" s="12">
        <v>0</v>
      </c>
      <c r="K130" s="12">
        <f>ROUND(+'WP II-E-3.3'!K30*$E$112,2)</f>
        <v>12931988.65</v>
      </c>
      <c r="L130" s="12">
        <v>0</v>
      </c>
      <c r="M130" s="12">
        <f>ROUND(+'WP II-E-3.3'!M30*$E$112,2)</f>
        <v>77135.800000000003</v>
      </c>
      <c r="N130" s="12">
        <v>0</v>
      </c>
      <c r="O130" s="12">
        <f t="shared" si="17"/>
        <v>13035681.670000002</v>
      </c>
      <c r="P130" s="12">
        <f>ROUND(+'WP II-E-3.3'!P30*$E$112,2)</f>
        <v>333736.32000000001</v>
      </c>
      <c r="Q130" s="12">
        <v>0</v>
      </c>
      <c r="R130" s="12">
        <f>ROUND(+'WP II-E-3.3'!R30*$E$112,2)</f>
        <v>334234.91999999998</v>
      </c>
      <c r="S130" s="12">
        <v>0</v>
      </c>
      <c r="T130" s="12">
        <f>ROUND(+'WP II-E-3.3'!T30*$E$112,2)</f>
        <v>334235.08000000002</v>
      </c>
      <c r="U130" s="12">
        <v>0</v>
      </c>
    </row>
    <row r="131" spans="1:21" ht="12.75">
      <c r="A131" s="8">
        <f t="shared" si="12"/>
        <v>120</v>
      </c>
      <c r="B131" s="1" t="s">
        <v>94</v>
      </c>
      <c r="C131" s="1" t="s">
        <v>95</v>
      </c>
      <c r="D131" s="8" t="s">
        <v>96</v>
      </c>
      <c r="E131" s="8" t="s">
        <v>52</v>
      </c>
      <c r="F131" s="12">
        <f>ROUND(+'WP II-E-3.3'!F31*$E$112,2)</f>
        <v>619502.01000000001</v>
      </c>
      <c r="G131" s="12">
        <f>ROUND(+'WP II-E-3.3'!G31*$E$112,2)</f>
        <v>1042793.78</v>
      </c>
      <c r="H131" s="12">
        <f>ROUND(+'WP II-E-3.3'!H31*$E$112,2)</f>
        <v>3086255.3300000001</v>
      </c>
      <c r="I131" s="12">
        <v>0</v>
      </c>
      <c r="J131" s="12">
        <v>0</v>
      </c>
      <c r="K131" s="12">
        <f>ROUND(+'WP II-E-3.3'!K31*$E$112,2)</f>
        <v>-55441.160000000003</v>
      </c>
      <c r="L131" s="12">
        <v>0</v>
      </c>
      <c r="M131" s="12">
        <f>ROUND(+'WP II-E-3.3'!M31*$E$112,2)</f>
        <v>4191843.9900000002</v>
      </c>
      <c r="N131" s="12">
        <v>0</v>
      </c>
      <c r="O131" s="12">
        <f t="shared" si="17"/>
        <v>8884953.9499999993</v>
      </c>
      <c r="P131" s="12">
        <f>ROUND(+'WP II-E-3.3'!P31*$E$112,2)</f>
        <v>174274.32999999999</v>
      </c>
      <c r="Q131" s="12">
        <v>0</v>
      </c>
      <c r="R131" s="12">
        <f>ROUND(+'WP II-E-3.3'!R31*$E$112,2)</f>
        <v>233508.70000000001</v>
      </c>
      <c r="S131" s="12">
        <v>0</v>
      </c>
      <c r="T131" s="12">
        <f>ROUND(+'WP II-E-3.3'!T31*$E$112,2)</f>
        <v>229065.5</v>
      </c>
      <c r="U131" s="12">
        <v>0</v>
      </c>
    </row>
    <row r="132" spans="1:21" ht="12.75">
      <c r="A132" s="8">
        <f t="shared" si="12"/>
        <v>121</v>
      </c>
      <c r="B132" s="1" t="s">
        <v>97</v>
      </c>
      <c r="C132" s="1" t="s">
        <v>98</v>
      </c>
      <c r="D132" s="8" t="s">
        <v>99</v>
      </c>
      <c r="E132" s="8" t="s">
        <v>52</v>
      </c>
      <c r="F132" s="12">
        <f>ROUND(+'WP II-E-3.3'!F32*$E$112,2)</f>
        <v>5371439.7400000002</v>
      </c>
      <c r="G132" s="12">
        <f>ROUND(+'WP II-E-3.3'!G32*$E$112,2)</f>
        <v>1905494.24</v>
      </c>
      <c r="H132" s="12">
        <f>ROUND(+'WP II-E-3.3'!H32*$E$112,2)</f>
        <v>8841591.8900000006</v>
      </c>
      <c r="I132" s="12">
        <v>0</v>
      </c>
      <c r="J132" s="12">
        <v>0</v>
      </c>
      <c r="K132" s="12">
        <f>ROUND(+'WP II-E-3.3'!K32*$E$112,2)</f>
        <v>23532482.359999999</v>
      </c>
      <c r="L132" s="12">
        <v>0</v>
      </c>
      <c r="M132" s="12">
        <f>ROUND(+'WP II-E-3.3'!M32*$E$112,2)</f>
        <v>7801288.8899999997</v>
      </c>
      <c r="N132" s="12">
        <v>0</v>
      </c>
      <c r="O132" s="12">
        <f t="shared" si="17"/>
        <v>47452297.120000005</v>
      </c>
      <c r="P132" s="12">
        <f>ROUND(+'WP II-E-3.3'!P32*$E$112,2)</f>
        <v>3632847.1200000001</v>
      </c>
      <c r="Q132" s="12">
        <v>0</v>
      </c>
      <c r="R132" s="12">
        <f>ROUND(+'WP II-E-3.3'!R32*$E$112,2)</f>
        <v>3671709.5600000001</v>
      </c>
      <c r="S132" s="12">
        <v>0</v>
      </c>
      <c r="T132" s="12">
        <f>ROUND(+'WP II-E-3.3'!T32*$E$112,2)</f>
        <v>3311464.8399999999</v>
      </c>
      <c r="U132" s="12">
        <v>0</v>
      </c>
    </row>
    <row r="133" spans="1:21" ht="12.75">
      <c r="A133" s="8">
        <f t="shared" si="12"/>
        <v>122</v>
      </c>
      <c r="B133" s="1" t="s">
        <v>100</v>
      </c>
      <c r="C133" s="1" t="s">
        <v>101</v>
      </c>
      <c r="D133" s="8" t="s">
        <v>102</v>
      </c>
      <c r="F133" s="12">
        <f>ROUND(+'WP II-E-3.3'!F33*$E$112,2)</f>
        <v>4038747.7000000002</v>
      </c>
      <c r="G133" s="12">
        <f>ROUND(+'WP II-E-3.3'!G33*$E$112,2)</f>
        <v>14372506.960000001</v>
      </c>
      <c r="H133" s="12">
        <f>ROUND(+'WP II-E-3.3'!H33*$E$112,2)</f>
        <v>1532222.45</v>
      </c>
      <c r="I133" s="12">
        <v>0</v>
      </c>
      <c r="J133" s="12">
        <v>0</v>
      </c>
      <c r="K133" s="12">
        <f>ROUND(+'WP II-E-3.3'!K33*$E$112,2)</f>
        <v>7765519.5899999999</v>
      </c>
      <c r="L133" s="12">
        <v>0</v>
      </c>
      <c r="M133" s="12">
        <f>ROUND(+'WP II-E-3.3'!M33*$E$112,2)</f>
        <v>16981675.699999999</v>
      </c>
      <c r="N133" s="12">
        <v>0</v>
      </c>
      <c r="O133" s="12">
        <f t="shared" si="17"/>
        <v>44690672.399999999</v>
      </c>
      <c r="P133" s="12">
        <f>ROUND(+'WP II-E-3.3'!P33*$E$112,2)</f>
        <v>0</v>
      </c>
      <c r="Q133" s="12">
        <v>0</v>
      </c>
      <c r="R133" s="12">
        <f>ROUND(+'WP II-E-3.3'!R33*$E$112,2)</f>
        <v>0</v>
      </c>
      <c r="S133" s="12">
        <v>0</v>
      </c>
      <c r="T133" s="12">
        <f>ROUND(+'WP II-E-3.3'!T33*$E$112,2)</f>
        <v>0</v>
      </c>
      <c r="U133" s="12">
        <v>0</v>
      </c>
    </row>
    <row r="134" spans="1:21" ht="12.75">
      <c r="A134" s="8">
        <f t="shared" si="12"/>
        <v>123</v>
      </c>
      <c r="B134" s="1" t="s">
        <v>103</v>
      </c>
      <c r="C134" s="1" t="s">
        <v>104</v>
      </c>
      <c r="D134" s="8" t="s">
        <v>93</v>
      </c>
      <c r="E134" s="8" t="s">
        <v>90</v>
      </c>
      <c r="F134" s="12">
        <f>ROUND(+'WP II-E-3.3'!F34*$E$112,2)</f>
        <v>10904192.300000001</v>
      </c>
      <c r="G134" s="12">
        <f>ROUND(+'WP II-E-3.3'!G34*$E$112,2)</f>
        <v>15698384</v>
      </c>
      <c r="H134" s="12">
        <f>ROUND(+'WP II-E-3.3'!H34*$E$112,2)</f>
        <v>14625397.51</v>
      </c>
      <c r="I134" s="12">
        <v>0</v>
      </c>
      <c r="J134" s="12">
        <v>0</v>
      </c>
      <c r="K134" s="12">
        <f>ROUND(+'WP II-E-3.3'!K34*$E$112,2)</f>
        <v>20157159.489999998</v>
      </c>
      <c r="L134" s="12">
        <v>0</v>
      </c>
      <c r="M134" s="12">
        <f>ROUND(+'WP II-E-3.3'!M34*$E$112,2)</f>
        <v>27816587.16</v>
      </c>
      <c r="N134" s="12">
        <v>0</v>
      </c>
      <c r="O134" s="12">
        <f t="shared" si="17"/>
        <v>89201720.459999993</v>
      </c>
      <c r="P134" s="12">
        <f>ROUND(+'WP II-E-3.3'!P34*$E$112,2)</f>
        <v>1811678.3400000001</v>
      </c>
      <c r="Q134" s="12">
        <v>0</v>
      </c>
      <c r="R134" s="12">
        <f>ROUND(+'WP II-E-3.3'!R34*$E$112,2)</f>
        <v>2285195.6000000001</v>
      </c>
      <c r="S134" s="12">
        <v>0</v>
      </c>
      <c r="T134" s="12">
        <f>ROUND(+'WP II-E-3.3'!T34*$E$112,2)</f>
        <v>2285232.5800000001</v>
      </c>
      <c r="U134" s="12">
        <v>0</v>
      </c>
    </row>
    <row r="135" spans="1:23" ht="12.75">
      <c r="A135" s="8">
        <f t="shared" si="12"/>
        <v>124</v>
      </c>
      <c r="B135" s="15" t="s">
        <v>112</v>
      </c>
      <c r="F135" s="22">
        <f>SUM(F113:F134)</f>
        <v>343211050.47000003</v>
      </c>
      <c r="G135" s="22">
        <f t="shared" si="18" ref="G135:W135">SUM(G113:G134)</f>
        <v>660217517.39999998</v>
      </c>
      <c r="H135" s="22">
        <f t="shared" si="18"/>
        <v>839122757.45999992</v>
      </c>
      <c r="I135" s="22">
        <f t="shared" si="18"/>
        <v>0</v>
      </c>
      <c r="J135" s="22">
        <f t="shared" si="18"/>
        <v>0</v>
      </c>
      <c r="K135" s="22">
        <f t="shared" si="18"/>
        <v>1107078699.1499999</v>
      </c>
      <c r="L135" s="22">
        <f t="shared" si="18"/>
        <v>0</v>
      </c>
      <c r="M135" s="22">
        <f t="shared" si="18"/>
        <v>1089345270.5099998</v>
      </c>
      <c r="N135" s="22">
        <f t="shared" si="18"/>
        <v>0</v>
      </c>
      <c r="O135" s="22">
        <f t="shared" si="18"/>
        <v>4038975294.9899998</v>
      </c>
      <c r="P135" s="22">
        <f t="shared" si="18"/>
        <v>288032552.20999992</v>
      </c>
      <c r="Q135" s="22">
        <f t="shared" si="18"/>
        <v>0</v>
      </c>
      <c r="R135" s="22">
        <f t="shared" si="18"/>
        <v>305606813.28000003</v>
      </c>
      <c r="S135" s="22">
        <f t="shared" si="18"/>
        <v>0</v>
      </c>
      <c r="T135" s="22">
        <f t="shared" si="18"/>
        <v>272258736.95999998</v>
      </c>
      <c r="U135" s="22">
        <f t="shared" si="18"/>
        <v>0</v>
      </c>
      <c r="V135" s="22">
        <f>ROUND(+V35*E112,2)</f>
        <v>305178340.11000001</v>
      </c>
      <c r="W135" s="22">
        <f t="shared" si="18"/>
        <v>0</v>
      </c>
    </row>
    <row r="136" spans="1:1" ht="12.75">
      <c r="A136" s="8">
        <f t="shared" si="12"/>
        <v>125</v>
      </c>
    </row>
    <row r="137" spans="1:7" ht="12.75">
      <c r="A137" s="8">
        <f t="shared" si="12"/>
        <v>126</v>
      </c>
      <c r="B137" s="20" t="s">
        <v>113</v>
      </c>
      <c r="C137" s="9"/>
      <c r="D137" s="9"/>
      <c r="E137" s="21">
        <f>+'[1]II-F Alloc_Factor'!$J$41</f>
        <v>0.075593887545488334</v>
      </c>
      <c r="F137" s="10"/>
      <c r="G137" s="10"/>
    </row>
    <row r="138" spans="1:22" ht="12.75">
      <c r="A138" s="8">
        <f t="shared" si="12"/>
        <v>127</v>
      </c>
      <c r="B138" s="11" t="s">
        <v>49</v>
      </c>
      <c r="C138" s="1" t="s">
        <v>50</v>
      </c>
      <c r="D138" s="8" t="s">
        <v>51</v>
      </c>
      <c r="E138" s="8" t="s">
        <v>52</v>
      </c>
      <c r="F138" s="12">
        <v>0</v>
      </c>
      <c r="G138" s="12">
        <v>0</v>
      </c>
      <c r="H138" s="12">
        <v>0</v>
      </c>
      <c r="I138" s="12">
        <f>ROUND(+I13*$E$137,2)</f>
        <v>305560.38</v>
      </c>
      <c r="J138" s="12">
        <f>ROUND(+J13*$E$137,2)</f>
        <v>-87397.679999999993</v>
      </c>
      <c r="K138" s="12">
        <v>0</v>
      </c>
      <c r="L138" s="12">
        <f>ROUND(+L13*$E$137,2)</f>
        <v>1777.1400000000001</v>
      </c>
      <c r="M138" s="12">
        <v>0</v>
      </c>
      <c r="N138" s="12">
        <f>ROUND(+N13*$E$137,2)</f>
        <v>0</v>
      </c>
      <c r="O138" s="12">
        <f>SUM(F138:N138)</f>
        <v>219939.84000000003</v>
      </c>
      <c r="P138" s="12">
        <v>0</v>
      </c>
      <c r="Q138" s="12">
        <f>ROUND(+Q13*$E$137,2)</f>
        <v>17252.25</v>
      </c>
      <c r="R138" s="12">
        <v>0</v>
      </c>
      <c r="S138" s="12">
        <f>ROUND(+S13*$E$137,2)</f>
        <v>7371.3800000000001</v>
      </c>
      <c r="T138" s="12">
        <v>0</v>
      </c>
      <c r="U138" s="12">
        <f>ROUND(+U13*$E$137,2)</f>
        <v>6426.8100000000004</v>
      </c>
      <c r="V138" s="12"/>
    </row>
    <row r="139" spans="1:22" ht="12.75">
      <c r="A139" s="8">
        <f t="shared" si="12"/>
        <v>128</v>
      </c>
      <c r="B139" s="11" t="s">
        <v>53</v>
      </c>
      <c r="C139" s="1" t="s">
        <v>54</v>
      </c>
      <c r="D139" s="8" t="s">
        <v>55</v>
      </c>
      <c r="E139" s="8" t="s">
        <v>52</v>
      </c>
      <c r="F139" s="12">
        <v>0</v>
      </c>
      <c r="G139" s="12">
        <v>0</v>
      </c>
      <c r="H139" s="12">
        <v>0</v>
      </c>
      <c r="I139" s="12">
        <f t="shared" si="19" ref="I139:J154">ROUND(+I14*$E$137,2)</f>
        <v>554.29999999999995</v>
      </c>
      <c r="J139" s="12">
        <f t="shared" si="19"/>
        <v>0</v>
      </c>
      <c r="K139" s="12">
        <v>0</v>
      </c>
      <c r="L139" s="12">
        <f t="shared" si="20" ref="L139:L159">ROUND(+L14*$E$137,2)</f>
        <v>0</v>
      </c>
      <c r="M139" s="12">
        <v>0</v>
      </c>
      <c r="N139" s="12">
        <f t="shared" si="21" ref="N139:N159">ROUND(+N14*$E$137,2)</f>
        <v>0</v>
      </c>
      <c r="O139" s="12">
        <f t="shared" si="22" ref="O139:O159">SUM(F139:N139)</f>
        <v>554.29999999999995</v>
      </c>
      <c r="P139" s="12">
        <v>0</v>
      </c>
      <c r="Q139" s="12">
        <f t="shared" si="23" ref="Q139:Q159">ROUND(+Q14*$E$137,2)</f>
        <v>34.380000000000003</v>
      </c>
      <c r="R139" s="12">
        <v>0</v>
      </c>
      <c r="S139" s="12">
        <f t="shared" si="24" ref="S139:S159">ROUND(+S14*$E$137,2)</f>
        <v>34.380000000000003</v>
      </c>
      <c r="T139" s="12">
        <v>0</v>
      </c>
      <c r="U139" s="12">
        <f t="shared" si="25" ref="U139:U159">ROUND(+U14*$E$137,2)</f>
        <v>34.380000000000003</v>
      </c>
      <c r="V139" s="12"/>
    </row>
    <row r="140" spans="1:22" ht="12.75">
      <c r="A140" s="8">
        <f t="shared" si="12"/>
        <v>129</v>
      </c>
      <c r="B140" s="11" t="s">
        <v>56</v>
      </c>
      <c r="C140" s="1" t="s">
        <v>57</v>
      </c>
      <c r="D140" s="8" t="s">
        <v>55</v>
      </c>
      <c r="E140" s="8" t="s">
        <v>52</v>
      </c>
      <c r="F140" s="12">
        <v>0</v>
      </c>
      <c r="G140" s="12">
        <v>0</v>
      </c>
      <c r="H140" s="12">
        <v>0</v>
      </c>
      <c r="I140" s="12">
        <f t="shared" si="19"/>
        <v>0</v>
      </c>
      <c r="J140" s="12">
        <f t="shared" si="19"/>
        <v>0</v>
      </c>
      <c r="K140" s="12">
        <v>0</v>
      </c>
      <c r="L140" s="12">
        <f t="shared" si="20"/>
        <v>0</v>
      </c>
      <c r="M140" s="12">
        <v>0</v>
      </c>
      <c r="N140" s="12">
        <f t="shared" si="21"/>
        <v>0</v>
      </c>
      <c r="O140" s="12">
        <f t="shared" si="22"/>
        <v>0</v>
      </c>
      <c r="P140" s="12">
        <v>0</v>
      </c>
      <c r="Q140" s="12">
        <f t="shared" si="23"/>
        <v>0</v>
      </c>
      <c r="R140" s="12">
        <v>0</v>
      </c>
      <c r="S140" s="12">
        <f t="shared" si="24"/>
        <v>0</v>
      </c>
      <c r="T140" s="12">
        <v>0</v>
      </c>
      <c r="U140" s="12">
        <f t="shared" si="25"/>
        <v>0</v>
      </c>
      <c r="V140" s="12"/>
    </row>
    <row r="141" spans="1:22" ht="12.75">
      <c r="A141" s="8">
        <f t="shared" si="12"/>
        <v>130</v>
      </c>
      <c r="B141" s="11" t="s">
        <v>58</v>
      </c>
      <c r="C141" s="1" t="s">
        <v>59</v>
      </c>
      <c r="D141" s="8" t="s">
        <v>55</v>
      </c>
      <c r="E141" s="8" t="s">
        <v>52</v>
      </c>
      <c r="F141" s="12">
        <v>0</v>
      </c>
      <c r="G141" s="12">
        <v>0</v>
      </c>
      <c r="H141" s="12">
        <v>0</v>
      </c>
      <c r="I141" s="12">
        <f t="shared" si="19"/>
        <v>0</v>
      </c>
      <c r="J141" s="12">
        <f t="shared" si="19"/>
        <v>0</v>
      </c>
      <c r="K141" s="12">
        <v>0</v>
      </c>
      <c r="L141" s="12">
        <f t="shared" si="20"/>
        <v>4194.6199999999999</v>
      </c>
      <c r="M141" s="12">
        <v>0</v>
      </c>
      <c r="N141" s="12">
        <f t="shared" si="21"/>
        <v>0</v>
      </c>
      <c r="O141" s="12">
        <f t="shared" si="22"/>
        <v>4194.6199999999999</v>
      </c>
      <c r="P141" s="12">
        <v>0</v>
      </c>
      <c r="Q141" s="12">
        <f t="shared" si="23"/>
        <v>1090.5999999999999</v>
      </c>
      <c r="R141" s="12">
        <v>0</v>
      </c>
      <c r="S141" s="12">
        <f t="shared" si="24"/>
        <v>654.36000000000001</v>
      </c>
      <c r="T141" s="12">
        <v>0</v>
      </c>
      <c r="U141" s="12">
        <f t="shared" si="25"/>
        <v>461.82999999999998</v>
      </c>
      <c r="V141" s="12"/>
    </row>
    <row r="142" spans="1:22" ht="12.75">
      <c r="A142" s="8">
        <f t="shared" si="26" ref="A142:A205">+A141+1</f>
        <v>131</v>
      </c>
      <c r="B142" s="11" t="s">
        <v>60</v>
      </c>
      <c r="C142" s="1" t="s">
        <v>61</v>
      </c>
      <c r="D142" s="8" t="s">
        <v>55</v>
      </c>
      <c r="E142" s="8" t="s">
        <v>52</v>
      </c>
      <c r="F142" s="12">
        <v>0</v>
      </c>
      <c r="G142" s="12">
        <v>0</v>
      </c>
      <c r="H142" s="12">
        <v>0</v>
      </c>
      <c r="I142" s="12">
        <f t="shared" si="19"/>
        <v>78960.869999999995</v>
      </c>
      <c r="J142" s="12">
        <f t="shared" si="19"/>
        <v>-5356.0900000000001</v>
      </c>
      <c r="K142" s="12">
        <v>0</v>
      </c>
      <c r="L142" s="12">
        <f t="shared" si="20"/>
        <v>0</v>
      </c>
      <c r="M142" s="12">
        <v>0</v>
      </c>
      <c r="N142" s="12">
        <f t="shared" si="21"/>
        <v>0</v>
      </c>
      <c r="O142" s="12">
        <f t="shared" si="22"/>
        <v>73604.779999999999</v>
      </c>
      <c r="P142" s="12">
        <v>0</v>
      </c>
      <c r="Q142" s="12">
        <f t="shared" si="23"/>
        <v>4026.2199999999998</v>
      </c>
      <c r="R142" s="12">
        <v>0</v>
      </c>
      <c r="S142" s="12">
        <f t="shared" si="24"/>
        <v>3905.0599999999999</v>
      </c>
      <c r="T142" s="12">
        <v>0</v>
      </c>
      <c r="U142" s="12">
        <f t="shared" si="25"/>
        <v>3905.0599999999999</v>
      </c>
      <c r="V142" s="12"/>
    </row>
    <row r="143" spans="1:22" ht="12.75">
      <c r="A143" s="8">
        <f t="shared" si="26"/>
        <v>132</v>
      </c>
      <c r="B143" s="11" t="s">
        <v>62</v>
      </c>
      <c r="C143" s="1" t="s">
        <v>63</v>
      </c>
      <c r="D143" s="8" t="s">
        <v>55</v>
      </c>
      <c r="E143" s="8" t="s">
        <v>52</v>
      </c>
      <c r="F143" s="12">
        <v>0</v>
      </c>
      <c r="G143" s="12">
        <v>0</v>
      </c>
      <c r="H143" s="12">
        <v>0</v>
      </c>
      <c r="I143" s="12">
        <f t="shared" si="19"/>
        <v>0</v>
      </c>
      <c r="J143" s="12">
        <f t="shared" si="19"/>
        <v>0</v>
      </c>
      <c r="K143" s="12">
        <v>0</v>
      </c>
      <c r="L143" s="12">
        <f t="shared" si="20"/>
        <v>0</v>
      </c>
      <c r="M143" s="12">
        <v>0</v>
      </c>
      <c r="N143" s="12">
        <f t="shared" si="21"/>
        <v>0</v>
      </c>
      <c r="O143" s="12">
        <f t="shared" si="22"/>
        <v>0</v>
      </c>
      <c r="P143" s="12">
        <v>0</v>
      </c>
      <c r="Q143" s="12">
        <f t="shared" si="23"/>
        <v>0</v>
      </c>
      <c r="R143" s="12">
        <v>0</v>
      </c>
      <c r="S143" s="12">
        <f t="shared" si="24"/>
        <v>0</v>
      </c>
      <c r="T143" s="12">
        <v>0</v>
      </c>
      <c r="U143" s="12">
        <f t="shared" si="25"/>
        <v>0</v>
      </c>
      <c r="V143" s="12"/>
    </row>
    <row r="144" spans="1:22" ht="12.75">
      <c r="A144" s="8">
        <f t="shared" si="26"/>
        <v>133</v>
      </c>
      <c r="B144" s="11" t="s">
        <v>64</v>
      </c>
      <c r="C144" s="1" t="s">
        <v>65</v>
      </c>
      <c r="D144" s="8" t="s">
        <v>55</v>
      </c>
      <c r="E144" s="8" t="s">
        <v>52</v>
      </c>
      <c r="F144" s="12">
        <v>0</v>
      </c>
      <c r="G144" s="12">
        <v>0</v>
      </c>
      <c r="H144" s="12">
        <v>0</v>
      </c>
      <c r="I144" s="12">
        <f t="shared" si="19"/>
        <v>0</v>
      </c>
      <c r="J144" s="12">
        <f t="shared" si="19"/>
        <v>0</v>
      </c>
      <c r="K144" s="12">
        <v>0</v>
      </c>
      <c r="L144" s="12">
        <f t="shared" si="20"/>
        <v>3999.5900000000001</v>
      </c>
      <c r="M144" s="12">
        <v>0</v>
      </c>
      <c r="N144" s="12">
        <f t="shared" si="21"/>
        <v>0</v>
      </c>
      <c r="O144" s="12">
        <f t="shared" si="22"/>
        <v>3999.5900000000001</v>
      </c>
      <c r="P144" s="12">
        <v>0</v>
      </c>
      <c r="Q144" s="12">
        <f t="shared" si="23"/>
        <v>1519.8499999999999</v>
      </c>
      <c r="R144" s="12">
        <v>0</v>
      </c>
      <c r="S144" s="12">
        <f t="shared" si="24"/>
        <v>911.90999999999997</v>
      </c>
      <c r="T144" s="12">
        <v>0</v>
      </c>
      <c r="U144" s="12">
        <f t="shared" si="25"/>
        <v>547.13999999999999</v>
      </c>
      <c r="V144" s="12"/>
    </row>
    <row r="145" spans="1:22" ht="12.75">
      <c r="A145" s="8">
        <f t="shared" si="26"/>
        <v>134</v>
      </c>
      <c r="B145" s="11" t="s">
        <v>66</v>
      </c>
      <c r="C145" s="1" t="s">
        <v>67</v>
      </c>
      <c r="D145" s="8" t="s">
        <v>68</v>
      </c>
      <c r="E145" s="8" t="s">
        <v>52</v>
      </c>
      <c r="F145" s="12">
        <v>0</v>
      </c>
      <c r="G145" s="12">
        <v>0</v>
      </c>
      <c r="H145" s="12">
        <v>0</v>
      </c>
      <c r="I145" s="12">
        <f t="shared" si="19"/>
        <v>0</v>
      </c>
      <c r="J145" s="12">
        <f t="shared" si="19"/>
        <v>0</v>
      </c>
      <c r="K145" s="12">
        <v>0</v>
      </c>
      <c r="L145" s="12">
        <f t="shared" si="20"/>
        <v>0</v>
      </c>
      <c r="M145" s="12">
        <v>0</v>
      </c>
      <c r="N145" s="12">
        <f t="shared" si="21"/>
        <v>0</v>
      </c>
      <c r="O145" s="12">
        <f t="shared" si="22"/>
        <v>0</v>
      </c>
      <c r="P145" s="12">
        <v>0</v>
      </c>
      <c r="Q145" s="12">
        <f t="shared" si="23"/>
        <v>0</v>
      </c>
      <c r="R145" s="12">
        <v>0</v>
      </c>
      <c r="S145" s="12">
        <f t="shared" si="24"/>
        <v>0</v>
      </c>
      <c r="T145" s="12">
        <v>0</v>
      </c>
      <c r="U145" s="12">
        <f t="shared" si="25"/>
        <v>0</v>
      </c>
      <c r="V145" s="12"/>
    </row>
    <row r="146" spans="1:22" ht="12.75">
      <c r="A146" s="8">
        <f t="shared" si="26"/>
        <v>135</v>
      </c>
      <c r="B146" s="11" t="s">
        <v>69</v>
      </c>
      <c r="C146" s="1" t="s">
        <v>70</v>
      </c>
      <c r="D146" s="8" t="s">
        <v>71</v>
      </c>
      <c r="E146" s="8" t="s">
        <v>52</v>
      </c>
      <c r="F146" s="12">
        <v>0</v>
      </c>
      <c r="G146" s="12">
        <v>0</v>
      </c>
      <c r="H146" s="12">
        <v>0</v>
      </c>
      <c r="I146" s="12">
        <f t="shared" si="19"/>
        <v>684658.64000000001</v>
      </c>
      <c r="J146" s="12">
        <f t="shared" si="19"/>
        <v>0</v>
      </c>
      <c r="K146" s="12">
        <v>0</v>
      </c>
      <c r="L146" s="12">
        <f t="shared" si="20"/>
        <v>0</v>
      </c>
      <c r="M146" s="12">
        <v>0</v>
      </c>
      <c r="N146" s="12">
        <f t="shared" si="21"/>
        <v>0</v>
      </c>
      <c r="O146" s="12">
        <f t="shared" si="22"/>
        <v>684658.64000000001</v>
      </c>
      <c r="P146" s="12">
        <v>0</v>
      </c>
      <c r="Q146" s="12">
        <f t="shared" si="23"/>
        <v>44642.07</v>
      </c>
      <c r="R146" s="12">
        <v>0</v>
      </c>
      <c r="S146" s="12">
        <f t="shared" si="24"/>
        <v>42148.07</v>
      </c>
      <c r="T146" s="12">
        <v>0</v>
      </c>
      <c r="U146" s="12">
        <f t="shared" si="25"/>
        <v>40448.779999999999</v>
      </c>
      <c r="V146" s="12"/>
    </row>
    <row r="147" spans="1:22" ht="12.75">
      <c r="A147" s="8">
        <f t="shared" si="26"/>
        <v>136</v>
      </c>
      <c r="B147" s="11" t="s">
        <v>72</v>
      </c>
      <c r="C147" s="1" t="s">
        <v>73</v>
      </c>
      <c r="D147" s="8" t="s">
        <v>51</v>
      </c>
      <c r="E147" s="8" t="s">
        <v>52</v>
      </c>
      <c r="F147" s="12">
        <v>0</v>
      </c>
      <c r="G147" s="12">
        <v>0</v>
      </c>
      <c r="H147" s="12">
        <v>0</v>
      </c>
      <c r="I147" s="12">
        <f t="shared" si="19"/>
        <v>0</v>
      </c>
      <c r="J147" s="12">
        <f t="shared" si="19"/>
        <v>0</v>
      </c>
      <c r="K147" s="12">
        <v>0</v>
      </c>
      <c r="L147" s="12">
        <f t="shared" si="20"/>
        <v>0</v>
      </c>
      <c r="M147" s="12">
        <v>0</v>
      </c>
      <c r="N147" s="12">
        <f t="shared" si="21"/>
        <v>0</v>
      </c>
      <c r="O147" s="12">
        <f t="shared" si="22"/>
        <v>0</v>
      </c>
      <c r="P147" s="12">
        <v>0</v>
      </c>
      <c r="Q147" s="12">
        <f t="shared" si="23"/>
        <v>0</v>
      </c>
      <c r="R147" s="12">
        <v>0</v>
      </c>
      <c r="S147" s="12">
        <f t="shared" si="24"/>
        <v>0</v>
      </c>
      <c r="T147" s="12">
        <v>0</v>
      </c>
      <c r="U147" s="12">
        <f t="shared" si="25"/>
        <v>0</v>
      </c>
      <c r="V147" s="12"/>
    </row>
    <row r="148" spans="1:22" ht="12.75">
      <c r="A148" s="8">
        <f t="shared" si="26"/>
        <v>137</v>
      </c>
      <c r="B148" s="14" t="s">
        <v>74</v>
      </c>
      <c r="C148" s="1" t="s">
        <v>75</v>
      </c>
      <c r="D148" s="8" t="s">
        <v>76</v>
      </c>
      <c r="E148" s="8" t="s">
        <v>52</v>
      </c>
      <c r="F148" s="12">
        <v>0</v>
      </c>
      <c r="G148" s="12">
        <v>0</v>
      </c>
      <c r="H148" s="12">
        <v>0</v>
      </c>
      <c r="I148" s="12">
        <f t="shared" si="19"/>
        <v>5240920.46</v>
      </c>
      <c r="J148" s="12">
        <f t="shared" si="19"/>
        <v>-2956.1199999999999</v>
      </c>
      <c r="K148" s="12">
        <v>0</v>
      </c>
      <c r="L148" s="12">
        <f t="shared" si="20"/>
        <v>-50683.360000000001</v>
      </c>
      <c r="M148" s="12">
        <v>0</v>
      </c>
      <c r="N148" s="12">
        <f t="shared" si="21"/>
        <v>5698.1800000000003</v>
      </c>
      <c r="O148" s="12">
        <f t="shared" si="22"/>
        <v>5192979.1599999992</v>
      </c>
      <c r="P148" s="12">
        <v>0</v>
      </c>
      <c r="Q148" s="12">
        <f t="shared" si="23"/>
        <v>232252.19</v>
      </c>
      <c r="R148" s="12">
        <v>0</v>
      </c>
      <c r="S148" s="12">
        <f t="shared" si="24"/>
        <v>220503.59</v>
      </c>
      <c r="T148" s="12">
        <v>0</v>
      </c>
      <c r="U148" s="12">
        <f t="shared" si="25"/>
        <v>225341.98000000001</v>
      </c>
      <c r="V148" s="12"/>
    </row>
    <row r="149" spans="1:22" ht="12.75">
      <c r="A149" s="8">
        <f t="shared" si="26"/>
        <v>138</v>
      </c>
      <c r="B149" s="1" t="s">
        <v>77</v>
      </c>
      <c r="C149" s="1" t="s">
        <v>78</v>
      </c>
      <c r="D149" s="8" t="s">
        <v>71</v>
      </c>
      <c r="E149" s="8" t="s">
        <v>52</v>
      </c>
      <c r="F149" s="12">
        <v>0</v>
      </c>
      <c r="G149" s="12">
        <v>0</v>
      </c>
      <c r="H149" s="12">
        <v>0</v>
      </c>
      <c r="I149" s="12">
        <f t="shared" si="19"/>
        <v>85716414.310000002</v>
      </c>
      <c r="J149" s="12">
        <f t="shared" si="19"/>
        <v>585802.01000000001</v>
      </c>
      <c r="K149" s="12">
        <v>0</v>
      </c>
      <c r="L149" s="12">
        <f t="shared" si="20"/>
        <v>367255.04999999999</v>
      </c>
      <c r="M149" s="12">
        <v>0</v>
      </c>
      <c r="N149" s="12">
        <f t="shared" si="21"/>
        <v>-74473.070000000007</v>
      </c>
      <c r="O149" s="12">
        <f t="shared" si="22"/>
        <v>86594998.300000012</v>
      </c>
      <c r="P149" s="12">
        <v>0</v>
      </c>
      <c r="Q149" s="12">
        <f t="shared" si="23"/>
        <v>5671183</v>
      </c>
      <c r="R149" s="12">
        <v>0</v>
      </c>
      <c r="S149" s="12">
        <f t="shared" si="24"/>
        <v>5422343.0300000003</v>
      </c>
      <c r="T149" s="12">
        <v>0</v>
      </c>
      <c r="U149" s="12">
        <f t="shared" si="25"/>
        <v>5235113.3899999997</v>
      </c>
      <c r="V149" s="12"/>
    </row>
    <row r="150" spans="1:22" ht="12.75">
      <c r="A150" s="8">
        <f t="shared" si="26"/>
        <v>139</v>
      </c>
      <c r="B150" s="1" t="s">
        <v>79</v>
      </c>
      <c r="C150" s="1" t="s">
        <v>80</v>
      </c>
      <c r="D150" s="8" t="s">
        <v>76</v>
      </c>
      <c r="E150" s="8" t="s">
        <v>52</v>
      </c>
      <c r="F150" s="12">
        <v>0</v>
      </c>
      <c r="G150" s="12">
        <v>0</v>
      </c>
      <c r="H150" s="12">
        <v>0</v>
      </c>
      <c r="I150" s="12">
        <f t="shared" si="19"/>
        <v>0</v>
      </c>
      <c r="J150" s="12">
        <f t="shared" si="19"/>
        <v>0</v>
      </c>
      <c r="K150" s="12">
        <v>0</v>
      </c>
      <c r="L150" s="12">
        <f t="shared" si="20"/>
        <v>0</v>
      </c>
      <c r="M150" s="12">
        <v>0</v>
      </c>
      <c r="N150" s="12">
        <f t="shared" si="21"/>
        <v>0</v>
      </c>
      <c r="O150" s="12">
        <f t="shared" si="22"/>
        <v>0</v>
      </c>
      <c r="P150" s="12">
        <v>0</v>
      </c>
      <c r="Q150" s="12">
        <f t="shared" si="23"/>
        <v>0</v>
      </c>
      <c r="R150" s="12">
        <v>0</v>
      </c>
      <c r="S150" s="12">
        <f t="shared" si="24"/>
        <v>0</v>
      </c>
      <c r="T150" s="12">
        <v>0</v>
      </c>
      <c r="U150" s="12">
        <f t="shared" si="25"/>
        <v>0</v>
      </c>
      <c r="V150" s="12"/>
    </row>
    <row r="151" spans="1:22" ht="12.75">
      <c r="A151" s="8">
        <f t="shared" si="26"/>
        <v>140</v>
      </c>
      <c r="B151" s="1" t="s">
        <v>81</v>
      </c>
      <c r="C151" s="1" t="s">
        <v>82</v>
      </c>
      <c r="D151" s="8" t="s">
        <v>68</v>
      </c>
      <c r="E151" s="8" t="s">
        <v>52</v>
      </c>
      <c r="F151" s="12">
        <v>0</v>
      </c>
      <c r="G151" s="12">
        <v>0</v>
      </c>
      <c r="H151" s="12">
        <v>0</v>
      </c>
      <c r="I151" s="12">
        <f t="shared" si="19"/>
        <v>0</v>
      </c>
      <c r="J151" s="12">
        <f t="shared" si="19"/>
        <v>1269.8199999999999</v>
      </c>
      <c r="K151" s="12">
        <v>0</v>
      </c>
      <c r="L151" s="12">
        <f t="shared" si="20"/>
        <v>0</v>
      </c>
      <c r="M151" s="12">
        <v>0</v>
      </c>
      <c r="N151" s="12">
        <f t="shared" si="21"/>
        <v>0</v>
      </c>
      <c r="O151" s="12">
        <f t="shared" si="22"/>
        <v>1269.8199999999999</v>
      </c>
      <c r="P151" s="12">
        <v>0</v>
      </c>
      <c r="Q151" s="12">
        <f t="shared" si="23"/>
        <v>149.75999999999999</v>
      </c>
      <c r="R151" s="12">
        <v>0</v>
      </c>
      <c r="S151" s="12">
        <f t="shared" si="24"/>
        <v>127.29000000000001</v>
      </c>
      <c r="T151" s="12">
        <v>0</v>
      </c>
      <c r="U151" s="12">
        <f t="shared" si="25"/>
        <v>110.98</v>
      </c>
      <c r="V151" s="12"/>
    </row>
    <row r="152" spans="1:22" ht="12.75">
      <c r="A152" s="8">
        <f t="shared" si="26"/>
        <v>141</v>
      </c>
      <c r="B152" s="1" t="s">
        <v>83</v>
      </c>
      <c r="C152" s="1" t="s">
        <v>84</v>
      </c>
      <c r="D152" s="8" t="s">
        <v>51</v>
      </c>
      <c r="E152" s="8" t="s">
        <v>52</v>
      </c>
      <c r="F152" s="12">
        <v>0</v>
      </c>
      <c r="G152" s="12">
        <v>0</v>
      </c>
      <c r="H152" s="12">
        <v>0</v>
      </c>
      <c r="I152" s="12">
        <f t="shared" si="19"/>
        <v>548.22000000000003</v>
      </c>
      <c r="J152" s="12">
        <f t="shared" si="19"/>
        <v>0</v>
      </c>
      <c r="K152" s="12">
        <v>0</v>
      </c>
      <c r="L152" s="12">
        <f t="shared" si="20"/>
        <v>0</v>
      </c>
      <c r="M152" s="12">
        <v>0</v>
      </c>
      <c r="N152" s="12">
        <f t="shared" si="21"/>
        <v>0</v>
      </c>
      <c r="O152" s="12">
        <f t="shared" si="22"/>
        <v>548.22000000000003</v>
      </c>
      <c r="P152" s="12">
        <v>0</v>
      </c>
      <c r="Q152" s="12">
        <f t="shared" si="23"/>
        <v>68.5</v>
      </c>
      <c r="R152" s="12">
        <v>0</v>
      </c>
      <c r="S152" s="12">
        <f t="shared" si="24"/>
        <v>48.93</v>
      </c>
      <c r="T152" s="12">
        <v>0</v>
      </c>
      <c r="U152" s="12">
        <f t="shared" si="25"/>
        <v>48.93</v>
      </c>
      <c r="V152" s="12"/>
    </row>
    <row r="153" spans="1:22" ht="12.75">
      <c r="A153" s="8">
        <f t="shared" si="26"/>
        <v>142</v>
      </c>
      <c r="B153" s="11" t="s">
        <v>85</v>
      </c>
      <c r="C153" s="1" t="s">
        <v>86</v>
      </c>
      <c r="D153" s="8" t="s">
        <v>55</v>
      </c>
      <c r="E153" s="8" t="s">
        <v>52</v>
      </c>
      <c r="F153" s="12">
        <v>0</v>
      </c>
      <c r="G153" s="12">
        <v>0</v>
      </c>
      <c r="H153" s="12">
        <v>0</v>
      </c>
      <c r="I153" s="12">
        <f t="shared" si="19"/>
        <v>166272.95000000001</v>
      </c>
      <c r="J153" s="12">
        <f t="shared" si="19"/>
        <v>-147365.14000000001</v>
      </c>
      <c r="K153" s="12">
        <v>0</v>
      </c>
      <c r="L153" s="12">
        <f t="shared" si="20"/>
        <v>0</v>
      </c>
      <c r="M153" s="12">
        <v>0</v>
      </c>
      <c r="N153" s="12">
        <f t="shared" si="21"/>
        <v>0</v>
      </c>
      <c r="O153" s="12">
        <f t="shared" si="22"/>
        <v>18907.809999999998</v>
      </c>
      <c r="P153" s="12">
        <v>0</v>
      </c>
      <c r="Q153" s="12">
        <f t="shared" si="23"/>
        <v>1020.33</v>
      </c>
      <c r="R153" s="12">
        <v>0</v>
      </c>
      <c r="S153" s="12">
        <f t="shared" si="24"/>
        <v>980.63999999999999</v>
      </c>
      <c r="T153" s="12">
        <v>0</v>
      </c>
      <c r="U153" s="12">
        <f t="shared" si="25"/>
        <v>973.05999999999995</v>
      </c>
      <c r="V153" s="12"/>
    </row>
    <row r="154" spans="1:22" ht="12.75">
      <c r="A154" s="8">
        <f t="shared" si="26"/>
        <v>143</v>
      </c>
      <c r="B154" s="1" t="s">
        <v>87</v>
      </c>
      <c r="C154" s="1" t="s">
        <v>88</v>
      </c>
      <c r="D154" s="8" t="s">
        <v>89</v>
      </c>
      <c r="E154" s="8" t="s">
        <v>90</v>
      </c>
      <c r="F154" s="12">
        <v>0</v>
      </c>
      <c r="G154" s="12">
        <v>0</v>
      </c>
      <c r="H154" s="12">
        <v>0</v>
      </c>
      <c r="I154" s="12">
        <f t="shared" si="19"/>
        <v>0</v>
      </c>
      <c r="J154" s="12">
        <f t="shared" si="19"/>
        <v>0</v>
      </c>
      <c r="K154" s="12">
        <v>0</v>
      </c>
      <c r="L154" s="12">
        <f t="shared" si="20"/>
        <v>0</v>
      </c>
      <c r="M154" s="12">
        <v>0</v>
      </c>
      <c r="N154" s="12">
        <f t="shared" si="21"/>
        <v>0</v>
      </c>
      <c r="O154" s="12">
        <f t="shared" si="22"/>
        <v>0</v>
      </c>
      <c r="P154" s="12">
        <v>0</v>
      </c>
      <c r="Q154" s="12">
        <f t="shared" si="23"/>
        <v>0</v>
      </c>
      <c r="R154" s="12">
        <v>0</v>
      </c>
      <c r="S154" s="12">
        <f t="shared" si="24"/>
        <v>0</v>
      </c>
      <c r="T154" s="12">
        <v>0</v>
      </c>
      <c r="U154" s="12">
        <f t="shared" si="25"/>
        <v>0</v>
      </c>
      <c r="V154" s="12"/>
    </row>
    <row r="155" spans="1:22" ht="12.75">
      <c r="A155" s="8">
        <f t="shared" si="26"/>
        <v>144</v>
      </c>
      <c r="B155" s="1" t="s">
        <v>91</v>
      </c>
      <c r="C155" s="1" t="s">
        <v>92</v>
      </c>
      <c r="D155" s="8" t="s">
        <v>93</v>
      </c>
      <c r="E155" s="8" t="s">
        <v>90</v>
      </c>
      <c r="F155" s="12">
        <v>0</v>
      </c>
      <c r="G155" s="12">
        <v>0</v>
      </c>
      <c r="H155" s="12">
        <v>0</v>
      </c>
      <c r="I155" s="12">
        <f t="shared" si="27" ref="I155:J159">ROUND(+I30*$E$137,2)</f>
        <v>0</v>
      </c>
      <c r="J155" s="12">
        <f t="shared" si="27"/>
        <v>0</v>
      </c>
      <c r="K155" s="12">
        <v>0</v>
      </c>
      <c r="L155" s="12">
        <f t="shared" si="20"/>
        <v>0</v>
      </c>
      <c r="M155" s="12">
        <v>0</v>
      </c>
      <c r="N155" s="12">
        <f t="shared" si="21"/>
        <v>0</v>
      </c>
      <c r="O155" s="12">
        <f t="shared" si="22"/>
        <v>0</v>
      </c>
      <c r="P155" s="12">
        <v>0</v>
      </c>
      <c r="Q155" s="12">
        <f t="shared" si="23"/>
        <v>0</v>
      </c>
      <c r="R155" s="12">
        <v>0</v>
      </c>
      <c r="S155" s="12">
        <f t="shared" si="24"/>
        <v>0</v>
      </c>
      <c r="T155" s="12">
        <v>0</v>
      </c>
      <c r="U155" s="12">
        <f t="shared" si="25"/>
        <v>0</v>
      </c>
      <c r="V155" s="12"/>
    </row>
    <row r="156" spans="1:22" ht="12.75">
      <c r="A156" s="8">
        <f t="shared" si="26"/>
        <v>145</v>
      </c>
      <c r="B156" s="1" t="s">
        <v>94</v>
      </c>
      <c r="C156" s="1" t="s">
        <v>95</v>
      </c>
      <c r="D156" s="8" t="s">
        <v>96</v>
      </c>
      <c r="E156" s="8" t="s">
        <v>52</v>
      </c>
      <c r="F156" s="12">
        <v>0</v>
      </c>
      <c r="G156" s="12">
        <v>0</v>
      </c>
      <c r="H156" s="12">
        <v>0</v>
      </c>
      <c r="I156" s="12">
        <f t="shared" si="27"/>
        <v>0</v>
      </c>
      <c r="J156" s="12">
        <f t="shared" si="27"/>
        <v>0</v>
      </c>
      <c r="K156" s="12">
        <v>0</v>
      </c>
      <c r="L156" s="12">
        <f t="shared" si="20"/>
        <v>0</v>
      </c>
      <c r="M156" s="12">
        <v>0</v>
      </c>
      <c r="N156" s="12">
        <f t="shared" si="21"/>
        <v>0</v>
      </c>
      <c r="O156" s="12">
        <f t="shared" si="22"/>
        <v>0</v>
      </c>
      <c r="P156" s="12">
        <v>0</v>
      </c>
      <c r="Q156" s="12">
        <f t="shared" si="23"/>
        <v>0</v>
      </c>
      <c r="R156" s="12">
        <v>0</v>
      </c>
      <c r="S156" s="12">
        <f t="shared" si="24"/>
        <v>0</v>
      </c>
      <c r="T156" s="12">
        <v>0</v>
      </c>
      <c r="U156" s="12">
        <f t="shared" si="25"/>
        <v>0</v>
      </c>
      <c r="V156" s="12"/>
    </row>
    <row r="157" spans="1:22" ht="12.75">
      <c r="A157" s="8">
        <f t="shared" si="26"/>
        <v>146</v>
      </c>
      <c r="B157" s="1" t="s">
        <v>97</v>
      </c>
      <c r="C157" s="1" t="s">
        <v>98</v>
      </c>
      <c r="D157" s="8" t="s">
        <v>99</v>
      </c>
      <c r="E157" s="8" t="s">
        <v>52</v>
      </c>
      <c r="F157" s="12">
        <v>0</v>
      </c>
      <c r="G157" s="12">
        <v>0</v>
      </c>
      <c r="H157" s="12">
        <v>0</v>
      </c>
      <c r="I157" s="12">
        <f t="shared" si="27"/>
        <v>7560323.5300000003</v>
      </c>
      <c r="J157" s="12">
        <f t="shared" si="27"/>
        <v>0</v>
      </c>
      <c r="K157" s="12">
        <v>0</v>
      </c>
      <c r="L157" s="12">
        <f t="shared" si="20"/>
        <v>0</v>
      </c>
      <c r="M157" s="12">
        <v>0</v>
      </c>
      <c r="N157" s="12">
        <f t="shared" si="21"/>
        <v>434756.71999999997</v>
      </c>
      <c r="O157" s="12">
        <f t="shared" si="22"/>
        <v>7995080.25</v>
      </c>
      <c r="P157" s="12">
        <v>0</v>
      </c>
      <c r="Q157" s="12">
        <f t="shared" si="23"/>
        <v>115920.44</v>
      </c>
      <c r="R157" s="12">
        <v>0</v>
      </c>
      <c r="S157" s="12">
        <f t="shared" si="24"/>
        <v>130432.12</v>
      </c>
      <c r="T157" s="12">
        <v>0</v>
      </c>
      <c r="U157" s="12">
        <f t="shared" si="25"/>
        <v>127923.06</v>
      </c>
      <c r="V157" s="12"/>
    </row>
    <row r="158" spans="1:22" ht="12.75">
      <c r="A158" s="8">
        <f t="shared" si="26"/>
        <v>147</v>
      </c>
      <c r="B158" s="1" t="s">
        <v>100</v>
      </c>
      <c r="C158" s="1" t="s">
        <v>101</v>
      </c>
      <c r="D158" s="8" t="s">
        <v>102</v>
      </c>
      <c r="F158" s="12">
        <v>0</v>
      </c>
      <c r="G158" s="12">
        <v>0</v>
      </c>
      <c r="H158" s="12">
        <v>0</v>
      </c>
      <c r="I158" s="12">
        <f t="shared" si="27"/>
        <v>4140898.2599999998</v>
      </c>
      <c r="J158" s="12">
        <f t="shared" si="27"/>
        <v>-244607.70999999999</v>
      </c>
      <c r="K158" s="12">
        <v>0</v>
      </c>
      <c r="L158" s="12">
        <f t="shared" si="20"/>
        <v>0</v>
      </c>
      <c r="M158" s="12">
        <v>0</v>
      </c>
      <c r="N158" s="12">
        <f t="shared" si="21"/>
        <v>-434756.71999999997</v>
      </c>
      <c r="O158" s="12">
        <f t="shared" si="22"/>
        <v>3461533.8300000001</v>
      </c>
      <c r="P158" s="12">
        <v>0</v>
      </c>
      <c r="Q158" s="12">
        <f t="shared" si="23"/>
        <v>0</v>
      </c>
      <c r="R158" s="12">
        <v>0</v>
      </c>
      <c r="S158" s="12">
        <f t="shared" si="24"/>
        <v>0</v>
      </c>
      <c r="T158" s="12">
        <v>0</v>
      </c>
      <c r="U158" s="12">
        <f t="shared" si="25"/>
        <v>0</v>
      </c>
      <c r="V158" s="12"/>
    </row>
    <row r="159" spans="1:22" ht="12.75">
      <c r="A159" s="8">
        <f t="shared" si="26"/>
        <v>148</v>
      </c>
      <c r="B159" s="1" t="s">
        <v>103</v>
      </c>
      <c r="C159" s="1" t="s">
        <v>104</v>
      </c>
      <c r="D159" s="8" t="s">
        <v>93</v>
      </c>
      <c r="E159" s="8" t="s">
        <v>90</v>
      </c>
      <c r="F159" s="12">
        <v>0</v>
      </c>
      <c r="G159" s="12">
        <v>0</v>
      </c>
      <c r="H159" s="12">
        <v>0</v>
      </c>
      <c r="I159" s="12">
        <f t="shared" si="27"/>
        <v>10106501.1</v>
      </c>
      <c r="J159" s="12">
        <f t="shared" si="27"/>
        <v>-52922.580000000002</v>
      </c>
      <c r="K159" s="12">
        <v>0</v>
      </c>
      <c r="L159" s="12">
        <f t="shared" si="20"/>
        <v>86633.529999999999</v>
      </c>
      <c r="M159" s="12">
        <v>0</v>
      </c>
      <c r="N159" s="12">
        <f t="shared" si="21"/>
        <v>-16252.690000000001</v>
      </c>
      <c r="O159" s="12">
        <f t="shared" si="22"/>
        <v>10123959.359999999</v>
      </c>
      <c r="P159" s="12">
        <v>0</v>
      </c>
      <c r="Q159" s="12">
        <f t="shared" si="23"/>
        <v>251533.70000000001</v>
      </c>
      <c r="R159" s="12">
        <v>0</v>
      </c>
      <c r="S159" s="12">
        <f t="shared" si="24"/>
        <v>247403.51000000001</v>
      </c>
      <c r="T159" s="12">
        <v>0</v>
      </c>
      <c r="U159" s="12">
        <f t="shared" si="25"/>
        <v>246187.51999999999</v>
      </c>
      <c r="V159" s="12"/>
    </row>
    <row r="160" spans="1:23" ht="12.75">
      <c r="A160" s="8">
        <f t="shared" si="26"/>
        <v>149</v>
      </c>
      <c r="B160" s="15" t="s">
        <v>114</v>
      </c>
      <c r="F160" s="22">
        <f>SUM(F138:F159)</f>
        <v>0</v>
      </c>
      <c r="G160" s="22">
        <f t="shared" si="28" ref="G160:V160">SUM(G138:G159)</f>
        <v>0</v>
      </c>
      <c r="H160" s="22">
        <f t="shared" si="28"/>
        <v>0</v>
      </c>
      <c r="I160" s="22">
        <f t="shared" si="28"/>
        <v>114001613.02000001</v>
      </c>
      <c r="J160" s="22">
        <f t="shared" si="28"/>
        <v>46466.509999999995</v>
      </c>
      <c r="K160" s="22">
        <f t="shared" si="28"/>
        <v>0</v>
      </c>
      <c r="L160" s="22">
        <f t="shared" si="28"/>
        <v>413176.56999999995</v>
      </c>
      <c r="M160" s="22">
        <f t="shared" si="28"/>
        <v>0</v>
      </c>
      <c r="N160" s="22">
        <f t="shared" si="28"/>
        <v>-85027.580000000016</v>
      </c>
      <c r="O160" s="22">
        <f t="shared" si="28"/>
        <v>114376228.52000001</v>
      </c>
      <c r="P160" s="22">
        <f t="shared" si="28"/>
        <v>0</v>
      </c>
      <c r="Q160" s="22">
        <f t="shared" si="28"/>
        <v>6340693.29</v>
      </c>
      <c r="R160" s="22">
        <f t="shared" si="28"/>
        <v>0</v>
      </c>
      <c r="S160" s="22">
        <f t="shared" si="28"/>
        <v>6076864.2699999996</v>
      </c>
      <c r="T160" s="22">
        <f t="shared" si="28"/>
        <v>0</v>
      </c>
      <c r="U160" s="22">
        <f t="shared" si="28"/>
        <v>5887522.9199999981</v>
      </c>
      <c r="V160" s="22">
        <f t="shared" si="28"/>
        <v>0</v>
      </c>
      <c r="W160" s="22">
        <f>+ROUND(W35*E137,2)</f>
        <v>10573283.98</v>
      </c>
    </row>
    <row r="161" spans="1:1" ht="12.75">
      <c r="A161" s="8">
        <f t="shared" si="26"/>
        <v>150</v>
      </c>
    </row>
    <row r="162" spans="1:7" ht="12.75">
      <c r="A162" s="8">
        <f t="shared" si="26"/>
        <v>151</v>
      </c>
      <c r="B162" s="20" t="s">
        <v>115</v>
      </c>
      <c r="C162" s="9"/>
      <c r="D162" s="9"/>
      <c r="E162" s="21">
        <f>+'[1]II-F Alloc_Factor'!$L$40</f>
        <v>0.017121804789038905</v>
      </c>
      <c r="F162" s="10"/>
      <c r="G162" s="10"/>
    </row>
    <row r="163" spans="1:21" ht="12.75">
      <c r="A163" s="8">
        <f t="shared" si="26"/>
        <v>152</v>
      </c>
      <c r="B163" s="11" t="s">
        <v>49</v>
      </c>
      <c r="C163" s="1" t="s">
        <v>50</v>
      </c>
      <c r="D163" s="8" t="s">
        <v>51</v>
      </c>
      <c r="E163" s="8" t="s">
        <v>52</v>
      </c>
      <c r="F163" s="12">
        <f>ROUND(+'WP II-E-3.3'!F13*$E$162,2)</f>
        <v>17079.759999999998</v>
      </c>
      <c r="G163" s="12">
        <f>ROUND(+'WP II-E-3.3'!G13*$E$162,2)</f>
        <v>21516.77</v>
      </c>
      <c r="H163" s="12">
        <f>ROUND(+'WP II-E-3.3'!H13*$E$162,2)</f>
        <v>44862.879999999997</v>
      </c>
      <c r="I163" s="12">
        <v>0</v>
      </c>
      <c r="J163" s="12">
        <v>0</v>
      </c>
      <c r="K163" s="12">
        <f>ROUND(+'WP II-E-3.3'!K13*$E$162,2)</f>
        <v>193667.48000000001</v>
      </c>
      <c r="L163" s="12">
        <v>0</v>
      </c>
      <c r="M163" s="12">
        <f>ROUND(+'WP II-E-3.3'!M13*$E$162,2)</f>
        <v>85154.559999999998</v>
      </c>
      <c r="N163" s="12">
        <v>0</v>
      </c>
      <c r="O163" s="12">
        <f>SUM(F163:N163)</f>
        <v>362281.45000000001</v>
      </c>
      <c r="P163" s="12">
        <f>ROUND(+'WP II-E-3.3'!P13*$E$162,2)</f>
        <v>76988.660000000003</v>
      </c>
      <c r="Q163" s="12">
        <v>0</v>
      </c>
      <c r="R163" s="12">
        <f>ROUND(+'WP II-E-3.3'!R13*$E$162,2)</f>
        <v>67417.080000000002</v>
      </c>
      <c r="S163" s="12">
        <v>0</v>
      </c>
      <c r="T163" s="12">
        <f>ROUND(+'WP II-E-3.3'!T13*$E$162,2)</f>
        <v>49127</v>
      </c>
      <c r="U163" s="12">
        <v>0</v>
      </c>
    </row>
    <row r="164" spans="1:21" ht="12.75">
      <c r="A164" s="8">
        <f t="shared" si="26"/>
        <v>153</v>
      </c>
      <c r="B164" s="11" t="s">
        <v>53</v>
      </c>
      <c r="C164" s="1" t="s">
        <v>54</v>
      </c>
      <c r="D164" s="8" t="s">
        <v>55</v>
      </c>
      <c r="E164" s="8" t="s">
        <v>52</v>
      </c>
      <c r="F164" s="12">
        <f>ROUND(+'WP II-E-3.3'!F14*$E$162,2)</f>
        <v>210432.95000000001</v>
      </c>
      <c r="G164" s="12">
        <f>ROUND(+'WP II-E-3.3'!G14*$E$162,2)</f>
        <v>96839.169999999998</v>
      </c>
      <c r="H164" s="12">
        <f>ROUND(+'WP II-E-3.3'!H14*$E$162,2)</f>
        <v>181527.28</v>
      </c>
      <c r="I164" s="12">
        <v>0</v>
      </c>
      <c r="J164" s="12">
        <v>0</v>
      </c>
      <c r="K164" s="12">
        <f>ROUND(+'WP II-E-3.3'!K14*$E$162,2)</f>
        <v>1056742.6200000001</v>
      </c>
      <c r="L164" s="12">
        <v>0</v>
      </c>
      <c r="M164" s="12">
        <f>ROUND(+'WP II-E-3.3'!M14*$E$162,2)</f>
        <v>259182.70999999999</v>
      </c>
      <c r="N164" s="12">
        <v>0</v>
      </c>
      <c r="O164" s="12">
        <f t="shared" si="29" ref="O164:O184">SUM(F164:N164)</f>
        <v>1804724.73</v>
      </c>
      <c r="P164" s="12">
        <f>ROUND(+'WP II-E-3.3'!P14*$E$162,2)</f>
        <v>519047.59999999998</v>
      </c>
      <c r="Q164" s="12">
        <v>0</v>
      </c>
      <c r="R164" s="12">
        <f>ROUND(+'WP II-E-3.3'!R14*$E$162,2)</f>
        <v>379219.63</v>
      </c>
      <c r="S164" s="12">
        <v>0</v>
      </c>
      <c r="T164" s="12">
        <f>ROUND(+'WP II-E-3.3'!T14*$E$162,2)</f>
        <v>219859.95000000001</v>
      </c>
      <c r="U164" s="12">
        <v>0</v>
      </c>
    </row>
    <row r="165" spans="1:21" ht="12.75">
      <c r="A165" s="8">
        <f t="shared" si="26"/>
        <v>154</v>
      </c>
      <c r="B165" s="11" t="s">
        <v>56</v>
      </c>
      <c r="C165" s="1" t="s">
        <v>57</v>
      </c>
      <c r="D165" s="8" t="s">
        <v>55</v>
      </c>
      <c r="E165" s="8" t="s">
        <v>52</v>
      </c>
      <c r="F165" s="12">
        <f>ROUND(+'WP II-E-3.3'!F15*$E$162,2)</f>
        <v>0</v>
      </c>
      <c r="G165" s="12">
        <f>ROUND(+'WP II-E-3.3'!G15*$E$162,2)</f>
        <v>44819.169999999998</v>
      </c>
      <c r="H165" s="12">
        <f>ROUND(+'WP II-E-3.3'!H15*$E$162,2)</f>
        <v>28421.77</v>
      </c>
      <c r="I165" s="12">
        <v>0</v>
      </c>
      <c r="J165" s="12">
        <v>0</v>
      </c>
      <c r="K165" s="12">
        <f>ROUND(+'WP II-E-3.3'!K15*$E$162,2)</f>
        <v>0</v>
      </c>
      <c r="L165" s="12">
        <v>0</v>
      </c>
      <c r="M165" s="12">
        <f>ROUND(+'WP II-E-3.3'!M15*$E$162,2)</f>
        <v>0</v>
      </c>
      <c r="N165" s="12">
        <v>0</v>
      </c>
      <c r="O165" s="12">
        <f t="shared" si="29"/>
        <v>73240.940000000002</v>
      </c>
      <c r="P165" s="12">
        <f>ROUND(+'WP II-E-3.3'!P15*$E$162,2)</f>
        <v>10620.15</v>
      </c>
      <c r="Q165" s="12">
        <v>0</v>
      </c>
      <c r="R165" s="12">
        <f>ROUND(+'WP II-E-3.3'!R15*$E$162,2)</f>
        <v>8437.3600000000006</v>
      </c>
      <c r="S165" s="12">
        <v>0</v>
      </c>
      <c r="T165" s="12">
        <f>ROUND(+'WP II-E-3.3'!T15*$E$162,2)</f>
        <v>5855.7700000000004</v>
      </c>
      <c r="U165" s="12">
        <v>0</v>
      </c>
    </row>
    <row r="166" spans="1:21" ht="12.75">
      <c r="A166" s="8">
        <f t="shared" si="26"/>
        <v>155</v>
      </c>
      <c r="B166" s="11" t="s">
        <v>58</v>
      </c>
      <c r="C166" s="1" t="s">
        <v>59</v>
      </c>
      <c r="D166" s="8" t="s">
        <v>55</v>
      </c>
      <c r="E166" s="8" t="s">
        <v>52</v>
      </c>
      <c r="F166" s="12">
        <f>ROUND(+'WP II-E-3.3'!F16*$E$162,2)</f>
        <v>10900.91</v>
      </c>
      <c r="G166" s="12">
        <f>ROUND(+'WP II-E-3.3'!G16*$E$162,2)</f>
        <v>5629.5600000000004</v>
      </c>
      <c r="H166" s="12">
        <f>ROUND(+'WP II-E-3.3'!H16*$E$162,2)</f>
        <v>9470.2900000000009</v>
      </c>
      <c r="I166" s="12">
        <v>0</v>
      </c>
      <c r="J166" s="12">
        <v>0</v>
      </c>
      <c r="K166" s="12">
        <f>ROUND(+'WP II-E-3.3'!K16*$E$162,2)</f>
        <v>35489.07</v>
      </c>
      <c r="L166" s="12">
        <v>0</v>
      </c>
      <c r="M166" s="12">
        <f>ROUND(+'WP II-E-3.3'!M16*$E$162,2)</f>
        <v>17170.790000000001</v>
      </c>
      <c r="N166" s="12">
        <v>0</v>
      </c>
      <c r="O166" s="12">
        <f t="shared" si="29"/>
        <v>78660.619999999995</v>
      </c>
      <c r="P166" s="12">
        <f>ROUND(+'WP II-E-3.3'!P16*$E$162,2)</f>
        <v>20274.52</v>
      </c>
      <c r="Q166" s="12">
        <v>0</v>
      </c>
      <c r="R166" s="12">
        <f>ROUND(+'WP II-E-3.3'!R16*$E$162,2)</f>
        <v>16095.75</v>
      </c>
      <c r="S166" s="12">
        <v>0</v>
      </c>
      <c r="T166" s="12">
        <f>ROUND(+'WP II-E-3.3'!T16*$E$162,2)</f>
        <v>9477.25</v>
      </c>
      <c r="U166" s="12">
        <v>0</v>
      </c>
    </row>
    <row r="167" spans="1:21" ht="12.75">
      <c r="A167" s="8">
        <f t="shared" si="26"/>
        <v>156</v>
      </c>
      <c r="B167" s="11" t="s">
        <v>60</v>
      </c>
      <c r="C167" s="1" t="s">
        <v>61</v>
      </c>
      <c r="D167" s="8" t="s">
        <v>55</v>
      </c>
      <c r="E167" s="8" t="s">
        <v>52</v>
      </c>
      <c r="F167" s="12">
        <f>ROUND(+'WP II-E-3.3'!F17*$E$162,2)</f>
        <v>37611.190000000002</v>
      </c>
      <c r="G167" s="12">
        <f>ROUND(+'WP II-E-3.3'!G17*$E$162,2)</f>
        <v>5309.4499999999998</v>
      </c>
      <c r="H167" s="12">
        <f>ROUND(+'WP II-E-3.3'!H17*$E$162,2)</f>
        <v>0</v>
      </c>
      <c r="I167" s="12">
        <v>0</v>
      </c>
      <c r="J167" s="12">
        <v>0</v>
      </c>
      <c r="K167" s="12">
        <f>ROUND(+'WP II-E-3.3'!K17*$E$162,2)</f>
        <v>20.399999999999999</v>
      </c>
      <c r="L167" s="12">
        <v>0</v>
      </c>
      <c r="M167" s="12">
        <f>ROUND(+'WP II-E-3.3'!M17*$E$162,2)</f>
        <v>0</v>
      </c>
      <c r="N167" s="12">
        <v>0</v>
      </c>
      <c r="O167" s="12">
        <f t="shared" si="29"/>
        <v>42941.040000000001</v>
      </c>
      <c r="P167" s="12">
        <f>ROUND(+'WP II-E-3.3'!P17*$E$162,2)</f>
        <v>4528.25</v>
      </c>
      <c r="Q167" s="12">
        <v>0</v>
      </c>
      <c r="R167" s="12">
        <f>ROUND(+'WP II-E-3.3'!R17*$E$162,2)</f>
        <v>3938.1100000000001</v>
      </c>
      <c r="S167" s="12">
        <v>0</v>
      </c>
      <c r="T167" s="12">
        <f>ROUND(+'WP II-E-3.3'!T17*$E$162,2)</f>
        <v>308.13999999999999</v>
      </c>
      <c r="U167" s="12">
        <v>0</v>
      </c>
    </row>
    <row r="168" spans="1:21" ht="12.75">
      <c r="A168" s="8">
        <f t="shared" si="26"/>
        <v>157</v>
      </c>
      <c r="B168" s="11" t="s">
        <v>62</v>
      </c>
      <c r="C168" s="1" t="s">
        <v>63</v>
      </c>
      <c r="D168" s="8" t="s">
        <v>55</v>
      </c>
      <c r="E168" s="8" t="s">
        <v>52</v>
      </c>
      <c r="F168" s="12">
        <f>ROUND(+'WP II-E-3.3'!F18*$E$162,2)</f>
        <v>11611.790000000001</v>
      </c>
      <c r="G168" s="12">
        <f>ROUND(+'WP II-E-3.3'!G18*$E$162,2)</f>
        <v>6256.8000000000002</v>
      </c>
      <c r="H168" s="12">
        <f>ROUND(+'WP II-E-3.3'!H18*$E$162,2)</f>
        <v>0</v>
      </c>
      <c r="I168" s="12">
        <v>0</v>
      </c>
      <c r="J168" s="12">
        <v>0</v>
      </c>
      <c r="K168" s="12">
        <f>ROUND(+'WP II-E-3.3'!K18*$E$162,2)</f>
        <v>5619.7799999999997</v>
      </c>
      <c r="L168" s="12">
        <v>0</v>
      </c>
      <c r="M168" s="12">
        <f>ROUND(+'WP II-E-3.3'!M18*$E$162,2)</f>
        <v>1544.9300000000001</v>
      </c>
      <c r="N168" s="12">
        <v>0</v>
      </c>
      <c r="O168" s="12">
        <f t="shared" si="29"/>
        <v>25033.299999999999</v>
      </c>
      <c r="P168" s="12">
        <f>ROUND(+'WP II-E-3.3'!P18*$E$162,2)</f>
        <v>4087.4000000000001</v>
      </c>
      <c r="Q168" s="12">
        <v>0</v>
      </c>
      <c r="R168" s="12">
        <f>ROUND(+'WP II-E-3.3'!R18*$E$162,2)</f>
        <v>3322.9099999999999</v>
      </c>
      <c r="S168" s="12">
        <v>0</v>
      </c>
      <c r="T168" s="12">
        <f>ROUND(+'WP II-E-3.3'!T18*$E$162,2)</f>
        <v>1316.97</v>
      </c>
      <c r="U168" s="12">
        <v>0</v>
      </c>
    </row>
    <row r="169" spans="1:21" ht="12.75">
      <c r="A169" s="8">
        <f t="shared" si="26"/>
        <v>158</v>
      </c>
      <c r="B169" s="11" t="s">
        <v>64</v>
      </c>
      <c r="C169" s="1" t="s">
        <v>65</v>
      </c>
      <c r="D169" s="8" t="s">
        <v>55</v>
      </c>
      <c r="E169" s="8" t="s">
        <v>52</v>
      </c>
      <c r="F169" s="12">
        <f>ROUND(+'WP II-E-3.3'!F19*$E$162,2)</f>
        <v>11021.719999999999</v>
      </c>
      <c r="G169" s="12">
        <f>ROUND(+'WP II-E-3.3'!G19*$E$162,2)</f>
        <v>24469.369999999999</v>
      </c>
      <c r="H169" s="12">
        <f>ROUND(+'WP II-E-3.3'!H19*$E$162,2)</f>
        <v>10534.219999999999</v>
      </c>
      <c r="I169" s="12">
        <v>0</v>
      </c>
      <c r="J169" s="12">
        <v>0</v>
      </c>
      <c r="K169" s="12">
        <f>ROUND(+'WP II-E-3.3'!K19*$E$162,2)</f>
        <v>12657.25</v>
      </c>
      <c r="L169" s="12">
        <v>0</v>
      </c>
      <c r="M169" s="12">
        <f>ROUND(+'WP II-E-3.3'!M19*$E$162,2)</f>
        <v>3113.4699999999998</v>
      </c>
      <c r="N169" s="12">
        <v>0</v>
      </c>
      <c r="O169" s="12">
        <f t="shared" si="29"/>
        <v>61796.029999999999</v>
      </c>
      <c r="P169" s="12">
        <f>ROUND(+'WP II-E-3.3'!P19*$E$162,2)</f>
        <v>10419.629999999999</v>
      </c>
      <c r="Q169" s="12">
        <v>0</v>
      </c>
      <c r="R169" s="12">
        <f>ROUND(+'WP II-E-3.3'!R19*$E$162,2)</f>
        <v>8313.4400000000005</v>
      </c>
      <c r="S169" s="12">
        <v>0</v>
      </c>
      <c r="T169" s="12">
        <f>ROUND(+'WP II-E-3.3'!T19*$E$162,2)</f>
        <v>4707.1499999999996</v>
      </c>
      <c r="U169" s="12">
        <v>0</v>
      </c>
    </row>
    <row r="170" spans="1:21" ht="12.75">
      <c r="A170" s="8">
        <f t="shared" si="26"/>
        <v>159</v>
      </c>
      <c r="B170" s="11" t="s">
        <v>66</v>
      </c>
      <c r="C170" s="1" t="s">
        <v>67</v>
      </c>
      <c r="D170" s="8" t="s">
        <v>68</v>
      </c>
      <c r="E170" s="8" t="s">
        <v>52</v>
      </c>
      <c r="F170" s="12">
        <f>ROUND(+'WP II-E-3.3'!F20*$E$162,2)</f>
        <v>0</v>
      </c>
      <c r="G170" s="12">
        <f>ROUND(+'WP II-E-3.3'!G20*$E$162,2)</f>
        <v>0</v>
      </c>
      <c r="H170" s="12">
        <f>ROUND(+'WP II-E-3.3'!H20*$E$162,2)</f>
        <v>526.00999999999999</v>
      </c>
      <c r="I170" s="12">
        <v>0</v>
      </c>
      <c r="J170" s="12">
        <v>0</v>
      </c>
      <c r="K170" s="12">
        <f>ROUND(+'WP II-E-3.3'!K20*$E$162,2)</f>
        <v>342.81</v>
      </c>
      <c r="L170" s="12">
        <v>0</v>
      </c>
      <c r="M170" s="12">
        <f>ROUND(+'WP II-E-3.3'!M20*$E$162,2)</f>
        <v>0</v>
      </c>
      <c r="N170" s="12">
        <v>0</v>
      </c>
      <c r="O170" s="12">
        <f t="shared" si="29"/>
        <v>868.81999999999994</v>
      </c>
      <c r="P170" s="12">
        <f>ROUND(+'WP II-E-3.3'!P20*$E$162,2)</f>
        <v>178.59</v>
      </c>
      <c r="Q170" s="12">
        <v>0</v>
      </c>
      <c r="R170" s="12">
        <f>ROUND(+'WP II-E-3.3'!R20*$E$162,2)</f>
        <v>122.3</v>
      </c>
      <c r="S170" s="12">
        <v>0</v>
      </c>
      <c r="T170" s="12">
        <f>ROUND(+'WP II-E-3.3'!T20*$E$162,2)</f>
        <v>87.450000000000003</v>
      </c>
      <c r="U170" s="12">
        <v>0</v>
      </c>
    </row>
    <row r="171" spans="1:21" ht="12.75">
      <c r="A171" s="8">
        <f t="shared" si="26"/>
        <v>160</v>
      </c>
      <c r="B171" s="11" t="s">
        <v>69</v>
      </c>
      <c r="C171" s="1" t="s">
        <v>70</v>
      </c>
      <c r="D171" s="8" t="s">
        <v>71</v>
      </c>
      <c r="E171" s="8" t="s">
        <v>52</v>
      </c>
      <c r="F171" s="12">
        <f>ROUND(+'WP II-E-3.3'!F21*$E$162,2)</f>
        <v>85429.190000000002</v>
      </c>
      <c r="G171" s="12">
        <f>ROUND(+'WP II-E-3.3'!G21*$E$162,2)</f>
        <v>336292.29999999999</v>
      </c>
      <c r="H171" s="12">
        <f>ROUND(+'WP II-E-3.3'!H21*$E$162,2)</f>
        <v>203941.89000000001</v>
      </c>
      <c r="I171" s="12">
        <v>0</v>
      </c>
      <c r="J171" s="12">
        <v>0</v>
      </c>
      <c r="K171" s="12">
        <f>ROUND(+'WP II-E-3.3'!K21*$E$162,2)</f>
        <v>523505.69</v>
      </c>
      <c r="L171" s="12">
        <v>0</v>
      </c>
      <c r="M171" s="12">
        <f>ROUND(+'WP II-E-3.3'!M21*$E$162,2)</f>
        <v>799623.64000000001</v>
      </c>
      <c r="N171" s="12">
        <v>0</v>
      </c>
      <c r="O171" s="12">
        <f t="shared" si="29"/>
        <v>1948792.71</v>
      </c>
      <c r="P171" s="12">
        <f>ROUND(+'WP II-E-3.3'!P21*$E$162,2)</f>
        <v>139630.45000000001</v>
      </c>
      <c r="Q171" s="12">
        <v>0</v>
      </c>
      <c r="R171" s="12">
        <f>ROUND(+'WP II-E-3.3'!R21*$E$162,2)</f>
        <v>165977.79000000001</v>
      </c>
      <c r="S171" s="12">
        <v>0</v>
      </c>
      <c r="T171" s="12">
        <f>ROUND(+'WP II-E-3.3'!T21*$E$162,2)</f>
        <v>148992.97</v>
      </c>
      <c r="U171" s="12">
        <v>0</v>
      </c>
    </row>
    <row r="172" spans="1:21" ht="12.75">
      <c r="A172" s="8">
        <f t="shared" si="26"/>
        <v>161</v>
      </c>
      <c r="B172" s="11" t="s">
        <v>72</v>
      </c>
      <c r="C172" s="1" t="s">
        <v>73</v>
      </c>
      <c r="D172" s="8" t="s">
        <v>51</v>
      </c>
      <c r="E172" s="8" t="s">
        <v>52</v>
      </c>
      <c r="F172" s="12">
        <f>ROUND(+'WP II-E-3.3'!F22*$E$162,2)</f>
        <v>0</v>
      </c>
      <c r="G172" s="12">
        <f>ROUND(+'WP II-E-3.3'!G22*$E$162,2)</f>
        <v>0</v>
      </c>
      <c r="H172" s="12">
        <f>ROUND(+'WP II-E-3.3'!H22*$E$162,2)</f>
        <v>0</v>
      </c>
      <c r="I172" s="12">
        <v>0</v>
      </c>
      <c r="J172" s="12">
        <v>0</v>
      </c>
      <c r="K172" s="12">
        <f>ROUND(+'WP II-E-3.3'!K22*$E$162,2)</f>
        <v>-30.98</v>
      </c>
      <c r="L172" s="12">
        <v>0</v>
      </c>
      <c r="M172" s="12">
        <f>ROUND(+'WP II-E-3.3'!M22*$E$162,2)</f>
        <v>0</v>
      </c>
      <c r="N172" s="12">
        <v>0</v>
      </c>
      <c r="O172" s="12">
        <f t="shared" si="29"/>
        <v>-30.98</v>
      </c>
      <c r="P172" s="12">
        <f>ROUND(+'WP II-E-3.3'!P22*$E$162,2)</f>
        <v>-8.5399999999999991</v>
      </c>
      <c r="Q172" s="12">
        <v>0</v>
      </c>
      <c r="R172" s="12">
        <f>ROUND(+'WP II-E-3.3'!R22*$E$162,2)</f>
        <v>-6.0999999999999996</v>
      </c>
      <c r="S172" s="12">
        <v>0</v>
      </c>
      <c r="T172" s="12">
        <f>ROUND(+'WP II-E-3.3'!T22*$E$162,2)</f>
        <v>-4.3499999999999996</v>
      </c>
      <c r="U172" s="12">
        <v>0</v>
      </c>
    </row>
    <row r="173" spans="1:21" ht="12.75">
      <c r="A173" s="8">
        <f t="shared" si="26"/>
        <v>162</v>
      </c>
      <c r="B173" s="14" t="s">
        <v>74</v>
      </c>
      <c r="C173" s="1" t="s">
        <v>75</v>
      </c>
      <c r="D173" s="8" t="s">
        <v>76</v>
      </c>
      <c r="E173" s="8" t="s">
        <v>52</v>
      </c>
      <c r="F173" s="12">
        <f>ROUND(+'WP II-E-3.3'!F23*$E$162,2)</f>
        <v>4277299.25</v>
      </c>
      <c r="G173" s="12">
        <f>ROUND(+'WP II-E-3.3'!G23*$E$162,2)</f>
        <v>8462441.8699999992</v>
      </c>
      <c r="H173" s="12">
        <f>ROUND(+'WP II-E-3.3'!H23*$E$162,2)</f>
        <v>10478381.050000001</v>
      </c>
      <c r="I173" s="12">
        <v>0</v>
      </c>
      <c r="J173" s="12">
        <v>0</v>
      </c>
      <c r="K173" s="12">
        <f>ROUND(+'WP II-E-3.3'!K23*$E$162,2)</f>
        <v>13254639.82</v>
      </c>
      <c r="L173" s="12">
        <v>0</v>
      </c>
      <c r="M173" s="12">
        <f>ROUND(+'WP II-E-3.3'!M23*$E$162,2)</f>
        <v>13883732.58</v>
      </c>
      <c r="N173" s="12">
        <v>0</v>
      </c>
      <c r="O173" s="12">
        <f t="shared" si="29"/>
        <v>50356494.57</v>
      </c>
      <c r="P173" s="12">
        <f>ROUND(+'WP II-E-3.3'!P23*$E$162,2)</f>
        <v>2920922.7200000002</v>
      </c>
      <c r="Q173" s="12">
        <v>0</v>
      </c>
      <c r="R173" s="12">
        <f>ROUND(+'WP II-E-3.3'!R23*$E$162,2)</f>
        <v>3216395.3999999999</v>
      </c>
      <c r="S173" s="12">
        <v>0</v>
      </c>
      <c r="T173" s="12">
        <f>ROUND(+'WP II-E-3.3'!T23*$E$162,2)</f>
        <v>2975053.6800000002</v>
      </c>
      <c r="U173" s="12">
        <v>0</v>
      </c>
    </row>
    <row r="174" spans="1:21" ht="12.75">
      <c r="A174" s="8">
        <f t="shared" si="26"/>
        <v>163</v>
      </c>
      <c r="B174" s="1" t="s">
        <v>77</v>
      </c>
      <c r="C174" s="1" t="s">
        <v>78</v>
      </c>
      <c r="D174" s="8" t="s">
        <v>71</v>
      </c>
      <c r="E174" s="8" t="s">
        <v>52</v>
      </c>
      <c r="F174" s="12">
        <f>ROUND(+'WP II-E-3.3'!F24*$E$162,2)</f>
        <v>5326091.9900000002</v>
      </c>
      <c r="G174" s="12">
        <f>ROUND(+'WP II-E-3.3'!G24*$E$162,2)</f>
        <v>10821837.710000001</v>
      </c>
      <c r="H174" s="12">
        <f>ROUND(+'WP II-E-3.3'!H24*$E$162,2)</f>
        <v>14684930.18</v>
      </c>
      <c r="I174" s="12">
        <v>0</v>
      </c>
      <c r="J174" s="12">
        <v>0</v>
      </c>
      <c r="K174" s="12">
        <f>ROUND(+'WP II-E-3.3'!K24*$E$162,2)</f>
        <v>18142131.620000001</v>
      </c>
      <c r="L174" s="12">
        <v>0</v>
      </c>
      <c r="M174" s="12">
        <f>ROUND(+'WP II-E-3.3'!M24*$E$162,2)</f>
        <v>17874058.09</v>
      </c>
      <c r="N174" s="12">
        <v>0</v>
      </c>
      <c r="O174" s="12">
        <f t="shared" si="29"/>
        <v>66849049.590000004</v>
      </c>
      <c r="P174" s="12">
        <f>ROUND(+'WP II-E-3.3'!P24*$E$162,2)</f>
        <v>5082037.9100000001</v>
      </c>
      <c r="Q174" s="12">
        <v>0</v>
      </c>
      <c r="R174" s="12">
        <f>ROUND(+'WP II-E-3.3'!R24*$E$162,2)</f>
        <v>5478473.21</v>
      </c>
      <c r="S174" s="12">
        <v>0</v>
      </c>
      <c r="T174" s="12">
        <f>ROUND(+'WP II-E-3.3'!T24*$E$162,2)</f>
        <v>4933237.0499999998</v>
      </c>
      <c r="U174" s="12">
        <v>0</v>
      </c>
    </row>
    <row r="175" spans="1:21" ht="12.75">
      <c r="A175" s="8">
        <f t="shared" si="26"/>
        <v>164</v>
      </c>
      <c r="B175" s="1" t="s">
        <v>79</v>
      </c>
      <c r="C175" s="1" t="s">
        <v>80</v>
      </c>
      <c r="D175" s="8" t="s">
        <v>76</v>
      </c>
      <c r="E175" s="8" t="s">
        <v>52</v>
      </c>
      <c r="F175" s="12">
        <f>ROUND(+'WP II-E-3.3'!F25*$E$162,2)</f>
        <v>48298.18</v>
      </c>
      <c r="G175" s="12">
        <f>ROUND(+'WP II-E-3.3'!G25*$E$162,2)</f>
        <v>37011.330000000002</v>
      </c>
      <c r="H175" s="12">
        <f>ROUND(+'WP II-E-3.3'!H25*$E$162,2)</f>
        <v>176454.22</v>
      </c>
      <c r="I175" s="12">
        <v>0</v>
      </c>
      <c r="J175" s="12">
        <v>0</v>
      </c>
      <c r="K175" s="12">
        <f>ROUND(+'WP II-E-3.3'!K25*$E$162,2)</f>
        <v>197575.17999999999</v>
      </c>
      <c r="L175" s="12">
        <v>0</v>
      </c>
      <c r="M175" s="12">
        <f>ROUND(+'WP II-E-3.3'!M25*$E$162,2)</f>
        <v>177267.29999999999</v>
      </c>
      <c r="N175" s="12">
        <v>0</v>
      </c>
      <c r="O175" s="12">
        <f t="shared" si="29"/>
        <v>636606.20999999996</v>
      </c>
      <c r="P175" s="12">
        <f>ROUND(+'WP II-E-3.3'!P25*$E$162,2)</f>
        <v>49392.480000000003</v>
      </c>
      <c r="Q175" s="12">
        <v>0</v>
      </c>
      <c r="R175" s="12">
        <f>ROUND(+'WP II-E-3.3'!R25*$E$162,2)</f>
        <v>51053.68</v>
      </c>
      <c r="S175" s="12">
        <v>0</v>
      </c>
      <c r="T175" s="12">
        <f>ROUND(+'WP II-E-3.3'!T25*$E$162,2)</f>
        <v>43944.599999999999</v>
      </c>
      <c r="U175" s="12">
        <v>0</v>
      </c>
    </row>
    <row r="176" spans="1:21" ht="12.75">
      <c r="A176" s="8">
        <f t="shared" si="26"/>
        <v>165</v>
      </c>
      <c r="B176" s="1" t="s">
        <v>81</v>
      </c>
      <c r="C176" s="1" t="s">
        <v>82</v>
      </c>
      <c r="D176" s="8" t="s">
        <v>68</v>
      </c>
      <c r="E176" s="8" t="s">
        <v>52</v>
      </c>
      <c r="F176" s="12">
        <f>ROUND(+'WP II-E-3.3'!F26*$E$162,2)</f>
        <v>400909.64000000001</v>
      </c>
      <c r="G176" s="12">
        <f>ROUND(+'WP II-E-3.3'!G26*$E$162,2)</f>
        <v>1045912.5500000001</v>
      </c>
      <c r="H176" s="12">
        <f>ROUND(+'WP II-E-3.3'!H26*$E$162,2)</f>
        <v>1275894.52</v>
      </c>
      <c r="I176" s="12">
        <v>0</v>
      </c>
      <c r="J176" s="12">
        <v>0</v>
      </c>
      <c r="K176" s="12">
        <f>ROUND(+'WP II-E-3.3'!K26*$E$162,2)</f>
        <v>1376049.52</v>
      </c>
      <c r="L176" s="12">
        <v>0</v>
      </c>
      <c r="M176" s="12">
        <f>ROUND(+'WP II-E-3.3'!M26*$E$162,2)</f>
        <v>1441000.72</v>
      </c>
      <c r="N176" s="12">
        <v>0</v>
      </c>
      <c r="O176" s="12">
        <f t="shared" si="29"/>
        <v>5539766.9500000002</v>
      </c>
      <c r="P176" s="12">
        <f>ROUND(+'WP II-E-3.3'!P26*$E$162,2)</f>
        <v>475429.82000000001</v>
      </c>
      <c r="Q176" s="12">
        <v>0</v>
      </c>
      <c r="R176" s="12">
        <f>ROUND(+'WP II-E-3.3'!R26*$E$162,2)</f>
        <v>509497.21000000002</v>
      </c>
      <c r="S176" s="12">
        <v>0</v>
      </c>
      <c r="T176" s="12">
        <f>ROUND(+'WP II-E-3.3'!T26*$E$162,2)</f>
        <v>455720.92999999999</v>
      </c>
      <c r="U176" s="12">
        <v>0</v>
      </c>
    </row>
    <row r="177" spans="1:21" ht="12.75">
      <c r="A177" s="8">
        <f t="shared" si="26"/>
        <v>166</v>
      </c>
      <c r="B177" s="1" t="s">
        <v>83</v>
      </c>
      <c r="C177" s="1" t="s">
        <v>84</v>
      </c>
      <c r="D177" s="8" t="s">
        <v>51</v>
      </c>
      <c r="E177" s="8" t="s">
        <v>52</v>
      </c>
      <c r="F177" s="12">
        <f>ROUND(+'WP II-E-3.3'!F27*$E$162,2)</f>
        <v>182454.26999999999</v>
      </c>
      <c r="G177" s="12">
        <f>ROUND(+'WP II-E-3.3'!G27*$E$162,2)</f>
        <v>314441.60999999999</v>
      </c>
      <c r="H177" s="12">
        <f>ROUND(+'WP II-E-3.3'!H27*$E$162,2)</f>
        <v>403999.67999999999</v>
      </c>
      <c r="I177" s="12">
        <v>0</v>
      </c>
      <c r="J177" s="12">
        <v>0</v>
      </c>
      <c r="K177" s="12">
        <f>ROUND(+'WP II-E-3.3'!K27*$E$162,2)</f>
        <v>424990</v>
      </c>
      <c r="L177" s="12">
        <v>0</v>
      </c>
      <c r="M177" s="12">
        <f>ROUND(+'WP II-E-3.3'!M27*$E$162,2)</f>
        <v>411433.54999999999</v>
      </c>
      <c r="N177" s="12">
        <v>0</v>
      </c>
      <c r="O177" s="12">
        <f t="shared" si="29"/>
        <v>1737319.1100000001</v>
      </c>
      <c r="P177" s="12">
        <f>ROUND(+'WP II-E-3.3'!P27*$E$162,2)</f>
        <v>107341.51</v>
      </c>
      <c r="Q177" s="12">
        <v>0</v>
      </c>
      <c r="R177" s="12">
        <f>ROUND(+'WP II-E-3.3'!R27*$E$162,2)</f>
        <v>113616.42</v>
      </c>
      <c r="S177" s="12">
        <v>0</v>
      </c>
      <c r="T177" s="12">
        <f>ROUND(+'WP II-E-3.3'!T27*$E$162,2)</f>
        <v>106015.31</v>
      </c>
      <c r="U177" s="12">
        <v>0</v>
      </c>
    </row>
    <row r="178" spans="1:21" ht="12.75">
      <c r="A178" s="8">
        <f t="shared" si="26"/>
        <v>167</v>
      </c>
      <c r="B178" s="11" t="s">
        <v>85</v>
      </c>
      <c r="C178" s="1" t="s">
        <v>86</v>
      </c>
      <c r="D178" s="8" t="s">
        <v>55</v>
      </c>
      <c r="E178" s="8" t="s">
        <v>52</v>
      </c>
      <c r="F178" s="12">
        <f>ROUND(+'WP II-E-3.3'!F28*$E$162,2)</f>
        <v>68134.710000000006</v>
      </c>
      <c r="G178" s="12">
        <f>ROUND(+'WP II-E-3.3'!G28*$E$162,2)</f>
        <v>107284.91</v>
      </c>
      <c r="H178" s="12">
        <f>ROUND(+'WP II-E-3.3'!H28*$E$162,2)</f>
        <v>83422.910000000003</v>
      </c>
      <c r="I178" s="12">
        <v>0</v>
      </c>
      <c r="J178" s="12">
        <v>0</v>
      </c>
      <c r="K178" s="12">
        <f>ROUND(+'WP II-E-3.3'!K28*$E$162,2)</f>
        <v>239124.60000000001</v>
      </c>
      <c r="L178" s="12">
        <v>0</v>
      </c>
      <c r="M178" s="12">
        <f>ROUND(+'WP II-E-3.3'!M28*$E$162,2)</f>
        <v>159964.07999999999</v>
      </c>
      <c r="N178" s="12">
        <v>0</v>
      </c>
      <c r="O178" s="12">
        <f t="shared" si="29"/>
        <v>657931.20999999996</v>
      </c>
      <c r="P178" s="12">
        <f>ROUND(+'WP II-E-3.3'!P28*$E$162,2)</f>
        <v>154151.14999999999</v>
      </c>
      <c r="Q178" s="12">
        <v>0</v>
      </c>
      <c r="R178" s="12">
        <f>ROUND(+'WP II-E-3.3'!R28*$E$162,2)</f>
        <v>131387.26000000001</v>
      </c>
      <c r="S178" s="12">
        <v>0</v>
      </c>
      <c r="T178" s="12">
        <f>ROUND(+'WP II-E-3.3'!T28*$E$162,2)</f>
        <v>77836.399999999994</v>
      </c>
      <c r="U178" s="12">
        <v>0</v>
      </c>
    </row>
    <row r="179" spans="1:21" ht="12.75">
      <c r="A179" s="8">
        <f t="shared" si="26"/>
        <v>168</v>
      </c>
      <c r="B179" s="1" t="s">
        <v>87</v>
      </c>
      <c r="C179" s="1" t="s">
        <v>88</v>
      </c>
      <c r="D179" s="8" t="s">
        <v>89</v>
      </c>
      <c r="E179" s="8" t="s">
        <v>90</v>
      </c>
      <c r="F179" s="12">
        <f>ROUND(+'WP II-E-3.3'!F29*$E$162,2)</f>
        <v>272236.70000000001</v>
      </c>
      <c r="G179" s="12">
        <f>ROUND(+'WP II-E-3.3'!G29*$E$162,2)</f>
        <v>0</v>
      </c>
      <c r="H179" s="12">
        <f>ROUND(+'WP II-E-3.3'!H29*$E$162,2)</f>
        <v>0</v>
      </c>
      <c r="I179" s="12">
        <v>0</v>
      </c>
      <c r="J179" s="12">
        <v>0</v>
      </c>
      <c r="K179" s="12">
        <f>ROUND(+'WP II-E-3.3'!K29*$E$162,2)</f>
        <v>0</v>
      </c>
      <c r="L179" s="12">
        <v>0</v>
      </c>
      <c r="M179" s="12">
        <f>ROUND(+'WP II-E-3.3'!M29*$E$162,2)</f>
        <v>0</v>
      </c>
      <c r="N179" s="12">
        <v>0</v>
      </c>
      <c r="O179" s="12">
        <f t="shared" si="29"/>
        <v>272236.70000000001</v>
      </c>
      <c r="P179" s="12">
        <f>ROUND(+'WP II-E-3.3'!P29*$E$162,2)</f>
        <v>18147.299999999999</v>
      </c>
      <c r="Q179" s="12">
        <v>0</v>
      </c>
      <c r="R179" s="12">
        <f>ROUND(+'WP II-E-3.3'!R29*$E$162,2)</f>
        <v>18150.02</v>
      </c>
      <c r="S179" s="12">
        <v>0</v>
      </c>
      <c r="T179" s="12">
        <f>ROUND(+'WP II-E-3.3'!T29*$E$162,2)</f>
        <v>18150.02</v>
      </c>
      <c r="U179" s="12">
        <v>0</v>
      </c>
    </row>
    <row r="180" spans="1:21" ht="12.75">
      <c r="A180" s="8">
        <f t="shared" si="26"/>
        <v>169</v>
      </c>
      <c r="B180" s="1" t="s">
        <v>91</v>
      </c>
      <c r="C180" s="1" t="s">
        <v>92</v>
      </c>
      <c r="D180" s="8" t="s">
        <v>93</v>
      </c>
      <c r="E180" s="8" t="s">
        <v>90</v>
      </c>
      <c r="F180" s="12">
        <f>ROUND(+'WP II-E-3.3'!F30*$E$162,2)</f>
        <v>732.37</v>
      </c>
      <c r="G180" s="12">
        <f>ROUND(+'WP II-E-3.3'!G30*$E$162,2)</f>
        <v>170.81</v>
      </c>
      <c r="H180" s="12">
        <f>ROUND(+'WP II-E-3.3'!H30*$E$162,2)</f>
        <v>0</v>
      </c>
      <c r="I180" s="12">
        <v>0</v>
      </c>
      <c r="J180" s="12">
        <v>0</v>
      </c>
      <c r="K180" s="12">
        <f>ROUND(+'WP II-E-3.3'!K30*$E$162,2)</f>
        <v>439800.81</v>
      </c>
      <c r="L180" s="12">
        <v>0</v>
      </c>
      <c r="M180" s="12">
        <f>ROUND(+'WP II-E-3.3'!M30*$E$162,2)</f>
        <v>2623.29</v>
      </c>
      <c r="N180" s="12">
        <v>0</v>
      </c>
      <c r="O180" s="12">
        <f t="shared" si="29"/>
        <v>443327.27999999997</v>
      </c>
      <c r="P180" s="12">
        <f>ROUND(+'WP II-E-3.3'!P30*$E$162,2)</f>
        <v>11349.959999999999</v>
      </c>
      <c r="Q180" s="12">
        <v>0</v>
      </c>
      <c r="R180" s="12">
        <f>ROUND(+'WP II-E-3.3'!R30*$E$162,2)</f>
        <v>11366.91</v>
      </c>
      <c r="S180" s="12">
        <v>0</v>
      </c>
      <c r="T180" s="12">
        <f>ROUND(+'WP II-E-3.3'!T30*$E$162,2)</f>
        <v>11366.92</v>
      </c>
      <c r="U180" s="12">
        <v>0</v>
      </c>
    </row>
    <row r="181" spans="1:21" ht="12.75">
      <c r="A181" s="8">
        <f t="shared" si="26"/>
        <v>170</v>
      </c>
      <c r="B181" s="1" t="s">
        <v>94</v>
      </c>
      <c r="C181" s="1" t="s">
        <v>95</v>
      </c>
      <c r="D181" s="8" t="s">
        <v>96</v>
      </c>
      <c r="E181" s="8" t="s">
        <v>52</v>
      </c>
      <c r="F181" s="12">
        <f>ROUND(+'WP II-E-3.3'!F31*$E$162,2)</f>
        <v>21068.490000000002</v>
      </c>
      <c r="G181" s="12">
        <f>ROUND(+'WP II-E-3.3'!G31*$E$162,2)</f>
        <v>35464.120000000003</v>
      </c>
      <c r="H181" s="12">
        <f>ROUND(+'WP II-E-3.3'!H31*$E$162,2)</f>
        <v>104959.7</v>
      </c>
      <c r="I181" s="12">
        <v>0</v>
      </c>
      <c r="J181" s="12">
        <v>0</v>
      </c>
      <c r="K181" s="12">
        <f>ROUND(+'WP II-E-3.3'!K31*$E$162,2)</f>
        <v>-1885.48</v>
      </c>
      <c r="L181" s="12">
        <v>0</v>
      </c>
      <c r="M181" s="12">
        <f>ROUND(+'WP II-E-3.3'!M31*$E$162,2)</f>
        <v>142559.39000000001</v>
      </c>
      <c r="N181" s="12">
        <v>0</v>
      </c>
      <c r="O181" s="12">
        <f t="shared" si="29"/>
        <v>302166.21999999997</v>
      </c>
      <c r="P181" s="12">
        <f>ROUND(+'WP II-E-3.3'!P31*$E$162,2)</f>
        <v>5926.8500000000004</v>
      </c>
      <c r="Q181" s="12">
        <v>0</v>
      </c>
      <c r="R181" s="12">
        <f>ROUND(+'WP II-E-3.3'!R31*$E$162,2)</f>
        <v>7941.3400000000001</v>
      </c>
      <c r="S181" s="12">
        <v>0</v>
      </c>
      <c r="T181" s="12">
        <f>ROUND(+'WP II-E-3.3'!T31*$E$162,2)</f>
        <v>7790.2299999999996</v>
      </c>
      <c r="U181" s="12">
        <v>0</v>
      </c>
    </row>
    <row r="182" spans="1:21" ht="12.75">
      <c r="A182" s="8">
        <f t="shared" si="26"/>
        <v>171</v>
      </c>
      <c r="B182" s="1" t="s">
        <v>97</v>
      </c>
      <c r="C182" s="1" t="s">
        <v>98</v>
      </c>
      <c r="D182" s="8" t="s">
        <v>99</v>
      </c>
      <c r="E182" s="8" t="s">
        <v>52</v>
      </c>
      <c r="F182" s="12">
        <f>ROUND(+'WP II-E-3.3'!F32*$E$162,2)</f>
        <v>182675.97</v>
      </c>
      <c r="G182" s="12">
        <f>ROUND(+'WP II-E-3.3'!G32*$E$162,2)</f>
        <v>64803.480000000003</v>
      </c>
      <c r="H182" s="12">
        <f>ROUND(+'WP II-E-3.3'!H32*$E$162,2)</f>
        <v>300691.51000000001</v>
      </c>
      <c r="I182" s="12">
        <v>0</v>
      </c>
      <c r="J182" s="12">
        <v>0</v>
      </c>
      <c r="K182" s="12">
        <f>ROUND(+'WP II-E-3.3'!K32*$E$162,2)</f>
        <v>800310.38</v>
      </c>
      <c r="L182" s="12">
        <v>0</v>
      </c>
      <c r="M182" s="12">
        <f>ROUND(+'WP II-E-3.3'!M32*$E$162,2)</f>
        <v>265312.10999999999</v>
      </c>
      <c r="N182" s="12">
        <v>0</v>
      </c>
      <c r="O182" s="12">
        <f t="shared" si="29"/>
        <v>1613793.4499999997</v>
      </c>
      <c r="P182" s="12">
        <f>ROUND(+'WP II-E-3.3'!P32*$E$162,2)</f>
        <v>123548.60000000001</v>
      </c>
      <c r="Q182" s="12">
        <v>0</v>
      </c>
      <c r="R182" s="12">
        <f>ROUND(+'WP II-E-3.3'!R32*$E$162,2)</f>
        <v>124870.26</v>
      </c>
      <c r="S182" s="12">
        <v>0</v>
      </c>
      <c r="T182" s="12">
        <f>ROUND(+'WP II-E-3.3'!T32*$E$162,2)</f>
        <v>112618.78999999999</v>
      </c>
      <c r="U182" s="12">
        <v>0</v>
      </c>
    </row>
    <row r="183" spans="1:21" ht="12.75">
      <c r="A183" s="8">
        <f t="shared" si="26"/>
        <v>172</v>
      </c>
      <c r="B183" s="1" t="s">
        <v>100</v>
      </c>
      <c r="C183" s="1" t="s">
        <v>101</v>
      </c>
      <c r="D183" s="8" t="s">
        <v>102</v>
      </c>
      <c r="F183" s="12">
        <f>ROUND(+'WP II-E-3.3'!F33*$E$162,2)</f>
        <v>137352.76999999999</v>
      </c>
      <c r="G183" s="12">
        <f>ROUND(+'WP II-E-3.3'!G33*$E$162,2)</f>
        <v>488791.03999999998</v>
      </c>
      <c r="H183" s="12">
        <f>ROUND(+'WP II-E-3.3'!H33*$E$162,2)</f>
        <v>52108.970000000001</v>
      </c>
      <c r="I183" s="12">
        <v>0</v>
      </c>
      <c r="J183" s="12">
        <v>0</v>
      </c>
      <c r="K183" s="12">
        <f>ROUND(+'WP II-E-3.3'!K33*$E$162,2)</f>
        <v>264095.64000000001</v>
      </c>
      <c r="L183" s="12">
        <v>0</v>
      </c>
      <c r="M183" s="12">
        <f>ROUND(+'WP II-E-3.3'!M33*$E$162,2)</f>
        <v>577525.60999999999</v>
      </c>
      <c r="N183" s="12">
        <v>0</v>
      </c>
      <c r="O183" s="12">
        <f t="shared" si="29"/>
        <v>1519874.0299999998</v>
      </c>
      <c r="P183" s="12">
        <f>ROUND(+'WP II-E-3.3'!P33*$E$162,2)</f>
        <v>0</v>
      </c>
      <c r="Q183" s="12">
        <v>0</v>
      </c>
      <c r="R183" s="12">
        <f>ROUND(+'WP II-E-3.3'!R33*$E$162,2)</f>
        <v>0</v>
      </c>
      <c r="S183" s="12">
        <v>0</v>
      </c>
      <c r="T183" s="12">
        <f>ROUND(+'WP II-E-3.3'!T33*$E$162,2)</f>
        <v>0</v>
      </c>
      <c r="U183" s="12">
        <v>0</v>
      </c>
    </row>
    <row r="184" spans="1:21" ht="12.75">
      <c r="A184" s="8">
        <f t="shared" si="26"/>
        <v>173</v>
      </c>
      <c r="B184" s="1" t="s">
        <v>103</v>
      </c>
      <c r="C184" s="1" t="s">
        <v>104</v>
      </c>
      <c r="D184" s="8" t="s">
        <v>93</v>
      </c>
      <c r="E184" s="8" t="s">
        <v>90</v>
      </c>
      <c r="F184" s="12">
        <f>ROUND(+'WP II-E-3.3'!F34*$E$162,2)</f>
        <v>370837.97999999998</v>
      </c>
      <c r="G184" s="12">
        <f>ROUND(+'WP II-E-3.3'!G34*$E$162,2)</f>
        <v>533882.45999999996</v>
      </c>
      <c r="H184" s="12">
        <f>ROUND(+'WP II-E-3.3'!H34*$E$162,2)</f>
        <v>497391.53000000003</v>
      </c>
      <c r="I184" s="12">
        <v>0</v>
      </c>
      <c r="J184" s="12">
        <v>0</v>
      </c>
      <c r="K184" s="12">
        <f>ROUND(+'WP II-E-3.3'!K34*$E$162,2)</f>
        <v>685519.85999999999</v>
      </c>
      <c r="L184" s="12">
        <v>0</v>
      </c>
      <c r="M184" s="12">
        <f>ROUND(+'WP II-E-3.3'!M34*$E$162,2)</f>
        <v>946007.43999999994</v>
      </c>
      <c r="N184" s="12">
        <v>0</v>
      </c>
      <c r="O184" s="12">
        <f t="shared" si="29"/>
        <v>3033639.27</v>
      </c>
      <c r="P184" s="12">
        <f>ROUND(+'WP II-E-3.3'!P34*$E$162,2)</f>
        <v>61612.919999999998</v>
      </c>
      <c r="Q184" s="12">
        <v>0</v>
      </c>
      <c r="R184" s="12">
        <f>ROUND(+'WP II-E-3.3'!R34*$E$162,2)</f>
        <v>77716.649999999994</v>
      </c>
      <c r="S184" s="12">
        <v>0</v>
      </c>
      <c r="T184" s="12">
        <f>ROUND(+'WP II-E-3.3'!T34*$E$162,2)</f>
        <v>77717.910000000003</v>
      </c>
      <c r="U184" s="12">
        <v>0</v>
      </c>
    </row>
    <row r="185" spans="1:23" ht="12.75">
      <c r="A185" s="8">
        <f t="shared" si="26"/>
        <v>174</v>
      </c>
      <c r="B185" s="15" t="s">
        <v>116</v>
      </c>
      <c r="F185" s="22">
        <f>SUM(F163:F184)</f>
        <v>11672179.83</v>
      </c>
      <c r="G185" s="22">
        <f t="shared" si="30" ref="G185:W185">SUM(G163:G184)</f>
        <v>22453174.48</v>
      </c>
      <c r="H185" s="22">
        <f t="shared" si="30"/>
        <v>28537518.609999999</v>
      </c>
      <c r="I185" s="22">
        <f t="shared" si="30"/>
        <v>0</v>
      </c>
      <c r="J185" s="22">
        <f t="shared" si="30"/>
        <v>0</v>
      </c>
      <c r="K185" s="22">
        <f t="shared" si="30"/>
        <v>37650366.070000015</v>
      </c>
      <c r="L185" s="22">
        <f t="shared" si="30"/>
        <v>0</v>
      </c>
      <c r="M185" s="22">
        <f t="shared" si="30"/>
        <v>37047274.25999999</v>
      </c>
      <c r="N185" s="22">
        <f t="shared" si="30"/>
        <v>0</v>
      </c>
      <c r="O185" s="22">
        <f t="shared" si="30"/>
        <v>137360513.25</v>
      </c>
      <c r="P185" s="22">
        <f t="shared" si="30"/>
        <v>9795627.9300000016</v>
      </c>
      <c r="Q185" s="22">
        <f t="shared" si="30"/>
        <v>0</v>
      </c>
      <c r="R185" s="22">
        <f t="shared" si="30"/>
        <v>10393306.629999999</v>
      </c>
      <c r="S185" s="22">
        <f t="shared" si="30"/>
        <v>0</v>
      </c>
      <c r="T185" s="22">
        <f t="shared" si="30"/>
        <v>9259180.1400000006</v>
      </c>
      <c r="U185" s="22">
        <f t="shared" si="30"/>
        <v>0</v>
      </c>
      <c r="V185" s="22">
        <f>ROUND(+V35*E162,2)</f>
        <v>10378734.800000001</v>
      </c>
      <c r="W185" s="22">
        <f t="shared" si="30"/>
        <v>0</v>
      </c>
    </row>
    <row r="186" spans="1:1" ht="12.75">
      <c r="A186" s="8">
        <f t="shared" si="26"/>
        <v>175</v>
      </c>
    </row>
    <row r="187" spans="1:7" ht="12.75">
      <c r="A187" s="8">
        <f t="shared" si="26"/>
        <v>176</v>
      </c>
      <c r="B187" s="20" t="s">
        <v>117</v>
      </c>
      <c r="C187" s="9"/>
      <c r="D187" s="9"/>
      <c r="E187" s="21">
        <f>+'[1]II-F Alloc_Factor'!$M$40</f>
        <v>0.014600606808628383</v>
      </c>
      <c r="F187" s="10"/>
      <c r="G187" s="10"/>
    </row>
    <row r="188" spans="1:21" ht="12.75">
      <c r="A188" s="8">
        <f t="shared" si="26"/>
        <v>177</v>
      </c>
      <c r="B188" s="11" t="s">
        <v>49</v>
      </c>
      <c r="C188" s="1" t="s">
        <v>50</v>
      </c>
      <c r="D188" s="8" t="s">
        <v>51</v>
      </c>
      <c r="E188" s="8" t="s">
        <v>52</v>
      </c>
      <c r="F188" s="12">
        <f>ROUND(+'WP II-E-3.3'!F13*$E$187,2)</f>
        <v>14564.76</v>
      </c>
      <c r="G188" s="12">
        <f>ROUND(+'WP II-E-3.3'!G13*$E$187,2)</f>
        <v>18348.41</v>
      </c>
      <c r="H188" s="12">
        <f>ROUND(+'WP II-E-3.3'!H13*$E$187,2)</f>
        <v>38256.790000000001</v>
      </c>
      <c r="I188" s="12">
        <v>0</v>
      </c>
      <c r="J188" s="12">
        <v>0</v>
      </c>
      <c r="K188" s="12">
        <f>ROUND(+'WP II-E-3.3'!K13*$E$187,2)</f>
        <v>165149.79999999999</v>
      </c>
      <c r="L188" s="12">
        <v>0</v>
      </c>
      <c r="M188" s="12">
        <f>ROUND(+'WP II-E-3.3'!M13*$E$187,2)</f>
        <v>72615.490000000005</v>
      </c>
      <c r="N188" s="12">
        <v>0</v>
      </c>
      <c r="O188" s="12">
        <f>SUM(F188:N188)</f>
        <v>308935.25</v>
      </c>
      <c r="P188" s="12">
        <f>ROUND(+'WP II-E-3.3'!P13*$E$187,2)</f>
        <v>65652.029999999999</v>
      </c>
      <c r="Q188" s="12">
        <v>0</v>
      </c>
      <c r="R188" s="12">
        <f>ROUND(+'WP II-E-3.3'!R13*$E$187,2)</f>
        <v>57489.870000000003</v>
      </c>
      <c r="S188" s="12">
        <v>0</v>
      </c>
      <c r="T188" s="12">
        <f>ROUND(+'WP II-E-3.3'!T13*$E$187,2)</f>
        <v>41893.010000000002</v>
      </c>
      <c r="U188" s="12">
        <v>0</v>
      </c>
    </row>
    <row r="189" spans="1:21" ht="12.75">
      <c r="A189" s="8">
        <f t="shared" si="26"/>
        <v>178</v>
      </c>
      <c r="B189" s="11" t="s">
        <v>53</v>
      </c>
      <c r="C189" s="1" t="s">
        <v>54</v>
      </c>
      <c r="D189" s="8" t="s">
        <v>55</v>
      </c>
      <c r="E189" s="8" t="s">
        <v>52</v>
      </c>
      <c r="F189" s="12">
        <f>ROUND(+'WP II-E-3.3'!F14*$E$187,2)</f>
        <v>179446.54999999999</v>
      </c>
      <c r="G189" s="12">
        <f>ROUND(+'WP II-E-3.3'!G14*$E$187,2)</f>
        <v>82579.539999999994</v>
      </c>
      <c r="H189" s="12">
        <f>ROUND(+'WP II-E-3.3'!H14*$E$187,2)</f>
        <v>154797.26000000001</v>
      </c>
      <c r="I189" s="12">
        <v>0</v>
      </c>
      <c r="J189" s="12">
        <v>0</v>
      </c>
      <c r="K189" s="12">
        <f>ROUND(+'WP II-E-3.3'!K14*$E$187,2)</f>
        <v>901136.52000000002</v>
      </c>
      <c r="L189" s="12">
        <v>0</v>
      </c>
      <c r="M189" s="12">
        <f>ROUND(+'WP II-E-3.3'!M14*$E$187,2)</f>
        <v>221017.87</v>
      </c>
      <c r="N189" s="12">
        <v>0</v>
      </c>
      <c r="O189" s="12">
        <f t="shared" si="31" ref="O189:O209">SUM(F189:N189)</f>
        <v>1538977.7400000002</v>
      </c>
      <c r="P189" s="12">
        <f>ROUND(+'WP II-E-3.3'!P14*$E$187,2)</f>
        <v>442617.46999999997</v>
      </c>
      <c r="Q189" s="12">
        <v>0</v>
      </c>
      <c r="R189" s="12">
        <f>ROUND(+'WP II-E-3.3'!R14*$E$187,2)</f>
        <v>323379.27000000002</v>
      </c>
      <c r="S189" s="12">
        <v>0</v>
      </c>
      <c r="T189" s="12">
        <f>ROUND(+'WP II-E-3.3'!T14*$E$187,2)</f>
        <v>187485.42000000001</v>
      </c>
      <c r="U189" s="12">
        <v>0</v>
      </c>
    </row>
    <row r="190" spans="1:21" ht="12.75">
      <c r="A190" s="8">
        <f t="shared" si="26"/>
        <v>179</v>
      </c>
      <c r="B190" s="11" t="s">
        <v>56</v>
      </c>
      <c r="C190" s="1" t="s">
        <v>57</v>
      </c>
      <c r="D190" s="8" t="s">
        <v>55</v>
      </c>
      <c r="E190" s="8" t="s">
        <v>52</v>
      </c>
      <c r="F190" s="12">
        <f>ROUND(+'WP II-E-3.3'!F15*$E$187,2)</f>
        <v>0</v>
      </c>
      <c r="G190" s="12">
        <f>ROUND(+'WP II-E-3.3'!G15*$E$187,2)</f>
        <v>38219.510000000002</v>
      </c>
      <c r="H190" s="12">
        <f>ROUND(+'WP II-E-3.3'!H15*$E$187,2)</f>
        <v>24236.639999999999</v>
      </c>
      <c r="I190" s="12">
        <v>0</v>
      </c>
      <c r="J190" s="12">
        <v>0</v>
      </c>
      <c r="K190" s="12">
        <f>ROUND(+'WP II-E-3.3'!K15*$E$187,2)</f>
        <v>0</v>
      </c>
      <c r="L190" s="12">
        <v>0</v>
      </c>
      <c r="M190" s="12">
        <f>ROUND(+'WP II-E-3.3'!M15*$E$187,2)</f>
        <v>0</v>
      </c>
      <c r="N190" s="12">
        <v>0</v>
      </c>
      <c r="O190" s="12">
        <f t="shared" si="31"/>
        <v>62456.150000000001</v>
      </c>
      <c r="P190" s="12">
        <f>ROUND(+'WP II-E-3.3'!P15*$E$187,2)</f>
        <v>9056.3199999999997</v>
      </c>
      <c r="Q190" s="12">
        <v>0</v>
      </c>
      <c r="R190" s="12">
        <f>ROUND(+'WP II-E-3.3'!R15*$E$187,2)</f>
        <v>7194.9499999999998</v>
      </c>
      <c r="S190" s="12">
        <v>0</v>
      </c>
      <c r="T190" s="12">
        <f>ROUND(+'WP II-E-3.3'!T15*$E$187,2)</f>
        <v>4993.5100000000002</v>
      </c>
      <c r="U190" s="12">
        <v>0</v>
      </c>
    </row>
    <row r="191" spans="1:21" ht="12.75">
      <c r="A191" s="8">
        <f t="shared" si="26"/>
        <v>180</v>
      </c>
      <c r="B191" s="11" t="s">
        <v>58</v>
      </c>
      <c r="C191" s="1" t="s">
        <v>59</v>
      </c>
      <c r="D191" s="8" t="s">
        <v>55</v>
      </c>
      <c r="E191" s="8" t="s">
        <v>52</v>
      </c>
      <c r="F191" s="12">
        <f>ROUND(+'WP II-E-3.3'!F16*$E$187,2)</f>
        <v>9295.75</v>
      </c>
      <c r="G191" s="12">
        <f>ROUND(+'WP II-E-3.3'!G16*$E$187,2)</f>
        <v>4800.6000000000004</v>
      </c>
      <c r="H191" s="12">
        <f>ROUND(+'WP II-E-3.3'!H16*$E$187,2)</f>
        <v>8075.79</v>
      </c>
      <c r="I191" s="12">
        <v>0</v>
      </c>
      <c r="J191" s="12">
        <v>0</v>
      </c>
      <c r="K191" s="12">
        <f>ROUND(+'WP II-E-3.3'!K16*$E$187,2)</f>
        <v>30263.279999999999</v>
      </c>
      <c r="L191" s="12">
        <v>0</v>
      </c>
      <c r="M191" s="12">
        <f>ROUND(+'WP II-E-3.3'!M16*$E$187,2)</f>
        <v>14642.370000000001</v>
      </c>
      <c r="N191" s="12">
        <v>0</v>
      </c>
      <c r="O191" s="12">
        <f t="shared" si="31"/>
        <v>67077.789999999994</v>
      </c>
      <c r="P191" s="12">
        <f>ROUND(+'WP II-E-3.3'!P16*$E$187,2)</f>
        <v>17289.080000000002</v>
      </c>
      <c r="Q191" s="12">
        <v>0</v>
      </c>
      <c r="R191" s="12">
        <f>ROUND(+'WP II-E-3.3'!R16*$E$187,2)</f>
        <v>13725.639999999999</v>
      </c>
      <c r="S191" s="12">
        <v>0</v>
      </c>
      <c r="T191" s="12">
        <f>ROUND(+'WP II-E-3.3'!T16*$E$187,2)</f>
        <v>8081.7200000000003</v>
      </c>
      <c r="U191" s="12">
        <v>0</v>
      </c>
    </row>
    <row r="192" spans="1:21" ht="12.75">
      <c r="A192" s="8">
        <f t="shared" si="26"/>
        <v>181</v>
      </c>
      <c r="B192" s="11" t="s">
        <v>60</v>
      </c>
      <c r="C192" s="1" t="s">
        <v>61</v>
      </c>
      <c r="D192" s="8" t="s">
        <v>55</v>
      </c>
      <c r="E192" s="8" t="s">
        <v>52</v>
      </c>
      <c r="F192" s="12">
        <f>ROUND(+'WP II-E-3.3'!F17*$E$187,2)</f>
        <v>32072.919999999998</v>
      </c>
      <c r="G192" s="12">
        <f>ROUND(+'WP II-E-3.3'!G17*$E$187,2)</f>
        <v>4527.6300000000001</v>
      </c>
      <c r="H192" s="12">
        <f>ROUND(+'WP II-E-3.3'!H17*$E$187,2)</f>
        <v>0</v>
      </c>
      <c r="I192" s="12">
        <v>0</v>
      </c>
      <c r="J192" s="12">
        <v>0</v>
      </c>
      <c r="K192" s="12">
        <f>ROUND(+'WP II-E-3.3'!K17*$E$187,2)</f>
        <v>17.399999999999999</v>
      </c>
      <c r="L192" s="12">
        <v>0</v>
      </c>
      <c r="M192" s="12">
        <f>ROUND(+'WP II-E-3.3'!M17*$E$187,2)</f>
        <v>0</v>
      </c>
      <c r="N192" s="12">
        <v>0</v>
      </c>
      <c r="O192" s="12">
        <f t="shared" si="31"/>
        <v>36617.949999999997</v>
      </c>
      <c r="P192" s="12">
        <f>ROUND(+'WP II-E-3.3'!P17*$E$187,2)</f>
        <v>3861.46</v>
      </c>
      <c r="Q192" s="12">
        <v>0</v>
      </c>
      <c r="R192" s="12">
        <f>ROUND(+'WP II-E-3.3'!R17*$E$187,2)</f>
        <v>3358.2199999999998</v>
      </c>
      <c r="S192" s="12">
        <v>0</v>
      </c>
      <c r="T192" s="12">
        <f>ROUND(+'WP II-E-3.3'!T17*$E$187,2)</f>
        <v>262.76999999999998</v>
      </c>
      <c r="U192" s="12">
        <v>0</v>
      </c>
    </row>
    <row r="193" spans="1:21" ht="12.75">
      <c r="A193" s="8">
        <f t="shared" si="26"/>
        <v>182</v>
      </c>
      <c r="B193" s="11" t="s">
        <v>62</v>
      </c>
      <c r="C193" s="1" t="s">
        <v>63</v>
      </c>
      <c r="D193" s="8" t="s">
        <v>55</v>
      </c>
      <c r="E193" s="8" t="s">
        <v>52</v>
      </c>
      <c r="F193" s="12">
        <f>ROUND(+'WP II-E-3.3'!F18*$E$187,2)</f>
        <v>9901.9400000000005</v>
      </c>
      <c r="G193" s="12">
        <f>ROUND(+'WP II-E-3.3'!G18*$E$187,2)</f>
        <v>5335.4799999999996</v>
      </c>
      <c r="H193" s="12">
        <f>ROUND(+'WP II-E-3.3'!H18*$E$187,2)</f>
        <v>0</v>
      </c>
      <c r="I193" s="12">
        <v>0</v>
      </c>
      <c r="J193" s="12">
        <v>0</v>
      </c>
      <c r="K193" s="12">
        <f>ROUND(+'WP II-E-3.3'!K18*$E$187,2)</f>
        <v>4792.2700000000004</v>
      </c>
      <c r="L193" s="12">
        <v>0</v>
      </c>
      <c r="M193" s="12">
        <f>ROUND(+'WP II-E-3.3'!M18*$E$187,2)</f>
        <v>1317.4300000000001</v>
      </c>
      <c r="N193" s="12">
        <v>0</v>
      </c>
      <c r="O193" s="12">
        <f t="shared" si="31"/>
        <v>21347.120000000003</v>
      </c>
      <c r="P193" s="12">
        <f>ROUND(+'WP II-E-3.3'!P18*$E$187,2)</f>
        <v>3485.5300000000002</v>
      </c>
      <c r="Q193" s="12">
        <v>0</v>
      </c>
      <c r="R193" s="12">
        <f>ROUND(+'WP II-E-3.3'!R18*$E$187,2)</f>
        <v>2833.6100000000001</v>
      </c>
      <c r="S193" s="12">
        <v>0</v>
      </c>
      <c r="T193" s="12">
        <f>ROUND(+'WP II-E-3.3'!T18*$E$187,2)</f>
        <v>1123.05</v>
      </c>
      <c r="U193" s="12">
        <v>0</v>
      </c>
    </row>
    <row r="194" spans="1:21" ht="12.75">
      <c r="A194" s="8">
        <f t="shared" si="26"/>
        <v>183</v>
      </c>
      <c r="B194" s="11" t="s">
        <v>64</v>
      </c>
      <c r="C194" s="1" t="s">
        <v>65</v>
      </c>
      <c r="D194" s="8" t="s">
        <v>55</v>
      </c>
      <c r="E194" s="8" t="s">
        <v>52</v>
      </c>
      <c r="F194" s="12">
        <f>ROUND(+'WP II-E-3.3'!F19*$E$187,2)</f>
        <v>9398.7600000000002</v>
      </c>
      <c r="G194" s="12">
        <f>ROUND(+'WP II-E-3.3'!G19*$E$187,2)</f>
        <v>20866.240000000002</v>
      </c>
      <c r="H194" s="12">
        <f>ROUND(+'WP II-E-3.3'!H19*$E$187,2)</f>
        <v>8983.0499999999993</v>
      </c>
      <c r="I194" s="12">
        <v>0</v>
      </c>
      <c r="J194" s="12">
        <v>0</v>
      </c>
      <c r="K194" s="12">
        <f>ROUND(+'WP II-E-3.3'!K19*$E$187,2)</f>
        <v>10793.459999999999</v>
      </c>
      <c r="L194" s="12">
        <v>0</v>
      </c>
      <c r="M194" s="12">
        <f>ROUND(+'WP II-E-3.3'!M19*$E$187,2)</f>
        <v>2655.0100000000002</v>
      </c>
      <c r="N194" s="12">
        <v>0</v>
      </c>
      <c r="O194" s="12">
        <f t="shared" si="31"/>
        <v>52696.520000000004</v>
      </c>
      <c r="P194" s="12">
        <f>ROUND(+'WP II-E-3.3'!P19*$E$187,2)</f>
        <v>8885.3299999999999</v>
      </c>
      <c r="Q194" s="12">
        <v>0</v>
      </c>
      <c r="R194" s="12">
        <f>ROUND(+'WP II-E-3.3'!R19*$E$187,2)</f>
        <v>7089.2799999999997</v>
      </c>
      <c r="S194" s="12">
        <v>0</v>
      </c>
      <c r="T194" s="12">
        <f>ROUND(+'WP II-E-3.3'!T19*$E$187,2)</f>
        <v>4014.02</v>
      </c>
      <c r="U194" s="12">
        <v>0</v>
      </c>
    </row>
    <row r="195" spans="1:21" ht="12.75">
      <c r="A195" s="8">
        <f t="shared" si="26"/>
        <v>184</v>
      </c>
      <c r="B195" s="11" t="s">
        <v>66</v>
      </c>
      <c r="C195" s="1" t="s">
        <v>67</v>
      </c>
      <c r="D195" s="8" t="s">
        <v>68</v>
      </c>
      <c r="E195" s="8" t="s">
        <v>52</v>
      </c>
      <c r="F195" s="12">
        <f>ROUND(+'WP II-E-3.3'!F20*$E$187,2)</f>
        <v>0</v>
      </c>
      <c r="G195" s="12">
        <f>ROUND(+'WP II-E-3.3'!G20*$E$187,2)</f>
        <v>0</v>
      </c>
      <c r="H195" s="12">
        <f>ROUND(+'WP II-E-3.3'!H20*$E$187,2)</f>
        <v>448.55000000000001</v>
      </c>
      <c r="I195" s="12">
        <v>0</v>
      </c>
      <c r="J195" s="12">
        <v>0</v>
      </c>
      <c r="K195" s="12">
        <f>ROUND(+'WP II-E-3.3'!K20*$E$187,2)</f>
        <v>292.32999999999998</v>
      </c>
      <c r="L195" s="12">
        <v>0</v>
      </c>
      <c r="M195" s="12">
        <f>ROUND(+'WP II-E-3.3'!M20*$E$187,2)</f>
        <v>0</v>
      </c>
      <c r="N195" s="12">
        <v>0</v>
      </c>
      <c r="O195" s="12">
        <f t="shared" si="31"/>
        <v>740.88</v>
      </c>
      <c r="P195" s="12">
        <f>ROUND(+'WP II-E-3.3'!P20*$E$187,2)</f>
        <v>152.28999999999999</v>
      </c>
      <c r="Q195" s="12">
        <v>0</v>
      </c>
      <c r="R195" s="12">
        <f>ROUND(+'WP II-E-3.3'!R20*$E$187,2)</f>
        <v>104.29000000000001</v>
      </c>
      <c r="S195" s="12">
        <v>0</v>
      </c>
      <c r="T195" s="12">
        <f>ROUND(+'WP II-E-3.3'!T20*$E$187,2)</f>
        <v>74.579999999999998</v>
      </c>
      <c r="U195" s="12">
        <v>0</v>
      </c>
    </row>
    <row r="196" spans="1:21" ht="12.75">
      <c r="A196" s="8">
        <f t="shared" si="26"/>
        <v>185</v>
      </c>
      <c r="B196" s="11" t="s">
        <v>69</v>
      </c>
      <c r="C196" s="1" t="s">
        <v>70</v>
      </c>
      <c r="D196" s="8" t="s">
        <v>71</v>
      </c>
      <c r="E196" s="8" t="s">
        <v>52</v>
      </c>
      <c r="F196" s="12">
        <f>ROUND(+'WP II-E-3.3'!F21*$E$187,2)</f>
        <v>72849.679999999993</v>
      </c>
      <c r="G196" s="12">
        <f>ROUND(+'WP II-E-3.3'!G21*$E$187,2)</f>
        <v>286773.02000000002</v>
      </c>
      <c r="H196" s="12">
        <f>ROUND(+'WP II-E-3.3'!H21*$E$187,2)</f>
        <v>173911.29999999999</v>
      </c>
      <c r="I196" s="12">
        <v>0</v>
      </c>
      <c r="J196" s="12">
        <v>0</v>
      </c>
      <c r="K196" s="12">
        <f>ROUND(+'WP II-E-3.3'!K21*$E$187,2)</f>
        <v>446419.09999999998</v>
      </c>
      <c r="L196" s="12">
        <v>0</v>
      </c>
      <c r="M196" s="12">
        <f>ROUND(+'WP II-E-3.3'!M21*$E$187,2)</f>
        <v>681878.48999999999</v>
      </c>
      <c r="N196" s="12">
        <v>0</v>
      </c>
      <c r="O196" s="12">
        <f t="shared" si="31"/>
        <v>1661831.5899999999</v>
      </c>
      <c r="P196" s="12">
        <f>ROUND(+'WP II-E-3.3'!P21*$E$187,2)</f>
        <v>119069.77</v>
      </c>
      <c r="Q196" s="12">
        <v>0</v>
      </c>
      <c r="R196" s="12">
        <f>ROUND(+'WP II-E-3.3'!R21*$E$187,2)</f>
        <v>141537.44</v>
      </c>
      <c r="S196" s="12">
        <v>0</v>
      </c>
      <c r="T196" s="12">
        <f>ROUND(+'WP II-E-3.3'!T21*$E$187,2)</f>
        <v>127053.64999999999</v>
      </c>
      <c r="U196" s="12">
        <v>0</v>
      </c>
    </row>
    <row r="197" spans="1:21" ht="12.75">
      <c r="A197" s="8">
        <f t="shared" si="26"/>
        <v>186</v>
      </c>
      <c r="B197" s="11" t="s">
        <v>72</v>
      </c>
      <c r="C197" s="1" t="s">
        <v>73</v>
      </c>
      <c r="D197" s="8" t="s">
        <v>51</v>
      </c>
      <c r="E197" s="8" t="s">
        <v>52</v>
      </c>
      <c r="F197" s="12">
        <f>ROUND(+'WP II-E-3.3'!F22*$E$187,2)</f>
        <v>0</v>
      </c>
      <c r="G197" s="12">
        <f>ROUND(+'WP II-E-3.3'!G22*$E$187,2)</f>
        <v>0</v>
      </c>
      <c r="H197" s="12">
        <f>ROUND(+'WP II-E-3.3'!H22*$E$187,2)</f>
        <v>0</v>
      </c>
      <c r="I197" s="12">
        <v>0</v>
      </c>
      <c r="J197" s="12">
        <v>0</v>
      </c>
      <c r="K197" s="12">
        <f>ROUND(+'WP II-E-3.3'!K22*$E$187,2)</f>
        <v>-26.420000000000002</v>
      </c>
      <c r="L197" s="12">
        <v>0</v>
      </c>
      <c r="M197" s="12">
        <f>ROUND(+'WP II-E-3.3'!M22*$E$187,2)</f>
        <v>0</v>
      </c>
      <c r="N197" s="12">
        <v>0</v>
      </c>
      <c r="O197" s="12">
        <f t="shared" si="31"/>
        <v>-26.420000000000002</v>
      </c>
      <c r="P197" s="12">
        <f>ROUND(+'WP II-E-3.3'!P22*$E$187,2)</f>
        <v>-7.2800000000000002</v>
      </c>
      <c r="Q197" s="12">
        <v>0</v>
      </c>
      <c r="R197" s="12">
        <f>ROUND(+'WP II-E-3.3'!R22*$E$187,2)</f>
        <v>-5.2000000000000002</v>
      </c>
      <c r="S197" s="12">
        <v>0</v>
      </c>
      <c r="T197" s="12">
        <f>ROUND(+'WP II-E-3.3'!T22*$E$187,2)</f>
        <v>-3.71</v>
      </c>
      <c r="U197" s="12">
        <v>0</v>
      </c>
    </row>
    <row r="198" spans="1:21" ht="12.75">
      <c r="A198" s="8">
        <f t="shared" si="26"/>
        <v>187</v>
      </c>
      <c r="B198" s="14" t="s">
        <v>74</v>
      </c>
      <c r="C198" s="1" t="s">
        <v>75</v>
      </c>
      <c r="D198" s="8" t="s">
        <v>76</v>
      </c>
      <c r="E198" s="8" t="s">
        <v>52</v>
      </c>
      <c r="F198" s="12">
        <f>ROUND(+'WP II-E-3.3'!F23*$E$187,2)</f>
        <v>3647463.8799999999</v>
      </c>
      <c r="G198" s="12">
        <f>ROUND(+'WP II-E-3.3'!G23*$E$187,2)</f>
        <v>7216341.2599999998</v>
      </c>
      <c r="H198" s="12">
        <f>ROUND(+'WP II-E-3.3'!H23*$E$187,2)</f>
        <v>8935431.9600000009</v>
      </c>
      <c r="I198" s="12">
        <v>0</v>
      </c>
      <c r="J198" s="12">
        <v>0</v>
      </c>
      <c r="K198" s="12">
        <f>ROUND(+'WP II-E-3.3'!K23*$E$187,2)</f>
        <v>11302884.640000001</v>
      </c>
      <c r="L198" s="12">
        <v>0</v>
      </c>
      <c r="M198" s="12">
        <f>ROUND(+'WP II-E-3.3'!M23*$E$187,2)</f>
        <v>11839343.050000001</v>
      </c>
      <c r="N198" s="12">
        <v>0</v>
      </c>
      <c r="O198" s="12">
        <f t="shared" si="31"/>
        <v>42941464.790000007</v>
      </c>
      <c r="P198" s="12">
        <f>ROUND(+'WP II-E-3.3'!P23*$E$187,2)</f>
        <v>2490814.7599999998</v>
      </c>
      <c r="Q198" s="12">
        <v>0</v>
      </c>
      <c r="R198" s="12">
        <f>ROUND(+'WP II-E-3.3'!R23*$E$187,2)</f>
        <v>2742778.8799999999</v>
      </c>
      <c r="S198" s="12">
        <v>0</v>
      </c>
      <c r="T198" s="12">
        <f>ROUND(+'WP II-E-3.3'!T23*$E$187,2)</f>
        <v>2536974.8999999999</v>
      </c>
      <c r="U198" s="12">
        <v>0</v>
      </c>
    </row>
    <row r="199" spans="1:21" ht="12.75">
      <c r="A199" s="8">
        <f t="shared" si="26"/>
        <v>188</v>
      </c>
      <c r="B199" s="1" t="s">
        <v>77</v>
      </c>
      <c r="C199" s="1" t="s">
        <v>78</v>
      </c>
      <c r="D199" s="8" t="s">
        <v>71</v>
      </c>
      <c r="E199" s="8" t="s">
        <v>52</v>
      </c>
      <c r="F199" s="12">
        <f>ROUND(+'WP II-E-3.3'!F24*$E$187,2)</f>
        <v>4541821.1399999997</v>
      </c>
      <c r="G199" s="12">
        <f>ROUND(+'WP II-E-3.3'!G24*$E$187,2)</f>
        <v>9228314.3800000008</v>
      </c>
      <c r="H199" s="12">
        <f>ROUND(+'WP II-E-3.3'!H24*$E$187,2)</f>
        <v>12522563.73</v>
      </c>
      <c r="I199" s="12">
        <v>0</v>
      </c>
      <c r="J199" s="12">
        <v>0</v>
      </c>
      <c r="K199" s="12">
        <f>ROUND(+'WP II-E-3.3'!K24*$E$187,2)</f>
        <v>15470689.789999999</v>
      </c>
      <c r="L199" s="12">
        <v>0</v>
      </c>
      <c r="M199" s="12">
        <f>ROUND(+'WP II-E-3.3'!M24*$E$187,2)</f>
        <v>15242090.27</v>
      </c>
      <c r="N199" s="12">
        <v>0</v>
      </c>
      <c r="O199" s="12">
        <f t="shared" si="31"/>
        <v>57005479.310000002</v>
      </c>
      <c r="P199" s="12">
        <f>ROUND(+'WP II-E-3.3'!P24*$E$187,2)</f>
        <v>4333704.2000000002</v>
      </c>
      <c r="Q199" s="12">
        <v>0</v>
      </c>
      <c r="R199" s="12">
        <f>ROUND(+'WP II-E-3.3'!R24*$E$187,2)</f>
        <v>4671764.1100000003</v>
      </c>
      <c r="S199" s="12">
        <v>0</v>
      </c>
      <c r="T199" s="12">
        <f>ROUND(+'WP II-E-3.3'!T24*$E$187,2)</f>
        <v>4206814.3700000001</v>
      </c>
      <c r="U199" s="12">
        <v>0</v>
      </c>
    </row>
    <row r="200" spans="1:21" ht="12.75">
      <c r="A200" s="8">
        <f t="shared" si="26"/>
        <v>189</v>
      </c>
      <c r="B200" s="1" t="s">
        <v>79</v>
      </c>
      <c r="C200" s="1" t="s">
        <v>80</v>
      </c>
      <c r="D200" s="8" t="s">
        <v>76</v>
      </c>
      <c r="E200" s="8" t="s">
        <v>52</v>
      </c>
      <c r="F200" s="12">
        <f>ROUND(+'WP II-E-3.3'!F25*$E$187,2)</f>
        <v>41186.239999999998</v>
      </c>
      <c r="G200" s="12">
        <f>ROUND(+'WP II-E-3.3'!G25*$E$187,2)</f>
        <v>31561.380000000001</v>
      </c>
      <c r="H200" s="12">
        <f>ROUND(+'WP II-E-3.3'!H25*$E$187,2)</f>
        <v>150471.20999999999</v>
      </c>
      <c r="I200" s="12">
        <v>0</v>
      </c>
      <c r="J200" s="12">
        <v>0</v>
      </c>
      <c r="K200" s="12">
        <f>ROUND(+'WP II-E-3.3'!K25*$E$187,2)</f>
        <v>168482.10000000001</v>
      </c>
      <c r="L200" s="12">
        <v>0</v>
      </c>
      <c r="M200" s="12">
        <f>ROUND(+'WP II-E-3.3'!M25*$E$187,2)</f>
        <v>151164.56</v>
      </c>
      <c r="N200" s="12">
        <v>0</v>
      </c>
      <c r="O200" s="12">
        <f t="shared" si="31"/>
        <v>542865.48999999999</v>
      </c>
      <c r="P200" s="12">
        <f>ROUND(+'WP II-E-3.3'!P25*$E$187,2)</f>
        <v>42119.400000000001</v>
      </c>
      <c r="Q200" s="12">
        <v>0</v>
      </c>
      <c r="R200" s="12">
        <f>ROUND(+'WP II-E-3.3'!R25*$E$187,2)</f>
        <v>43535.989999999998</v>
      </c>
      <c r="S200" s="12">
        <v>0</v>
      </c>
      <c r="T200" s="12">
        <f>ROUND(+'WP II-E-3.3'!T25*$E$187,2)</f>
        <v>37473.720000000001</v>
      </c>
      <c r="U200" s="12">
        <v>0</v>
      </c>
    </row>
    <row r="201" spans="1:21" ht="12.75">
      <c r="A201" s="8">
        <f t="shared" si="26"/>
        <v>190</v>
      </c>
      <c r="B201" s="1" t="s">
        <v>81</v>
      </c>
      <c r="C201" s="1" t="s">
        <v>82</v>
      </c>
      <c r="D201" s="8" t="s">
        <v>68</v>
      </c>
      <c r="E201" s="8" t="s">
        <v>52</v>
      </c>
      <c r="F201" s="12">
        <f>ROUND(+'WP II-E-3.3'!F26*$E$187,2)</f>
        <v>341875.40999999997</v>
      </c>
      <c r="G201" s="12">
        <f>ROUND(+'WP II-E-3.3'!G26*$E$187,2)</f>
        <v>891901.18000000005</v>
      </c>
      <c r="H201" s="12">
        <f>ROUND(+'WP II-E-3.3'!H26*$E$187,2)</f>
        <v>1088018.1399999999</v>
      </c>
      <c r="I201" s="12">
        <v>0</v>
      </c>
      <c r="J201" s="12">
        <v>0</v>
      </c>
      <c r="K201" s="12">
        <f>ROUND(+'WP II-E-3.3'!K26*$E$187,2)</f>
        <v>1173425.25</v>
      </c>
      <c r="L201" s="12">
        <v>0</v>
      </c>
      <c r="M201" s="12">
        <f>ROUND(+'WP II-E-3.3'!M26*$E$187,2)</f>
        <v>1228812.3400000001</v>
      </c>
      <c r="N201" s="12">
        <v>0</v>
      </c>
      <c r="O201" s="12">
        <f t="shared" si="31"/>
        <v>4724032.3200000003</v>
      </c>
      <c r="P201" s="12">
        <f>ROUND(+'WP II-E-3.3'!P26*$E$187,2)</f>
        <v>405422.44</v>
      </c>
      <c r="Q201" s="12">
        <v>0</v>
      </c>
      <c r="R201" s="12">
        <f>ROUND(+'WP II-E-3.3'!R26*$E$187,2)</f>
        <v>434473.38</v>
      </c>
      <c r="S201" s="12">
        <v>0</v>
      </c>
      <c r="T201" s="12">
        <f>ROUND(+'WP II-E-3.3'!T26*$E$187,2)</f>
        <v>388615.70000000001</v>
      </c>
      <c r="U201" s="12">
        <v>0</v>
      </c>
    </row>
    <row r="202" spans="1:21" ht="12.75">
      <c r="A202" s="8">
        <f t="shared" si="26"/>
        <v>191</v>
      </c>
      <c r="B202" s="1" t="s">
        <v>83</v>
      </c>
      <c r="C202" s="1" t="s">
        <v>84</v>
      </c>
      <c r="D202" s="8" t="s">
        <v>51</v>
      </c>
      <c r="E202" s="8" t="s">
        <v>52</v>
      </c>
      <c r="F202" s="12">
        <f>ROUND(+'WP II-E-3.3'!F27*$E$187,2)</f>
        <v>155587.75</v>
      </c>
      <c r="G202" s="12">
        <f>ROUND(+'WP II-E-3.3'!G27*$E$187,2)</f>
        <v>268139.85999999999</v>
      </c>
      <c r="H202" s="12">
        <f>ROUND(+'WP II-E-3.3'!H27*$E$187,2)</f>
        <v>344510.44</v>
      </c>
      <c r="I202" s="12">
        <v>0</v>
      </c>
      <c r="J202" s="12">
        <v>0</v>
      </c>
      <c r="K202" s="12">
        <f>ROUND(+'WP II-E-3.3'!K27*$E$187,2)</f>
        <v>362409.91999999998</v>
      </c>
      <c r="L202" s="12">
        <v>0</v>
      </c>
      <c r="M202" s="12">
        <f>ROUND(+'WP II-E-3.3'!M27*$E$187,2)</f>
        <v>350849.66999999998</v>
      </c>
      <c r="N202" s="12">
        <v>0</v>
      </c>
      <c r="O202" s="12">
        <f t="shared" si="31"/>
        <v>1481497.6399999999</v>
      </c>
      <c r="P202" s="12">
        <f>ROUND(+'WP II-E-3.3'!P27*$E$187,2)</f>
        <v>91535.389999999999</v>
      </c>
      <c r="Q202" s="12">
        <v>0</v>
      </c>
      <c r="R202" s="12">
        <f>ROUND(+'WP II-E-3.3'!R27*$E$187,2)</f>
        <v>96886.320000000007</v>
      </c>
      <c r="S202" s="12">
        <v>0</v>
      </c>
      <c r="T202" s="12">
        <f>ROUND(+'WP II-E-3.3'!T27*$E$187,2)</f>
        <v>90404.479999999996</v>
      </c>
      <c r="U202" s="12">
        <v>0</v>
      </c>
    </row>
    <row r="203" spans="1:21" ht="12.75">
      <c r="A203" s="8">
        <f t="shared" si="26"/>
        <v>192</v>
      </c>
      <c r="B203" s="11" t="s">
        <v>85</v>
      </c>
      <c r="C203" s="1" t="s">
        <v>86</v>
      </c>
      <c r="D203" s="8" t="s">
        <v>55</v>
      </c>
      <c r="E203" s="8" t="s">
        <v>52</v>
      </c>
      <c r="F203" s="12">
        <f>ROUND(+'WP II-E-3.3'!F28*$E$187,2)</f>
        <v>58101.830000000002</v>
      </c>
      <c r="G203" s="12">
        <f>ROUND(+'WP II-E-3.3'!G28*$E$187,2)</f>
        <v>91487.130000000005</v>
      </c>
      <c r="H203" s="12">
        <f>ROUND(+'WP II-E-3.3'!H28*$E$187,2)</f>
        <v>71138.820000000007</v>
      </c>
      <c r="I203" s="12">
        <v>0</v>
      </c>
      <c r="J203" s="12">
        <v>0</v>
      </c>
      <c r="K203" s="12">
        <f>ROUND(+'WP II-E-3.3'!K28*$E$187,2)</f>
        <v>203913.32999999999</v>
      </c>
      <c r="L203" s="12">
        <v>0</v>
      </c>
      <c r="M203" s="12">
        <f>ROUND(+'WP II-E-3.3'!M28*$E$187,2)</f>
        <v>136409.26000000001</v>
      </c>
      <c r="N203" s="12">
        <v>0</v>
      </c>
      <c r="O203" s="12">
        <f t="shared" si="31"/>
        <v>561050.37</v>
      </c>
      <c r="P203" s="12">
        <f>ROUND(+'WP II-E-3.3'!P28*$E$187,2)</f>
        <v>131452.29000000001</v>
      </c>
      <c r="Q203" s="12">
        <v>0</v>
      </c>
      <c r="R203" s="12">
        <f>ROUND(+'WP II-E-3.3'!R28*$E$187,2)</f>
        <v>112040.39</v>
      </c>
      <c r="S203" s="12">
        <v>0</v>
      </c>
      <c r="T203" s="12">
        <f>ROUND(+'WP II-E-3.3'!T28*$E$187,2)</f>
        <v>66374.940000000002</v>
      </c>
      <c r="U203" s="12">
        <v>0</v>
      </c>
    </row>
    <row r="204" spans="1:21" ht="12.75">
      <c r="A204" s="8">
        <f t="shared" si="26"/>
        <v>193</v>
      </c>
      <c r="B204" s="1" t="s">
        <v>87</v>
      </c>
      <c r="C204" s="1" t="s">
        <v>88</v>
      </c>
      <c r="D204" s="8" t="s">
        <v>89</v>
      </c>
      <c r="E204" s="8" t="s">
        <v>90</v>
      </c>
      <c r="F204" s="12">
        <f>ROUND(+'WP II-E-3.3'!F29*$E$187,2)</f>
        <v>232149.64999999999</v>
      </c>
      <c r="G204" s="12">
        <f>ROUND(+'WP II-E-3.3'!G29*$E$187,2)</f>
        <v>0</v>
      </c>
      <c r="H204" s="12">
        <f>ROUND(+'WP II-E-3.3'!H29*$E$187,2)</f>
        <v>0</v>
      </c>
      <c r="I204" s="12">
        <v>0</v>
      </c>
      <c r="J204" s="12">
        <v>0</v>
      </c>
      <c r="K204" s="12">
        <f>ROUND(+'WP II-E-3.3'!K29*$E$187,2)</f>
        <v>0</v>
      </c>
      <c r="L204" s="12">
        <v>0</v>
      </c>
      <c r="M204" s="12">
        <f>ROUND(+'WP II-E-3.3'!M29*$E$187,2)</f>
        <v>0</v>
      </c>
      <c r="N204" s="12">
        <v>0</v>
      </c>
      <c r="O204" s="12">
        <f t="shared" si="31"/>
        <v>232149.64999999999</v>
      </c>
      <c r="P204" s="12">
        <f>ROUND(+'WP II-E-3.3'!P29*$E$187,2)</f>
        <v>15475.1</v>
      </c>
      <c r="Q204" s="12">
        <v>0</v>
      </c>
      <c r="R204" s="12">
        <f>ROUND(+'WP II-E-3.3'!R29*$E$187,2)</f>
        <v>15477.42</v>
      </c>
      <c r="S204" s="12">
        <v>0</v>
      </c>
      <c r="T204" s="12">
        <f>ROUND(+'WP II-E-3.3'!T29*$E$187,2)</f>
        <v>15477.42</v>
      </c>
      <c r="U204" s="12">
        <v>0</v>
      </c>
    </row>
    <row r="205" spans="1:21" ht="12.75">
      <c r="A205" s="8">
        <f t="shared" si="26"/>
        <v>194</v>
      </c>
      <c r="B205" s="1" t="s">
        <v>91</v>
      </c>
      <c r="C205" s="1" t="s">
        <v>92</v>
      </c>
      <c r="D205" s="8" t="s">
        <v>93</v>
      </c>
      <c r="E205" s="8" t="s">
        <v>90</v>
      </c>
      <c r="F205" s="12">
        <f>ROUND(+'WP II-E-3.3'!F30*$E$187,2)</f>
        <v>624.51999999999998</v>
      </c>
      <c r="G205" s="12">
        <f>ROUND(+'WP II-E-3.3'!G30*$E$187,2)</f>
        <v>145.66</v>
      </c>
      <c r="H205" s="12">
        <f>ROUND(+'WP II-E-3.3'!H30*$E$187,2)</f>
        <v>0</v>
      </c>
      <c r="I205" s="12">
        <v>0</v>
      </c>
      <c r="J205" s="12">
        <v>0</v>
      </c>
      <c r="K205" s="12">
        <f>ROUND(+'WP II-E-3.3'!K30*$E$187,2)</f>
        <v>375039.83000000002</v>
      </c>
      <c r="L205" s="12">
        <v>0</v>
      </c>
      <c r="M205" s="12">
        <f>ROUND(+'WP II-E-3.3'!M30*$E$187,2)</f>
        <v>2237.0100000000002</v>
      </c>
      <c r="N205" s="12">
        <v>0</v>
      </c>
      <c r="O205" s="12">
        <f t="shared" si="31"/>
        <v>378047.02000000002</v>
      </c>
      <c r="P205" s="12">
        <f>ROUND(+'WP II-E-3.3'!P30*$E$187,2)</f>
        <v>9678.6700000000001</v>
      </c>
      <c r="Q205" s="12">
        <v>0</v>
      </c>
      <c r="R205" s="12">
        <f>ROUND(+'WP II-E-3.3'!R30*$E$187,2)</f>
        <v>9693.1299999999992</v>
      </c>
      <c r="S205" s="12">
        <v>0</v>
      </c>
      <c r="T205" s="12">
        <f>ROUND(+'WP II-E-3.3'!T30*$E$187,2)</f>
        <v>9693.1299999999992</v>
      </c>
      <c r="U205" s="12">
        <v>0</v>
      </c>
    </row>
    <row r="206" spans="1:21" ht="12.75">
      <c r="A206" s="8">
        <f t="shared" si="32" ref="A206:A210">+A205+1</f>
        <v>195</v>
      </c>
      <c r="B206" s="1" t="s">
        <v>94</v>
      </c>
      <c r="C206" s="1" t="s">
        <v>95</v>
      </c>
      <c r="D206" s="8" t="s">
        <v>96</v>
      </c>
      <c r="E206" s="8" t="s">
        <v>52</v>
      </c>
      <c r="F206" s="12">
        <f>ROUND(+'WP II-E-3.3'!F31*$E$187,2)</f>
        <v>17966.139999999999</v>
      </c>
      <c r="G206" s="12">
        <f>ROUND(+'WP II-E-3.3'!G31*$E$187,2)</f>
        <v>30242</v>
      </c>
      <c r="H206" s="12">
        <f>ROUND(+'WP II-E-3.3'!H31*$E$187,2)</f>
        <v>89504.309999999998</v>
      </c>
      <c r="I206" s="12">
        <v>0</v>
      </c>
      <c r="J206" s="12">
        <v>0</v>
      </c>
      <c r="K206" s="12">
        <f>ROUND(+'WP II-E-3.3'!K31*$E$187,2)</f>
        <v>-1607.8499999999999</v>
      </c>
      <c r="L206" s="12">
        <v>0</v>
      </c>
      <c r="M206" s="12">
        <f>ROUND(+'WP II-E-3.3'!M31*$E$187,2)</f>
        <v>121567.42</v>
      </c>
      <c r="N206" s="12">
        <v>0</v>
      </c>
      <c r="O206" s="12">
        <f t="shared" si="31"/>
        <v>257672.02000000002</v>
      </c>
      <c r="P206" s="12">
        <f>ROUND(+'WP II-E-3.3'!P31*$E$187,2)</f>
        <v>5054.1199999999999</v>
      </c>
      <c r="Q206" s="12">
        <v>0</v>
      </c>
      <c r="R206" s="12">
        <f>ROUND(+'WP II-E-3.3'!R31*$E$187,2)</f>
        <v>6771.9700000000003</v>
      </c>
      <c r="S206" s="12">
        <v>0</v>
      </c>
      <c r="T206" s="12">
        <f>ROUND(+'WP II-E-3.3'!T31*$E$187,2)</f>
        <v>6643.1099999999997</v>
      </c>
      <c r="U206" s="12">
        <v>0</v>
      </c>
    </row>
    <row r="207" spans="1:21" ht="12.75">
      <c r="A207" s="8">
        <f t="shared" si="32"/>
        <v>196</v>
      </c>
      <c r="B207" s="1" t="s">
        <v>97</v>
      </c>
      <c r="C207" s="1" t="s">
        <v>98</v>
      </c>
      <c r="D207" s="8" t="s">
        <v>99</v>
      </c>
      <c r="E207" s="8" t="s">
        <v>52</v>
      </c>
      <c r="F207" s="12">
        <f>ROUND(+'WP II-E-3.3'!F32*$E$187,2)</f>
        <v>155776.79999999999</v>
      </c>
      <c r="G207" s="12">
        <f>ROUND(+'WP II-E-3.3'!G32*$E$187,2)</f>
        <v>55261.120000000003</v>
      </c>
      <c r="H207" s="12">
        <f>ROUND(+'WP II-E-3.3'!H32*$E$187,2)</f>
        <v>256414.47</v>
      </c>
      <c r="I207" s="12">
        <v>0</v>
      </c>
      <c r="J207" s="12">
        <v>0</v>
      </c>
      <c r="K207" s="12">
        <f>ROUND(+'WP II-E-3.3'!K32*$E$187,2)</f>
        <v>682464.10999999999</v>
      </c>
      <c r="L207" s="12">
        <v>0</v>
      </c>
      <c r="M207" s="12">
        <f>ROUND(+'WP II-E-3.3'!M32*$E$187,2)</f>
        <v>226244.70999999999</v>
      </c>
      <c r="N207" s="12">
        <v>0</v>
      </c>
      <c r="O207" s="12">
        <f t="shared" si="31"/>
        <v>1376161.21</v>
      </c>
      <c r="P207" s="12">
        <f>ROUND(+'WP II-E-3.3'!P32*$E$187,2)</f>
        <v>105355.98</v>
      </c>
      <c r="Q207" s="12">
        <v>0</v>
      </c>
      <c r="R207" s="12">
        <f>ROUND(+'WP II-E-3.3'!R32*$E$187,2)</f>
        <v>106483.03</v>
      </c>
      <c r="S207" s="12">
        <v>0</v>
      </c>
      <c r="T207" s="12">
        <f>ROUND(+'WP II-E-3.3'!T32*$E$187,2)</f>
        <v>96035.589999999997</v>
      </c>
      <c r="U207" s="12">
        <v>0</v>
      </c>
    </row>
    <row r="208" spans="1:21" ht="12.75">
      <c r="A208" s="8">
        <f t="shared" si="32"/>
        <v>197</v>
      </c>
      <c r="B208" s="1" t="s">
        <v>100</v>
      </c>
      <c r="C208" s="1" t="s">
        <v>101</v>
      </c>
      <c r="D208" s="8" t="s">
        <v>102</v>
      </c>
      <c r="F208" s="12">
        <f>ROUND(+'WP II-E-3.3'!F33*$E$187,2)</f>
        <v>117127.48</v>
      </c>
      <c r="G208" s="12">
        <f>ROUND(+'WP II-E-3.3'!G33*$E$187,2)</f>
        <v>416816.21000000002</v>
      </c>
      <c r="H208" s="12">
        <f>ROUND(+'WP II-E-3.3'!H33*$E$187,2)</f>
        <v>44435.889999999999</v>
      </c>
      <c r="I208" s="12">
        <v>0</v>
      </c>
      <c r="J208" s="12">
        <v>0</v>
      </c>
      <c r="K208" s="12">
        <f>ROUND(+'WP II-E-3.3'!K33*$E$187,2)</f>
        <v>225207.37</v>
      </c>
      <c r="L208" s="12">
        <v>0</v>
      </c>
      <c r="M208" s="12">
        <f>ROUND(+'WP II-E-3.3'!M33*$E$187,2)</f>
        <v>492484.56</v>
      </c>
      <c r="N208" s="12">
        <v>0</v>
      </c>
      <c r="O208" s="12">
        <f t="shared" si="31"/>
        <v>1296071.51</v>
      </c>
      <c r="P208" s="12">
        <f>ROUND(+'WP II-E-3.3'!P33*$E$187,2)</f>
        <v>0</v>
      </c>
      <c r="Q208" s="12">
        <v>0</v>
      </c>
      <c r="R208" s="12">
        <f>ROUND(+'WP II-E-3.3'!R33*$E$187,2)</f>
        <v>0</v>
      </c>
      <c r="S208" s="12">
        <v>0</v>
      </c>
      <c r="T208" s="12">
        <f>ROUND(+'WP II-E-3.3'!T33*$E$187,2)</f>
        <v>0</v>
      </c>
      <c r="U208" s="12">
        <v>0</v>
      </c>
    </row>
    <row r="209" spans="1:21" ht="12.75">
      <c r="A209" s="8">
        <f t="shared" si="32"/>
        <v>198</v>
      </c>
      <c r="B209" s="1" t="s">
        <v>103</v>
      </c>
      <c r="C209" s="1" t="s">
        <v>104</v>
      </c>
      <c r="D209" s="8" t="s">
        <v>93</v>
      </c>
      <c r="E209" s="8" t="s">
        <v>90</v>
      </c>
      <c r="F209" s="12">
        <f>ROUND(+'WP II-E-3.3'!F34*$E$187,2)</f>
        <v>316231.83000000002</v>
      </c>
      <c r="G209" s="12">
        <f>ROUND(+'WP II-E-3.3'!G34*$E$187,2)</f>
        <v>455267.89000000001</v>
      </c>
      <c r="H209" s="12">
        <f>ROUND(+'WP II-E-3.3'!H34*$E$187,2)</f>
        <v>424150.27000000002</v>
      </c>
      <c r="I209" s="12">
        <v>0</v>
      </c>
      <c r="J209" s="12">
        <v>0</v>
      </c>
      <c r="K209" s="12">
        <f>ROUND(+'WP II-E-3.3'!K34*$E$187,2)</f>
        <v>584576.56999999995</v>
      </c>
      <c r="L209" s="12">
        <v>0</v>
      </c>
      <c r="M209" s="12">
        <f>ROUND(+'WP II-E-3.3'!M34*$E$187,2)</f>
        <v>806707.17000000004</v>
      </c>
      <c r="N209" s="12">
        <v>0</v>
      </c>
      <c r="O209" s="12">
        <f t="shared" si="31"/>
        <v>2586933.73</v>
      </c>
      <c r="P209" s="12">
        <f>ROUND(+'WP II-E-3.3'!P34*$E$187,2)</f>
        <v>52540.370000000003</v>
      </c>
      <c r="Q209" s="12">
        <v>0</v>
      </c>
      <c r="R209" s="12">
        <f>ROUND(+'WP II-E-3.3'!R34*$E$187,2)</f>
        <v>66272.820000000007</v>
      </c>
      <c r="S209" s="12">
        <v>0</v>
      </c>
      <c r="T209" s="12">
        <f>ROUND(+'WP II-E-3.3'!T34*$E$187,2)</f>
        <v>66273.889999999999</v>
      </c>
      <c r="U209" s="12">
        <v>0</v>
      </c>
    </row>
    <row r="210" spans="1:23" ht="12.75">
      <c r="A210" s="8">
        <f t="shared" si="32"/>
        <v>199</v>
      </c>
      <c r="B210" s="15" t="s">
        <v>118</v>
      </c>
      <c r="F210" s="22">
        <f>SUM(F188:F209)</f>
        <v>9953443.0300000012</v>
      </c>
      <c r="G210" s="22">
        <f t="shared" si="33" ref="G210:W210">SUM(G188:G209)</f>
        <v>19146928.5</v>
      </c>
      <c r="H210" s="22">
        <f t="shared" si="33"/>
        <v>24335348.620000001</v>
      </c>
      <c r="I210" s="22">
        <f t="shared" si="33"/>
        <v>0</v>
      </c>
      <c r="J210" s="22">
        <f t="shared" si="33"/>
        <v>0</v>
      </c>
      <c r="K210" s="22">
        <f t="shared" si="33"/>
        <v>32106322.800000001</v>
      </c>
      <c r="L210" s="22">
        <f t="shared" si="33"/>
        <v>0</v>
      </c>
      <c r="M210" s="22">
        <f t="shared" si="33"/>
        <v>31592036.680000007</v>
      </c>
      <c r="N210" s="22">
        <f t="shared" si="33"/>
        <v>0</v>
      </c>
      <c r="O210" s="22">
        <f t="shared" si="33"/>
        <v>117134079.63000003</v>
      </c>
      <c r="P210" s="22">
        <f t="shared" si="33"/>
        <v>8353214.7200000007</v>
      </c>
      <c r="Q210" s="22">
        <f t="shared" si="33"/>
        <v>0</v>
      </c>
      <c r="R210" s="22">
        <f t="shared" si="33"/>
        <v>8862884.8100000024</v>
      </c>
      <c r="S210" s="22">
        <f t="shared" si="33"/>
        <v>0</v>
      </c>
      <c r="T210" s="22">
        <f t="shared" si="33"/>
        <v>7895759.2700000005</v>
      </c>
      <c r="U210" s="22">
        <f t="shared" si="33"/>
        <v>0</v>
      </c>
      <c r="V210" s="22">
        <f>ROUND(+V35*E187,2)</f>
        <v>8850458.6899999995</v>
      </c>
      <c r="W210" s="22">
        <f t="shared" si="33"/>
        <v>0</v>
      </c>
    </row>
    <row r="213" spans="2:23" ht="12.75">
      <c r="B213" s="23"/>
      <c r="C213" s="23"/>
      <c r="D213" s="24"/>
      <c r="E213" s="24" t="s">
        <v>119</v>
      </c>
      <c r="F213" s="25">
        <f>+F35-F60-F85-F110-F135-F160-F185-F210</f>
        <v>0.0099998842924833298</v>
      </c>
      <c r="G213" s="25">
        <f t="shared" si="34" ref="G213:W213">+G35-G60-G85-G110-G135-G160-G185-G210</f>
        <v>-0.030000191181898117</v>
      </c>
      <c r="H213" s="25">
        <f t="shared" si="34"/>
        <v>0.0099997706711292267</v>
      </c>
      <c r="I213" s="25">
        <f t="shared" si="34"/>
        <v>-2.9802322387695312E-08</v>
      </c>
      <c r="J213" s="25">
        <f t="shared" si="34"/>
        <v>8.2945916801691055E-10</v>
      </c>
      <c r="K213" s="25">
        <f t="shared" si="34"/>
        <v>-0.029999624937772751</v>
      </c>
      <c r="L213" s="25">
        <f t="shared" si="34"/>
        <v>-5.8207660913467407E-10</v>
      </c>
      <c r="M213" s="25">
        <f t="shared" si="34"/>
        <v>-0.0099999308586120605</v>
      </c>
      <c r="N213" s="25">
        <f t="shared" si="34"/>
        <v>4.0745362639427185E-10</v>
      </c>
      <c r="O213" s="25">
        <f t="shared" si="34"/>
        <v>-0.049998700618743896</v>
      </c>
      <c r="P213" s="25">
        <f t="shared" si="34"/>
        <v>0.019999954849481583</v>
      </c>
      <c r="Q213" s="25">
        <f t="shared" si="34"/>
        <v>-8.3819031715393066E-09</v>
      </c>
      <c r="R213" s="25">
        <f t="shared" si="34"/>
        <v>-0.019999925047159195</v>
      </c>
      <c r="S213" s="25">
        <f t="shared" si="34"/>
        <v>-3.3527612686157227E-08</v>
      </c>
      <c r="T213" s="25">
        <f t="shared" si="34"/>
        <v>-1.5366822481155396E-07</v>
      </c>
      <c r="U213" s="25">
        <f t="shared" si="34"/>
        <v>1.862645149230957E-08</v>
      </c>
      <c r="V213" s="25">
        <f t="shared" si="34"/>
        <v>-0.0099999811500310898</v>
      </c>
      <c r="W213" s="25">
        <f t="shared" si="34"/>
        <v>-1.1175870895385742E-08</v>
      </c>
    </row>
  </sheetData>
  <mergeCells count="7">
    <mergeCell ref="B11:C11"/>
    <mergeCell ref="A1:W1"/>
    <mergeCell ref="A2:W2"/>
    <mergeCell ref="A3:W3"/>
    <mergeCell ref="A4:W4"/>
    <mergeCell ref="A5:W5"/>
    <mergeCell ref="B10:C10"/>
  </mergeCells>
  <pageMargins left="0.45" right="0.45" top="2.75" bottom="0.5" header="1.5" footer="0.3"/>
  <pageSetup fitToHeight="16" fitToWidth="2" orientation="landscape" scale="70" r:id="rId1"/>
  <headerFooter>
    <oddHeader>&amp;C&amp;"-,Bold"
&amp;"Arial,Bold"&amp;10 2022 RATE CASE
ONCOR ELECTRIC DELIVERY COMPANY LLC
PLANT ADJUSTMENTS
TEST YEAR ENDING DECEMBER 31, 2021
SPONSOR: B. L. CLUTTER&amp;R&amp;"Arial,Bold"&amp;10WP/II-E-3.3/1
Page &amp;P of &amp;N</oddHeader>
  </headerFooter>
  <rowBreaks count="7" manualBreakCount="7">
    <brk id="36" max="16383" man="1"/>
    <brk id="61" max="16383" man="1"/>
    <brk id="86" max="16383" man="1"/>
    <brk id="111" max="16383" man="1"/>
    <brk id="136" max="16383" man="1"/>
    <brk id="161" max="16383" man="1"/>
    <brk id="186" max="16383" man="1"/>
  </rowBreaks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II-E-3.3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