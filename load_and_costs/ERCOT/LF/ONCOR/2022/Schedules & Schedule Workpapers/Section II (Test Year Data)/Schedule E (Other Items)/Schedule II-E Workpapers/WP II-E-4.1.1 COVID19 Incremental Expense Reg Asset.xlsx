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Default Extension="bin" ContentType="application/vnd.openxmlformats-officedocument.spreadsheetml.printerSettings"/>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N:\2022 Rate Case\Section II (Test Year Data)\Schedule E (Other Items)\Schedule II-E Workpapers\"/>
    </mc:Choice>
  </mc:AlternateContent>
  <bookViews>
    <workbookView xWindow="0" yWindow="0" windowWidth="28800" windowHeight="12705" activeTab="0"/>
  </bookViews>
  <sheets>
    <sheet name="WP II-E-4.1.1 COVID19 Reg Asset" sheetId="1" r:id="rId2"/>
  </sheets>
  <definedNames>
    <definedName name="APN">#REF!</definedName>
    <definedName name="ASD">#REF!</definedName>
    <definedName name="Completed">#REF!</definedName>
    <definedName name="Elapsed">#REF!</definedName>
    <definedName name="FY">#REF!</definedName>
    <definedName name="KeyControlFigure">#REF!</definedName>
    <definedName name="LYN">#REF!</definedName>
    <definedName name="NvsASD">"V2021-06-30"</definedName>
    <definedName name="NvsAutoDrillOk">"VN"</definedName>
    <definedName name="NvsElapsedTime">0.000138888884976041</definedName>
    <definedName name="NvsEndTime">44378.9514930556</definedName>
    <definedName name="NvsInstLang">"VENG"</definedName>
    <definedName name="NvsInstSpec">"%"</definedName>
    <definedName name="NvsInstSpec1">","</definedName>
    <definedName name="NvsInstSpec2">","</definedName>
    <definedName name="NvsInstSpec3">","</definedName>
    <definedName name="NvsInstSpec4">","</definedName>
    <definedName name="NvsInstSpec5">","</definedName>
    <definedName name="NvsInstSpec6">","</definedName>
    <definedName name="NvsInstSpec7">","</definedName>
    <definedName name="NvsInstSpec8">","</definedName>
    <definedName name="NvsInstSpec9">","</definedName>
    <definedName name="NvsLayoutType">"M3"</definedName>
    <definedName name="NvsNplSpec">"%,X,RZF.ACCOUNT.nPlosion,CZF.."</definedName>
    <definedName name="NvsPanelBusUnit">"V"</definedName>
    <definedName name="NvsPanelEffdt">"V2010-12-31"</definedName>
    <definedName name="NvsPanelSetid">"VSHARE"</definedName>
    <definedName name="NvsReqBU">"VX0001"</definedName>
    <definedName name="NvsReqBUOnly">"VN"</definedName>
    <definedName name="NvsTransLed">"VN"</definedName>
    <definedName name="NvsTree.F_ACNT_D_NONRG">"YSNYN"</definedName>
    <definedName name="NvsTree.F_BU_D_BASE_FCR">"YSNNN"</definedName>
    <definedName name="NvsTreeASD">"V2021-06-30"</definedName>
    <definedName name="NvsValTbl.ACCOUNT">"GL_ACCOUNT_TBL"</definedName>
    <definedName name="NvsValTbl.BUSINESS_UNIT">"BUS_UNIT_TBL_FS"</definedName>
    <definedName name="NvsValTbl.CURRENCY_CD">"CURRENCY_CD_VW"</definedName>
    <definedName name="NvsValTbl.PF_SCENARIO_ID">"PF_SCENARIO_VW"</definedName>
    <definedName name="NvsValTbl.SCENARIO">"SCENARIO_ALL_VW"</definedName>
    <definedName name="PED">#REF!</definedName>
    <definedName name="RID">#REF!</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48" i="1" l="1"/>
</calcChain>
</file>

<file path=xl/sharedStrings.xml><?xml version="1.0" encoding="utf-8"?>
<sst xmlns="http://schemas.openxmlformats.org/spreadsheetml/2006/main" count="65" uniqueCount="64">
  <si>
    <t>Oncor Electric Delivery Company LLC</t>
  </si>
  <si>
    <t>Regulatory Asset Account 1823575 - COVID19-Incremental Expense</t>
  </si>
  <si>
    <t>2020-2021</t>
  </si>
  <si>
    <t>K&amp;M</t>
  </si>
  <si>
    <t>Adjusted</t>
  </si>
  <si>
    <t xml:space="preserve">Grand Total </t>
  </si>
  <si>
    <t xml:space="preserve"> Adjustment</t>
  </si>
  <si>
    <t>Total</t>
  </si>
  <si>
    <t>Comments</t>
  </si>
  <si>
    <t>Contractor Expenses</t>
  </si>
  <si>
    <t>Additional Cleaning</t>
  </si>
  <si>
    <t xml:space="preserve">To minimize the chance of contamination all Oncor facilities were cleaned multiple times daily.  Areas were also wiped down daily which was not on a normal basis prior to the COVID19 pandemic.  </t>
  </si>
  <si>
    <t>Information Technology System Support</t>
  </si>
  <si>
    <t xml:space="preserve">Additional Information Technology contractors were required and also working after hours to maintain the Oncor system impact from increased remote use activity.  This included system enhancements, upgrades, and services to existing systems. </t>
  </si>
  <si>
    <t xml:space="preserve">Security &amp; Medical </t>
  </si>
  <si>
    <t>Local law enforcement provided security to facilities to ensure that only employees and required contractors entered Oncor facilities and followed entry procedures.  Contract personnel provided temperature screening at Oncor facilities to employees and contractors to enter the buildings.</t>
  </si>
  <si>
    <t>Total Contractor Expenses</t>
  </si>
  <si>
    <t>Employee Expenses</t>
  </si>
  <si>
    <t>Employee Appreciation</t>
  </si>
  <si>
    <t>Employee appreciation expenses were meal gift cards or group meals.</t>
  </si>
  <si>
    <t>Meals/Mileage/Hotel</t>
  </si>
  <si>
    <t xml:space="preserve">To avoid exposure of traveling to various food locations, meals were provided at Oncor facilities to take back to their work areas.  Only one person per vehicle was allowed which required employees to use personal vehicles to travel to work sites.  Employees also incurred mileage, hotel and parking expenses traveling to backup office locations to enable social distancing. </t>
  </si>
  <si>
    <t>vacation buyback</t>
  </si>
  <si>
    <t>purchased vacation that employees were unable to use and the company repaid the employees for what they were not able to take due to Covid 19</t>
  </si>
  <si>
    <t>Non-Productive Time Clearing</t>
  </si>
  <si>
    <t>Over-correction of variable labor allocation moved out of Regulatory Asset account</t>
  </si>
  <si>
    <t xml:space="preserve">Total Employee Expenses </t>
  </si>
  <si>
    <t>Material/Supplies Purchases</t>
  </si>
  <si>
    <t>Safety/Cleaning Supplies</t>
  </si>
  <si>
    <t>The increased cleaning and sanitizing of Oncor facilities resulted the need for additional cleaning supplies for mopping floors, spraying services, travel sprays, paper goods, individually wrapped eating utensils, etc.  Safety supplies were also impacted with the need to ensure that rental vehicles and personal vehicles used for company use had proper safety supplies in those vehicles.</t>
  </si>
  <si>
    <t>Total Material/Supplies Purchases</t>
  </si>
  <si>
    <t>Professional/Consulting Services</t>
  </si>
  <si>
    <t>COVID19 consulting/ discussion</t>
  </si>
  <si>
    <t>Expenses covered analysis of work areas when bringing personnel back to Oncor facility.  Services and review of Oncor systems on load impact from remote use.  Legal services for regulatory, FERC, and Cyber Security from Covid19 impacts.</t>
  </si>
  <si>
    <t>Total Professional/Consulting Services</t>
  </si>
  <si>
    <t>Rental/Lease Expenses</t>
  </si>
  <si>
    <t>Generators Rental &amp; Supplies</t>
  </si>
  <si>
    <t>Temporary mobile offices have been leased to provide work areas for those employees that are needed to be at Oncor facilities.  Generators were also leased to provide the required power to the temporary offices.</t>
  </si>
  <si>
    <t>Mobile office &amp; hand wash stations(Temporary Office Furnishings)</t>
  </si>
  <si>
    <t>For social distancing furnishings for temporary office areas included, tables, chairs, ceiling fans, small refrigerators,temporary restrooms. Cubicle work stations were installed for additional distancing.</t>
  </si>
  <si>
    <t>Rental Vehicles</t>
  </si>
  <si>
    <t>Only one person per vehicle required the use of rental vehicles.  Pickups and cars are the main rentals with a few service body trucks.  A few bucket trucks have been rented in case another bucket truck is down for an extended period and the rental bucket truck helps continue operations.</t>
  </si>
  <si>
    <t xml:space="preserve">Wifi/Zoom/Webex </t>
  </si>
  <si>
    <t>Working remotely required the ability to have meetings that allowed for presentation sharing.  Using systems such as Wifi/Zoom/Webex provides this capability.  This required several groups to get these systems to continue meetings remotely.</t>
  </si>
  <si>
    <t>Total Rental/Lease Expenses</t>
  </si>
  <si>
    <t xml:space="preserve">Docket No. 50664 Issues Related to the State of Disaster for Coronavirus Disease 2019, Third Order Related to Accrual of Regulatory Assets, Accounting Order: </t>
  </si>
  <si>
    <t>1. Each electric utility and water and sewer utility in the state of Texas shall record as a regulatory asset expenses resulting from the effects of COVID-19.</t>
  </si>
  <si>
    <t>2. In future proceedings, the Commission will consider, on a case-by-case basis, the appropriate adjustment to a utility's rates to reflect the recovery of the approved amount of regulatory assets recorded in accordance with this Order (see detail on tab Docket No. 50664)</t>
  </si>
  <si>
    <t>Balance - $34,618,626.32</t>
  </si>
  <si>
    <t>Annual Amortization - $6,923,725.26</t>
  </si>
  <si>
    <t>Amortization</t>
  </si>
  <si>
    <t>Beginning balance</t>
  </si>
  <si>
    <t>Year 1</t>
  </si>
  <si>
    <t>Year 2</t>
  </si>
  <si>
    <t>Year 3</t>
  </si>
  <si>
    <t>Year 4</t>
  </si>
  <si>
    <t>Year 5</t>
  </si>
  <si>
    <t>WP II-E-4.1.1 COVID19 Incremental Expense Reg Asset</t>
  </si>
  <si>
    <t>Page 1 of 1</t>
  </si>
  <si>
    <t>2022 Rate Case</t>
  </si>
  <si>
    <t>Sponsor:  W. Alan Ledbetter</t>
  </si>
  <si>
    <t>For Test Year Ending December 31, 2021</t>
  </si>
  <si>
    <t>Requestion amortization of regulatory asset 1823575 over five years in this case</t>
  </si>
  <si>
    <t>(O&amp;M Adjustment #42)</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</si>
</sst>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4" formatCode="_(&quot;$&quot;* #,##0.00_);_(&quot;$&quot;* \(#,##0.00\);_(&quot;$&quot;* &quot;-&quot;??_);_(@_)"/>
    <numFmt numFmtId="43" formatCode="_(* #,##0.00_);_(* \(#,##0.00\);_(* &quot;-&quot;??_);_(@_)"/>
    <numFmt numFmtId="164" formatCode="0.0%"/>
    <numFmt numFmtId="165" formatCode="_(* #,##0_);_(* \(#,##0\);_(* &quot;-&quot;??_);_(@_)"/>
  </numFmts>
  <fonts count="5">
    <font>
      <sz val="11"/>
      <color theme="1"/>
      <name val="Calibri"/>
      <family val="2"/>
      <scheme val="minor"/>
    </font>
    <font>
      <sz val="10"/>
      <color theme="1"/>
      <name val="Arial"/>
      <family val="2"/>
    </font>
    <font>
      <sz val="11"/>
      <name val="Calibri"/>
      <family val="2"/>
      <scheme val="minor"/>
    </font>
    <font>
      <b/>
      <sz val="11"/>
      <name val="Calibri"/>
      <family val="2"/>
      <scheme val="minor"/>
    </font>
    <font>
      <sz val="10"/>
      <name val="Segoe UI"/>
      <family val="2"/>
    </font>
  </fonts>
  <fills count="2">
    <fill>
      <patternFill patternType="none"/>
    </fill>
    <fill>
      <patternFill patternType="gray125"/>
    </fill>
  </fills>
  <borders count="4">
    <border>
      <left/>
      <right/>
      <top/>
      <bottom/>
      <diagonal/>
    </border>
    <border>
      <left/>
      <right/>
      <top/>
      <bottom style="thin">
        <color auto="1"/>
      </bottom>
    </border>
    <border>
      <left/>
      <right/>
      <top style="thin">
        <color auto="1"/>
      </top>
      <bottom style="double">
        <color auto="1"/>
      </bottom>
    </border>
    <border>
      <left/>
      <right/>
      <top/>
      <bottom style="double">
        <color auto="1"/>
      </bottom>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0"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0" fillId="0" borderId="0" applyFont="0" applyFill="0" applyBorder="0" applyAlignment="0" applyProtection="0"/>
    <xf numFmtId="41" fontId="1" fillId="0" borderId="0" applyFont="0" applyFill="0" applyBorder="0" applyAlignment="0" applyProtection="0"/>
  </cellStyleXfs>
  <cellXfs count="35">
    <xf numFmtId="0" fontId="0" fillId="0" borderId="0" xfId="0"/>
    <xf numFmtId="0" fontId="2" fillId="0" borderId="0" xfId="0" applyFont="1" applyFill="1"/>
    <xf numFmtId="0" fontId="2" fillId="0" borderId="0" xfId="0" applyFont="1" applyFill="1" applyBorder="1"/>
    <xf numFmtId="0" fontId="2" fillId="0" borderId="0" xfId="0" applyFont="1" applyFill="1" applyAlignment="1">
      <alignment horizontal="right"/>
    </xf>
    <xf numFmtId="0" fontId="3" fillId="0" borderId="1" xfId="0" applyFont="1" applyFill="1" applyBorder="1" applyAlignment="1">
      <alignment horizontal="center" wrapText="1"/>
    </xf>
    <xf numFmtId="0" fontId="3" fillId="0" borderId="1" xfId="0" applyFont="1" applyFill="1" applyBorder="1" applyAlignment="1">
      <alignment wrapText="1"/>
    </xf>
    <xf numFmtId="0" fontId="3" fillId="0" borderId="0" xfId="0" applyFont="1" applyFill="1" applyAlignment="1">
      <alignment horizontal="center"/>
    </xf>
    <xf numFmtId="0" fontId="2" fillId="0" borderId="0" xfId="0" applyFont="1" applyFill="1" applyAlignment="1">
      <alignment horizontal="center"/>
    </xf>
    <xf numFmtId="43" fontId="2" fillId="0" borderId="0" xfId="0" applyNumberFormat="1" applyFont="1" applyFill="1"/>
    <xf numFmtId="9" fontId="2" fillId="0" borderId="0" xfId="15" applyNumberFormat="1" applyFont="1" applyFill="1"/>
    <xf numFmtId="43" fontId="2" fillId="0" borderId="0" xfId="15" applyNumberFormat="1" applyFont="1" applyFill="1"/>
    <xf numFmtId="0" fontId="3" fillId="0" borderId="1" xfId="0" applyFont="1" applyFill="1" applyBorder="1"/>
    <xf numFmtId="0" fontId="2" fillId="0" borderId="1" xfId="0" applyFont="1" applyFill="1" applyBorder="1"/>
    <xf numFmtId="43" fontId="2" fillId="0" borderId="1" xfId="0" applyNumberFormat="1" applyFont="1" applyFill="1" applyBorder="1"/>
    <xf numFmtId="9" fontId="2" fillId="0" borderId="1" xfId="15" applyNumberFormat="1" applyFont="1" applyFill="1" applyBorder="1"/>
    <xf numFmtId="43" fontId="2" fillId="0" borderId="1" xfId="15" applyNumberFormat="1" applyFont="1" applyFill="1" applyBorder="1"/>
    <xf numFmtId="164" fontId="2" fillId="0" borderId="0" xfId="0" applyNumberFormat="1" applyFont="1" applyFill="1"/>
    <xf numFmtId="164" fontId="2" fillId="0" borderId="0" xfId="15" applyNumberFormat="1" applyFont="1" applyFill="1"/>
    <xf numFmtId="0" fontId="2" fillId="0" borderId="0" xfId="0" applyFont="1" applyFill="1" applyBorder="1" applyAlignment="1">
      <alignment horizontal="left"/>
    </xf>
    <xf numFmtId="0" fontId="2" fillId="0" borderId="0" xfId="0" applyFont="1" applyFill="1" applyAlignment="1">
      <alignment horizontal="left" indent="1"/>
    </xf>
    <xf numFmtId="44" fontId="2" fillId="0" borderId="0" xfId="15" applyNumberFormat="1" applyFont="1" applyFill="1"/>
    <xf numFmtId="10" fontId="2" fillId="0" borderId="0" xfId="15" applyNumberFormat="1" applyFont="1" applyFill="1"/>
    <xf numFmtId="0" fontId="2" fillId="0" borderId="0" xfId="0" applyFont="1" applyFill="1" applyAlignment="1">
      <alignment horizontal="center" wrapText="1"/>
    </xf>
    <xf numFmtId="0" fontId="3" fillId="0" borderId="2" xfId="0" applyFont="1" applyFill="1" applyBorder="1"/>
    <xf numFmtId="0" fontId="3" fillId="0" borderId="3" xfId="0" applyFont="1" applyFill="1" applyBorder="1"/>
    <xf numFmtId="165" fontId="3" fillId="0" borderId="3" xfId="0" applyNumberFormat="1" applyFont="1" applyFill="1" applyBorder="1"/>
    <xf numFmtId="0" fontId="2" fillId="0" borderId="0" xfId="0" applyFont="1" applyFill="1" applyAlignment="1">
      <alignment vertical="center"/>
    </xf>
    <xf numFmtId="0" fontId="3" fillId="0" borderId="0" xfId="0" applyFont="1" applyFill="1"/>
    <xf numFmtId="43" fontId="2" fillId="0" borderId="0" xfId="18" applyFont="1" applyFill="1"/>
    <xf numFmtId="0" fontId="3" fillId="0" borderId="1" xfId="0" applyFont="1" applyFill="1" applyBorder="1" applyAlignment="1">
      <alignment horizontal="center" wrapText="1"/>
    </xf>
    <xf numFmtId="164" fontId="2" fillId="0" borderId="0" xfId="0" applyNumberFormat="1" applyFont="1" applyFill="1" applyAlignment="1">
      <alignment horizontal="left" wrapText="1"/>
    </xf>
    <xf numFmtId="164" fontId="2" fillId="0" borderId="0" xfId="0" applyNumberFormat="1" applyFont="1" applyFill="1" applyAlignment="1">
      <alignment horizontal="left"/>
    </xf>
    <xf numFmtId="0" fontId="4" fillId="0" borderId="0" xfId="0" applyFont="1" applyFill="1" applyAlignment="1">
      <alignment horizontal="left" vertical="center" wrapText="1"/>
    </xf>
    <xf numFmtId="0" fontId="2" fillId="0" borderId="0" xfId="0" applyFont="1" applyFill="1" applyAlignment="1">
      <alignment horizontal="left" vertical="top"/>
    </xf>
    <xf numFmtId="0" fontId="2" fillId="0" borderId="0" xfId="0" applyFont="1" applyFill="1" applyAlignment="1">
      <alignment horizontal="left" vertical="center" wrapText="1"/>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theme" Target="theme/theme1.xml" /><Relationship Id="rId2" Type="http://schemas.openxmlformats.org/officeDocument/2006/relationships/worksheet" Target="worksheets/sheet1.xml" /><Relationship Id="rId4" Type="http://schemas.openxmlformats.org/officeDocument/2006/relationships/sharedStrings" Target="sharedStrings.xml" /><Relationship Id="rId5" Type="http://schemas.openxmlformats.org/officeDocument/2006/relationships/calcChain" Target="calcChain.xml" /><Relationship Id="rId3"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mc:Ignorable="x14ac">
  <sheetPr>
    <pageSetUpPr fitToPage="1"/>
  </sheetPr>
  <dimension ref="A1:R48"/>
  <sheetViews>
    <sheetView tabSelected="1" workbookViewId="0" topLeftCell="A1">
      <selection pane="topLeft" activeCell="A5" sqref="A5"/>
    </sheetView>
  </sheetViews>
  <sheetFormatPr defaultColWidth="9.14428571428571" defaultRowHeight="15"/>
  <cols>
    <col min="1" max="1" width="41.1428571428571" style="1" customWidth="1"/>
    <col min="2" max="2" width="44.4285714285714" style="1" customWidth="1"/>
    <col min="3" max="3" width="3.42857142857143" style="2" customWidth="1"/>
    <col min="4" max="4" width="16" style="1" bestFit="1" customWidth="1"/>
    <col min="5" max="5" width="15.4285714285714" style="1" bestFit="1" customWidth="1"/>
    <col min="6" max="6" width="15.5714285714286" style="1" bestFit="1" customWidth="1"/>
    <col min="7" max="9" width="9.14285714285714" style="1"/>
    <col min="10" max="10" width="14.4285714285714" style="1" bestFit="1" customWidth="1"/>
    <col min="11" max="11" width="9.14285714285714" style="1"/>
    <col min="12" max="16" width="8.85714285714286" style="1" customWidth="1"/>
    <col min="17" max="17" width="5.57142857142857" style="1" customWidth="1"/>
    <col min="18" max="18" width="8.85714285714286" style="1" hidden="1" customWidth="1"/>
    <col min="19" max="16384" width="9.14285714285714" style="1"/>
  </cols>
  <sheetData>
    <row r="1" spans="1:17" ht="15">
      <c r="A1" s="27" t="s">
        <v>59</v>
      </c>
      <c r="Q1" s="3" t="s">
        <v>57</v>
      </c>
    </row>
    <row r="2" spans="1:17" ht="15">
      <c r="A2" s="27" t="s">
        <v>0</v>
      </c>
      <c r="Q2" s="3" t="s">
        <v>58</v>
      </c>
    </row>
    <row r="3" spans="1:1" ht="15">
      <c r="A3" s="27" t="s">
        <v>1</v>
      </c>
    </row>
    <row r="4" spans="1:17" ht="15" customHeight="1">
      <c r="A4" s="27" t="s">
        <v>61</v>
      </c>
      <c r="D4" s="29" t="s">
        <v>2</v>
      </c>
      <c r="E4" s="4" t="s">
        <v>3</v>
      </c>
      <c r="F4" s="4" t="s">
        <v>4</v>
      </c>
      <c r="G4" s="5"/>
      <c r="H4" s="5"/>
      <c r="I4" s="5"/>
      <c r="J4" s="5"/>
      <c r="K4" s="5"/>
      <c r="L4" s="5"/>
      <c r="M4" s="5"/>
      <c r="N4" s="5"/>
      <c r="O4" s="5"/>
      <c r="P4" s="5"/>
      <c r="Q4" s="5"/>
    </row>
    <row r="5" spans="1:7" ht="15">
      <c r="A5" s="27" t="s">
        <v>60</v>
      </c>
      <c r="D5" s="6" t="s">
        <v>5</v>
      </c>
      <c r="E5" s="6" t="s">
        <v>6</v>
      </c>
      <c r="F5" s="6" t="s">
        <v>7</v>
      </c>
      <c r="G5" s="7" t="s">
        <v>8</v>
      </c>
    </row>
    <row r="6" spans="4:7" ht="15">
      <c r="D6" s="6"/>
      <c r="E6" s="6"/>
      <c r="F6" s="6"/>
      <c r="G6" s="7"/>
    </row>
    <row r="7" spans="4:7" ht="15">
      <c r="D7" s="6"/>
      <c r="E7" s="6"/>
      <c r="F7" s="6"/>
      <c r="G7" s="7"/>
    </row>
    <row r="8" spans="1:1" ht="15">
      <c r="A8" s="1" t="s">
        <v>9</v>
      </c>
    </row>
    <row r="9" spans="2:17" ht="31.7" customHeight="1">
      <c r="B9" s="1" t="s">
        <v>10</v>
      </c>
      <c r="D9" s="8">
        <v>9328771.9999999888</v>
      </c>
      <c r="E9" s="9"/>
      <c r="F9" s="10">
        <f>D9+E9</f>
        <v>9328771.9999999888</v>
      </c>
      <c r="G9" s="30" t="s">
        <v>11</v>
      </c>
      <c r="H9" s="30"/>
      <c r="I9" s="30"/>
      <c r="J9" s="30"/>
      <c r="K9" s="30"/>
      <c r="L9" s="30"/>
      <c r="M9" s="30"/>
      <c r="N9" s="30"/>
      <c r="O9" s="30"/>
      <c r="P9" s="30"/>
      <c r="Q9" s="30"/>
    </row>
    <row r="10" spans="2:17" ht="41.45" customHeight="1">
      <c r="B10" s="1" t="s">
        <v>12</v>
      </c>
      <c r="D10" s="8">
        <v>371770.79999999999</v>
      </c>
      <c r="E10" s="9"/>
      <c r="F10" s="10">
        <f>D10+E10</f>
        <v>371770.79999999999</v>
      </c>
      <c r="G10" s="30" t="s">
        <v>13</v>
      </c>
      <c r="H10" s="30"/>
      <c r="I10" s="30"/>
      <c r="J10" s="30"/>
      <c r="K10" s="30"/>
      <c r="L10" s="30"/>
      <c r="M10" s="30"/>
      <c r="N10" s="30"/>
      <c r="O10" s="30"/>
      <c r="P10" s="30"/>
      <c r="Q10" s="30"/>
    </row>
    <row r="11" spans="2:17" ht="40.7" customHeight="1">
      <c r="B11" s="1" t="s">
        <v>14</v>
      </c>
      <c r="D11" s="8">
        <v>10703680.389999984</v>
      </c>
      <c r="E11" s="9"/>
      <c r="F11" s="10">
        <f>D11+E11</f>
        <v>10703680.389999984</v>
      </c>
      <c r="G11" s="30" t="s">
        <v>15</v>
      </c>
      <c r="H11" s="30"/>
      <c r="I11" s="30"/>
      <c r="J11" s="30"/>
      <c r="K11" s="30"/>
      <c r="L11" s="30"/>
      <c r="M11" s="30"/>
      <c r="N11" s="30"/>
      <c r="O11" s="30"/>
      <c r="P11" s="30"/>
      <c r="Q11" s="30"/>
    </row>
    <row r="12" spans="1:7" ht="15">
      <c r="A12" s="11" t="s">
        <v>16</v>
      </c>
      <c r="B12" s="11"/>
      <c r="D12" s="13">
        <f>SUM(D9:D11)</f>
        <v>20404223.189999975</v>
      </c>
      <c r="E12" s="14"/>
      <c r="F12" s="15">
        <f>D12+E12</f>
        <v>20404223.189999975</v>
      </c>
      <c r="G12" s="16"/>
    </row>
    <row r="13" spans="1:7" ht="15">
      <c r="A13" s="2"/>
      <c r="E13" s="17"/>
      <c r="F13" s="17"/>
      <c r="G13" s="16"/>
    </row>
    <row r="14" spans="1:7" ht="15">
      <c r="A14" s="18" t="s">
        <v>17</v>
      </c>
      <c r="E14" s="17"/>
      <c r="F14" s="17"/>
      <c r="G14" s="16"/>
    </row>
    <row r="15" spans="1:13" ht="15">
      <c r="A15" s="2"/>
      <c r="B15" s="19" t="s">
        <v>18</v>
      </c>
      <c r="D15" s="8">
        <v>9160.4099999999999</v>
      </c>
      <c r="E15" s="20">
        <v>-4824.9400000000005</v>
      </c>
      <c r="F15" s="10">
        <f>D15+E15</f>
        <v>4335.4699999999993</v>
      </c>
      <c r="G15" s="31" t="s">
        <v>19</v>
      </c>
      <c r="H15" s="31"/>
      <c r="I15" s="31"/>
      <c r="J15" s="31"/>
      <c r="K15" s="31"/>
      <c r="L15" s="31"/>
      <c r="M15" s="31"/>
    </row>
    <row r="16" spans="2:17" ht="42" customHeight="1">
      <c r="B16" s="19" t="s">
        <v>20</v>
      </c>
      <c r="D16" s="8">
        <v>2111550.3500000015</v>
      </c>
      <c r="E16" s="21"/>
      <c r="F16" s="10">
        <f>D16+E16</f>
        <v>2111550.3500000015</v>
      </c>
      <c r="G16" s="30" t="s">
        <v>21</v>
      </c>
      <c r="H16" s="30"/>
      <c r="I16" s="30"/>
      <c r="J16" s="30"/>
      <c r="K16" s="30"/>
      <c r="L16" s="30"/>
      <c r="M16" s="30"/>
      <c r="N16" s="30"/>
      <c r="O16" s="30"/>
      <c r="P16" s="30"/>
      <c r="Q16" s="30"/>
    </row>
    <row r="17" spans="2:17" ht="27.6" customHeight="1">
      <c r="B17" s="19" t="s">
        <v>22</v>
      </c>
      <c r="D17" s="8">
        <v>868896.66000000003</v>
      </c>
      <c r="E17" s="9"/>
      <c r="F17" s="10">
        <f>D17+E17</f>
        <v>868896.66000000003</v>
      </c>
      <c r="G17" s="32" t="s">
        <v>23</v>
      </c>
      <c r="H17" s="32"/>
      <c r="I17" s="32"/>
      <c r="J17" s="32"/>
      <c r="K17" s="32"/>
      <c r="L17" s="32"/>
      <c r="M17" s="32"/>
      <c r="N17" s="32"/>
      <c r="O17" s="32"/>
      <c r="P17" s="32"/>
      <c r="Q17" s="32"/>
    </row>
    <row r="18" spans="2:17" ht="36" customHeight="1">
      <c r="B18" s="2" t="s">
        <v>24</v>
      </c>
      <c r="D18" s="8">
        <v>-245.92000000000053</v>
      </c>
      <c r="E18" s="20"/>
      <c r="F18" s="10">
        <f>D18+E18</f>
        <v>-245.92000000000053</v>
      </c>
      <c r="G18" s="30" t="s">
        <v>25</v>
      </c>
      <c r="H18" s="30"/>
      <c r="I18" s="30"/>
      <c r="J18" s="30"/>
      <c r="K18" s="30"/>
      <c r="L18" s="30"/>
      <c r="M18" s="30"/>
      <c r="N18" s="30"/>
      <c r="O18" s="30"/>
      <c r="P18" s="30"/>
      <c r="Q18" s="30"/>
    </row>
    <row r="19" spans="1:7" ht="15">
      <c r="A19" s="11" t="s">
        <v>26</v>
      </c>
      <c r="B19" s="12"/>
      <c r="D19" s="13">
        <f>SUM(D15:D18)</f>
        <v>2989361.5000000019</v>
      </c>
      <c r="E19" s="14"/>
      <c r="F19" s="15">
        <f>D19+E19</f>
        <v>2989361.5000000019</v>
      </c>
      <c r="G19" s="16"/>
    </row>
    <row r="20" spans="5:7" ht="15">
      <c r="E20" s="9"/>
      <c r="F20" s="9"/>
      <c r="G20" s="16"/>
    </row>
    <row r="21" spans="1:7" ht="15">
      <c r="A21" s="1" t="s">
        <v>27</v>
      </c>
      <c r="E21" s="9"/>
      <c r="F21" s="9"/>
      <c r="G21" s="16"/>
    </row>
    <row r="22" spans="2:17" ht="61.7" customHeight="1">
      <c r="B22" s="1" t="s">
        <v>28</v>
      </c>
      <c r="D22" s="8">
        <v>2347274.75</v>
      </c>
      <c r="E22" s="9"/>
      <c r="F22" s="10">
        <f>D22+E22</f>
        <v>2347274.75</v>
      </c>
      <c r="G22" s="30" t="s">
        <v>29</v>
      </c>
      <c r="H22" s="30"/>
      <c r="I22" s="30"/>
      <c r="J22" s="30"/>
      <c r="K22" s="30"/>
      <c r="L22" s="30"/>
      <c r="M22" s="30"/>
      <c r="N22" s="30"/>
      <c r="O22" s="30"/>
      <c r="P22" s="30"/>
      <c r="Q22" s="30"/>
    </row>
    <row r="23" spans="1:7" ht="15">
      <c r="A23" s="11" t="s">
        <v>30</v>
      </c>
      <c r="B23" s="12"/>
      <c r="D23" s="13">
        <f>D22</f>
        <v>2347274.75</v>
      </c>
      <c r="E23" s="14"/>
      <c r="F23" s="15">
        <f>D23+E23</f>
        <v>2347274.75</v>
      </c>
      <c r="G23" s="16"/>
    </row>
    <row r="24" spans="1:7" ht="15">
      <c r="A24" s="1" t="s">
        <v>31</v>
      </c>
      <c r="E24" s="9"/>
      <c r="F24" s="9"/>
      <c r="G24" s="16"/>
    </row>
    <row r="25" spans="2:17" ht="30" customHeight="1">
      <c r="B25" s="1" t="s">
        <v>32</v>
      </c>
      <c r="D25" s="8">
        <v>941146.03000000003</v>
      </c>
      <c r="E25" s="9"/>
      <c r="F25" s="10">
        <f>D25+E25</f>
        <v>941146.03000000003</v>
      </c>
      <c r="G25" s="30" t="s">
        <v>33</v>
      </c>
      <c r="H25" s="30"/>
      <c r="I25" s="30"/>
      <c r="J25" s="30"/>
      <c r="K25" s="30"/>
      <c r="L25" s="30"/>
      <c r="M25" s="30"/>
      <c r="N25" s="30"/>
      <c r="O25" s="30"/>
      <c r="P25" s="30"/>
      <c r="Q25" s="30"/>
    </row>
    <row r="26" spans="1:7" ht="15">
      <c r="A26" s="11" t="s">
        <v>34</v>
      </c>
      <c r="B26" s="11"/>
      <c r="D26" s="13">
        <f>D25</f>
        <v>941146.03000000003</v>
      </c>
      <c r="E26" s="14"/>
      <c r="F26" s="15">
        <f>D26+E26</f>
        <v>941146.03000000003</v>
      </c>
      <c r="G26" s="16"/>
    </row>
    <row r="27" spans="1:7" ht="15">
      <c r="A27" s="18" t="s">
        <v>35</v>
      </c>
      <c r="E27" s="9"/>
      <c r="F27" s="9"/>
      <c r="G27" s="16"/>
    </row>
    <row r="28" spans="1:17" ht="31.7" customHeight="1">
      <c r="A28" s="2"/>
      <c r="B28" s="1" t="s">
        <v>36</v>
      </c>
      <c r="D28" s="8">
        <v>305839.17999999999</v>
      </c>
      <c r="E28" s="9"/>
      <c r="F28" s="10">
        <f t="shared" si="0" ref="F28:F32">D28+E28</f>
        <v>305839.17999999999</v>
      </c>
      <c r="G28" s="30" t="s">
        <v>37</v>
      </c>
      <c r="H28" s="30"/>
      <c r="I28" s="30"/>
      <c r="J28" s="30"/>
      <c r="K28" s="30"/>
      <c r="L28" s="30"/>
      <c r="M28" s="30"/>
      <c r="N28" s="30"/>
      <c r="O28" s="30"/>
      <c r="P28" s="30"/>
      <c r="Q28" s="30"/>
    </row>
    <row r="29" spans="2:17" ht="28.7" customHeight="1">
      <c r="B29" s="22" t="s">
        <v>38</v>
      </c>
      <c r="D29" s="8">
        <v>444863.39000000001</v>
      </c>
      <c r="E29" s="8">
        <v>-36351.43</v>
      </c>
      <c r="F29" s="10">
        <f t="shared" si="0"/>
        <v>408511.96000000002</v>
      </c>
      <c r="G29" s="30" t="s">
        <v>39</v>
      </c>
      <c r="H29" s="30"/>
      <c r="I29" s="30"/>
      <c r="J29" s="30"/>
      <c r="K29" s="30"/>
      <c r="L29" s="30"/>
      <c r="M29" s="30"/>
      <c r="N29" s="30"/>
      <c r="O29" s="30"/>
      <c r="P29" s="30"/>
      <c r="Q29" s="30"/>
    </row>
    <row r="30" spans="2:17" ht="43.7" customHeight="1">
      <c r="B30" s="1" t="s">
        <v>40</v>
      </c>
      <c r="D30" s="8">
        <v>7038060.1299999487</v>
      </c>
      <c r="E30" s="9"/>
      <c r="F30" s="10">
        <f t="shared" si="0"/>
        <v>7038060.1299999487</v>
      </c>
      <c r="G30" s="30" t="s">
        <v>41</v>
      </c>
      <c r="H30" s="30"/>
      <c r="I30" s="30"/>
      <c r="J30" s="30"/>
      <c r="K30" s="30"/>
      <c r="L30" s="30"/>
      <c r="M30" s="30"/>
      <c r="N30" s="30"/>
      <c r="O30" s="30"/>
      <c r="P30" s="30"/>
      <c r="Q30" s="30"/>
    </row>
    <row r="31" spans="2:17" ht="30" customHeight="1">
      <c r="B31" s="1" t="s">
        <v>42</v>
      </c>
      <c r="D31" s="8">
        <v>189034.52000000002</v>
      </c>
      <c r="E31" s="9"/>
      <c r="F31" s="10">
        <f t="shared" si="0"/>
        <v>189034.52000000002</v>
      </c>
      <c r="G31" s="30" t="s">
        <v>43</v>
      </c>
      <c r="H31" s="30"/>
      <c r="I31" s="30"/>
      <c r="J31" s="30"/>
      <c r="K31" s="30"/>
      <c r="L31" s="30"/>
      <c r="M31" s="30"/>
      <c r="N31" s="30"/>
      <c r="O31" s="30"/>
      <c r="P31" s="30"/>
      <c r="Q31" s="30"/>
    </row>
    <row r="32" spans="1:7" ht="15">
      <c r="A32" s="11" t="s">
        <v>44</v>
      </c>
      <c r="B32" s="11"/>
      <c r="D32" s="13">
        <f>SUM(D28:D31)</f>
        <v>7977797.2199999485</v>
      </c>
      <c r="E32" s="14"/>
      <c r="F32" s="15">
        <f t="shared" si="0"/>
        <v>7977797.2199999485</v>
      </c>
      <c r="G32" s="16"/>
    </row>
    <row r="33" spans="1:6" ht="15.75" thickBot="1">
      <c r="A33" s="23" t="s">
        <v>5</v>
      </c>
      <c r="B33" s="24"/>
      <c r="D33" s="25">
        <f>D12+D19+D23+D26+D32</f>
        <v>34659802.689999923</v>
      </c>
      <c r="E33" s="25">
        <f>SUM(E9:E32)</f>
        <v>-41176.370000000003</v>
      </c>
      <c r="F33" s="25">
        <f>D33+E33</f>
        <v>34618626.319999926</v>
      </c>
    </row>
    <row r="34" ht="15.75" thickTop="1"/>
    <row r="35" spans="1:10" ht="15">
      <c r="A35" s="33" t="s">
        <v>45</v>
      </c>
      <c r="B35" s="33"/>
      <c r="C35" s="33"/>
      <c r="D35" s="33"/>
      <c r="E35" s="33"/>
      <c r="F35" s="33"/>
      <c r="G35" s="33"/>
      <c r="H35" s="33"/>
      <c r="I35" s="33"/>
      <c r="J35" s="33"/>
    </row>
    <row r="36" spans="1:10" ht="30.6" customHeight="1">
      <c r="A36" s="34" t="s">
        <v>46</v>
      </c>
      <c r="B36" s="34"/>
      <c r="C36" s="34"/>
      <c r="D36" s="34"/>
      <c r="E36" s="34"/>
      <c r="F36" s="34"/>
      <c r="G36" s="34"/>
      <c r="H36" s="34"/>
      <c r="I36" s="34"/>
      <c r="J36" s="26"/>
    </row>
    <row r="37" spans="1:18" ht="14.45" customHeight="1">
      <c r="A37" s="34" t="s">
        <v>47</v>
      </c>
      <c r="B37" s="34"/>
      <c r="C37" s="34"/>
      <c r="D37" s="34"/>
      <c r="E37" s="34"/>
      <c r="F37" s="34"/>
      <c r="G37" s="34"/>
      <c r="H37" s="34"/>
      <c r="I37" s="34"/>
      <c r="J37" s="26"/>
      <c r="K37" s="26"/>
      <c r="L37" s="26"/>
      <c r="M37" s="26"/>
      <c r="N37" s="26"/>
      <c r="O37" s="26"/>
      <c r="P37" s="26"/>
      <c r="Q37" s="26"/>
      <c r="R37" s="26"/>
    </row>
    <row r="38" spans="1:18" ht="28.7" customHeight="1">
      <c r="A38" s="34"/>
      <c r="B38" s="34"/>
      <c r="C38" s="34"/>
      <c r="D38" s="34"/>
      <c r="E38" s="34"/>
      <c r="F38" s="34"/>
      <c r="G38" s="34"/>
      <c r="H38" s="34"/>
      <c r="I38" s="34"/>
      <c r="J38" s="26"/>
      <c r="K38" s="26"/>
      <c r="L38" s="26"/>
      <c r="M38" s="26"/>
      <c r="N38" s="26"/>
      <c r="O38" s="26"/>
      <c r="P38" s="26"/>
      <c r="Q38" s="26"/>
      <c r="R38" s="26"/>
    </row>
    <row r="39" spans="1:1" ht="15">
      <c r="A39" s="27" t="s">
        <v>62</v>
      </c>
    </row>
    <row r="40" spans="1:1" ht="15">
      <c r="A40" s="27" t="s">
        <v>48</v>
      </c>
    </row>
    <row r="41" spans="1:10" ht="15">
      <c r="A41" s="27" t="s">
        <v>49</v>
      </c>
      <c r="B41" s="1" t="s">
        <v>63</v>
      </c>
      <c r="J41" s="8"/>
    </row>
    <row r="42" spans="2:4" ht="15">
      <c r="B42" s="7" t="s">
        <v>50</v>
      </c>
      <c r="D42" s="8"/>
    </row>
    <row r="43" spans="1:4" ht="15">
      <c r="A43" s="1" t="s">
        <v>51</v>
      </c>
      <c r="D43" s="8">
        <f>F33</f>
        <v>34618626.319999926</v>
      </c>
    </row>
    <row r="44" spans="1:4" ht="15">
      <c r="A44" s="1" t="s">
        <v>52</v>
      </c>
      <c r="B44" s="8">
        <f>-D43/5</f>
        <v>-6923725.2639999855</v>
      </c>
      <c r="D44" s="8">
        <f>D43+B44</f>
        <v>27694901.055999942</v>
      </c>
    </row>
    <row r="45" spans="1:4" ht="15">
      <c r="A45" s="1" t="s">
        <v>53</v>
      </c>
      <c r="B45" s="8">
        <v>-6923725.2639999855</v>
      </c>
      <c r="D45" s="8">
        <f>D44+B45</f>
        <v>20771175.791999958</v>
      </c>
    </row>
    <row r="46" spans="1:4" ht="15">
      <c r="A46" s="1" t="s">
        <v>54</v>
      </c>
      <c r="B46" s="28">
        <v>-6923725.2639999855</v>
      </c>
      <c r="D46" s="28">
        <f>D45+B46</f>
        <v>13847450.527999973</v>
      </c>
    </row>
    <row r="47" spans="1:6" ht="15">
      <c r="A47" s="1" t="s">
        <v>55</v>
      </c>
      <c r="B47" s="28">
        <v>-6923725.2639999855</v>
      </c>
      <c r="D47" s="8">
        <f>D46+B47</f>
        <v>6923725.2639999874</v>
      </c>
      <c r="E47" s="8"/>
      <c r="F47" s="8"/>
    </row>
    <row r="48" spans="1:4" ht="15">
      <c r="A48" s="1" t="s">
        <v>56</v>
      </c>
      <c r="B48" s="28">
        <v>-6923725.2639999855</v>
      </c>
      <c r="D48" s="8">
        <f>D47+B48</f>
        <v>0</v>
      </c>
    </row>
  </sheetData>
  <mergeCells count="16">
    <mergeCell ref="G30:Q30"/>
    <mergeCell ref="G31:Q31"/>
    <mergeCell ref="A35:J35"/>
    <mergeCell ref="A36:I36"/>
    <mergeCell ref="A37:I38"/>
    <mergeCell ref="G29:Q29"/>
    <mergeCell ref="G9:Q9"/>
    <mergeCell ref="G10:Q10"/>
    <mergeCell ref="G11:Q11"/>
    <mergeCell ref="G15:M15"/>
    <mergeCell ref="G16:Q16"/>
    <mergeCell ref="G17:Q17"/>
    <mergeCell ref="G18:Q18"/>
    <mergeCell ref="G22:Q22"/>
    <mergeCell ref="G25:Q25"/>
    <mergeCell ref="G28:Q28"/>
  </mergeCells>
  <pageMargins left="0.5" right="0.5" top="1.5" bottom="0.5" header="0.3" footer="0.3"/>
  <pageSetup horizontalDpi="300" verticalDpi="300" orientation="landscape" scale="47" r:id="rId1"/>
</worksheet>
</file>

<file path=docProps/app.xml><?xml version="1.0" encoding="utf-8"?>
<Properties xmlns="http://schemas.openxmlformats.org/officeDocument/2006/extended-properties" xmlns:vt="http://schemas.openxmlformats.org/officeDocument/2006/docPropsVTypes">
  <Application>Microsoft Excel</Application>
  <AppVersion>15.0300</AppVersion>
  <DocSecurity>0</DocSecurity>
  <ScaleCrop>false</ScaleCrop>
  <HeadingPairs>
    <vt:vector size="2" baseType="variant">
      <vt:variant>
        <vt:lpstr>Worksheets</vt:lpstr>
      </vt:variant>
      <vt:variant>
        <vt:i4>1</vt:i4>
      </vt:variant>
    </vt:vector>
  </HeadingPairs>
  <TitlesOfParts>
    <vt:vector size="1" baseType="lpstr">
      <vt:lpstr>WP II-E-4.1.1 COVID19 Reg Asset</vt:lpstr>
    </vt:vector>
  </TitlesOfParts>
  <Template/>
  <Manager/>
  <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