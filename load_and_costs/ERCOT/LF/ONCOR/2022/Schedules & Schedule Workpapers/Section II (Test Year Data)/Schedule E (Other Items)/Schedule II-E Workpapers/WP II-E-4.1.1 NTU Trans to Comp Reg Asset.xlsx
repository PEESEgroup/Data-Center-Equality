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activeTab="0"/>
  </bookViews>
  <sheets>
    <sheet name="Sheet1" sheetId="1" r:id="rId2"/>
  </sheets>
  <definedNames>
    <definedName name="_xlnm.Print_Area" localSheetId="0">Sheet1!$A$1:$S$39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<sst xmlns="http://schemas.openxmlformats.org/spreadsheetml/2006/main" count="48" uniqueCount="46">
  <si>
    <t>Oncor Electric Delivery Company LLC</t>
  </si>
  <si>
    <t>Oncor NTU Regulatory Asset - Study Costs/Transition to Competition (Account 1824500)</t>
  </si>
  <si>
    <t>Transition to Competition</t>
  </si>
  <si>
    <t>Balance at 12-31-2021</t>
  </si>
  <si>
    <t>Balance acquired at 5-16-2019</t>
  </si>
  <si>
    <t>Transition to Competition - SPS Settlement</t>
  </si>
  <si>
    <t>Docket No. 39070 Application of Sharyland Utilities, L.P. to Approve Study and Plan Pursuant to the Commission's Order in Docket No. 37990 Concerning the Movement of Sharyland's Stanton and Colorado City Divisions from the Southwest Power Pool to ERCOT</t>
  </si>
  <si>
    <t>Docket No. 39592 Application of Sharyland Utilities, L.P. to Approve Retail Plan Pursuant to the Commission's Order in Docket No. 37990 and for Other Relief</t>
  </si>
  <si>
    <t>Docket No. 41474 Application of Sharyland Utilities, L.P. to Establish Retail Delivery Rates, Approve Tariff for Retail Delivery Service, and Adjust Wholesale Transmission Rate (approved original Rider Transition to Competition Charge)</t>
  </si>
  <si>
    <t>Docket No. 45414 Review of the Rates of Sharyland Utilities, L.P., Establishment of Rates for Sharyland Distribution &amp; Transmission Services, L.L.C., and Request for Grant of a Certificate of Convenience and Necessity and Transfer of Certificate Rights</t>
  </si>
  <si>
    <r>
      <t xml:space="preserve">Docket No. 48929 Joint Report and Application of Oncor Electric Delivery Company LLC, Sharyland Distribution &amp; Transmission Services L.L.C., Sharyland Utilities L.P., and Sempra Energy for Regulatory Approvals under PURA </t>
    </r>
    <r>
      <rPr>
        <sz val="11"/>
        <color theme="1"/>
        <rFont val="Calibri"/>
        <family val="2"/>
      </rPr>
      <t>§§</t>
    </r>
    <r>
      <rPr>
        <sz val="11"/>
        <color theme="1"/>
        <rFont val="Calibri"/>
        <family val="2"/>
        <scheme val="minor"/>
      </rPr>
      <t xml:space="preserve"> 14.101, 37.154, 39.262 and 39.915</t>
    </r>
  </si>
  <si>
    <t>PUC Dockets</t>
  </si>
  <si>
    <t>See Note 1 below.</t>
  </si>
  <si>
    <t>Acquisition date was May 16, 2019.  Oncor NTU's WTS tariff effective May 17, 2019 (Docket No. 49519).</t>
  </si>
  <si>
    <t>Sharyland moved from SPP to ERCOT and transitioned to competition pursuant to Commission orders issued in Docket Nos. 39070 and 39592.</t>
  </si>
  <si>
    <t>Prior to purchase of the Hobbs to Midland and Grassland to Borden lines from SPS (Docket No. 41430) costs were incurred for labor, overhead, engineering services, and land appraisals to develop the Gardendale to Grady line.</t>
  </si>
  <si>
    <t>less current recovery and related amortization through WTS rate</t>
  </si>
  <si>
    <t>Project No. 41137 Reports on Transitioning Sharyland Stanton, Colorado City, Brady and Celeste Divisions to Competition Pursuant to Order in Docket No. 39592</t>
  </si>
  <si>
    <t>Post-acquisition amortization *</t>
  </si>
  <si>
    <t>* Oncor NTU's WTS tariff includes annual amortization for transition to competition regulatory asset of $166,775.52.</t>
  </si>
  <si>
    <t>NTU TRAN</t>
  </si>
  <si>
    <t>NTU DIST</t>
  </si>
  <si>
    <t>Costs incurred for move from the SPP to ERCOT and to transition to retail competition.</t>
  </si>
  <si>
    <t>The Gardendale to Grady line was ultimately cancelled after SPS decided that it could sell the Hobbs to Midland and Grassland to Border lines to Sharyland.</t>
  </si>
  <si>
    <t>NTU T&amp;D</t>
  </si>
  <si>
    <t>Transmission Project</t>
  </si>
  <si>
    <t>Note 1 - Transmission Project (Docket No. 40537 Application of Sharyland Utilities, LP to Amend a Certificate of Convenience and Necessity for the Gardendale to Grady 138-kV Transmission Line in Martin and Midland Counties)</t>
  </si>
  <si>
    <t>Page 1 of 1</t>
  </si>
  <si>
    <t>WP/Sch II-E-4.1.1 NTU Transition to Competition Reg Asset</t>
  </si>
  <si>
    <t>Total NTU regulatory asset for TRAN and DIST</t>
  </si>
  <si>
    <t>Account 928</t>
  </si>
  <si>
    <t>Increase in recovery and related amortization - K&amp;M adjustment #37</t>
  </si>
  <si>
    <t>Total NTU regulatory asset</t>
  </si>
  <si>
    <t>Requested recovery (amortization) over 5 years in this case</t>
  </si>
  <si>
    <t>2022 Rate Case</t>
  </si>
  <si>
    <t>For Test Year Ending December 31, 2021</t>
  </si>
  <si>
    <t>Sponsor:  W. Alan Ledbetter</t>
  </si>
  <si>
    <t xml:space="preserve">Costs incurred for move from the SPP to ERCOT and to transition to retail competition.  SPP charges for that SPS incurred to 
serve Sharyland's network load (transmission charges SPP billed to SPS after transition from SPP system).  </t>
  </si>
  <si>
    <t xml:space="preserve">Docket No. 37990 Joint Report and Application of Sharyland Utilities, L.P., Sharyland Distribution &amp; Transmission Services, L.L.C., Hunt Transmission Services, L.L.C., Cap Rock Energy Corporation, and Newcorp Resources Electric Cooperative, Inc. for </t>
  </si>
  <si>
    <t xml:space="preserve">                                    Regulatory Approvals Pursuant to PURA § 14.101, 37.154, 39.262, and 39.915</t>
  </si>
  <si>
    <t xml:space="preserve">Docket No. 41430 Joint Report and Application of Sharyland Utilities, LP, Sharyland Distribution &amp; Transmission Services, LLC and Southwestern Public Service Company for Approval of Purchase and Sale of Facilities, for Regulatory Accounting Treatment of </t>
  </si>
  <si>
    <t xml:space="preserve">                                   Gain on Sale, and for Transfer of Certificate Rights</t>
  </si>
  <si>
    <t xml:space="preserve">Docket No. 47469 Joint Report and Application of Sharyland Utilities, L.P., Sharyland Distribution &amp; Transmission Services, L.L.C., and Oncor Electric Delivery Company LLC for Transfer of Facilities, Transfer of Rights Under and Amendment of </t>
  </si>
  <si>
    <t xml:space="preserve">                                  Certificates of Convenience and Necessity, and for Other Regulatory Approvals</t>
  </si>
  <si>
    <t xml:space="preserve">It was necessary to begin planning for other transmission solutions because SPS originally refused to sell those lines, and failure to have planned for a transmission solution to the load growth that was occurring in the Stanton division would have placed </t>
  </si>
  <si>
    <t>our system reliability at risk.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</si>
</sst>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7">
    <font>
      <sz val="11"/>
      <color theme="1"/>
      <name val="Calibri"/>
      <family val="2"/>
      <scheme val="minor"/>
    </font>
    <font>
      <sz val="10"/>
      <color theme="1"/>
      <name val="Arial"/>
      <family val="2"/>
    </font>
    <font>
      <b/>
      <sz val="11"/>
      <color theme="1"/>
      <name val="Calibri"/>
      <family val="2"/>
      <scheme val="minor"/>
    </font>
    <font>
      <sz val="11"/>
      <color theme="1"/>
      <name val="Calibri"/>
      <family val="2"/>
    </font>
    <font>
      <u val="single"/>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2">
    <border>
      <left/>
      <right/>
      <top/>
      <bottom/>
      <diagonal/>
    </border>
    <border>
      <left/>
      <right/>
      <top/>
      <bottom style="thin">
        <color auto="1"/>
      </bottom>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5" fillId="0" borderId="0">
      <alignment/>
      <protection/>
    </xf>
  </cellStyleXfs>
  <cellXfs count="21">
    <xf numFmtId="0" fontId="0" fillId="0" borderId="0" xfId="0"/>
    <xf numFmtId="44" fontId="0" fillId="0" borderId="0" xfId="16" applyFont="1"/>
    <xf numFmtId="44" fontId="0" fillId="0" borderId="1" xfId="16" applyFont="1" applyBorder="1"/>
    <xf numFmtId="0" fontId="0" fillId="0" borderId="1" xfId="0" applyBorder="1" applyAlignment="1">
      <alignment horizontal="center"/>
    </xf>
    <xf numFmtId="0" fontId="4" fillId="0" borderId="0" xfId="0" applyFont="1"/>
    <xf numFmtId="0" fontId="0" fillId="0" borderId="0" xfId="0" applyAlignment="1">
      <alignment horizontal="left" indent="1"/>
    </xf>
    <xf numFmtId="0" fontId="0" fillId="0" borderId="0" xfId="0" applyAlignment="1">
      <alignment vertical="top"/>
    </xf>
    <xf numFmtId="44" fontId="0" fillId="0" borderId="0" xfId="16" applyFont="1" applyAlignment="1">
      <alignment vertical="top"/>
    </xf>
    <xf numFmtId="0" fontId="2" fillId="0" borderId="0" xfId="0" applyFont="1" applyAlignment="1">
      <alignment horizontal="left"/>
    </xf>
    <xf numFmtId="44" fontId="0" fillId="0" borderId="1" xfId="16" applyFont="1" applyFill="1" applyBorder="1"/>
    <xf numFmtId="0" fontId="0" fillId="0" borderId="0" xfId="0" applyFill="1" applyAlignment="1">
      <alignment horizontal="center"/>
    </xf>
    <xf numFmtId="44" fontId="0" fillId="0" borderId="0" xfId="16" applyFont="1" applyFill="1" applyAlignment="1">
      <alignment horizontal="center"/>
    </xf>
    <xf numFmtId="0" fontId="0" fillId="0" borderId="1" xfId="0" applyBorder="1" applyAlignment="1">
      <alignment horizontal="center" wrapText="1"/>
    </xf>
    <xf numFmtId="44" fontId="0" fillId="0" borderId="0" xfId="0" applyNumberFormat="1" applyFill="1" applyAlignment="1">
      <alignment horizontal="center"/>
    </xf>
    <xf numFmtId="44" fontId="0" fillId="0" borderId="1" xfId="0" applyNumberFormat="1" applyFill="1" applyBorder="1" applyAlignment="1">
      <alignment horizontal="center"/>
    </xf>
    <xf numFmtId="44" fontId="0" fillId="0" borderId="0" xfId="16" applyFont="1" applyFill="1"/>
    <xf numFmtId="0" fontId="0" fillId="0" borderId="0" xfId="0" applyFill="1"/>
    <xf numFmtId="44" fontId="0" fillId="0" borderId="0" xfId="0" applyNumberFormat="1"/>
    <xf numFmtId="0" fontId="2" fillId="0" borderId="0" xfId="0" applyFont="1"/>
    <xf numFmtId="0" fontId="6" fillId="0" borderId="0" xfId="20" applyFont="1" applyAlignment="1">
      <alignment horizontal="right"/>
      <protection/>
    </xf>
    <xf numFmtId="0" fontId="0" fillId="0" borderId="0" xfId="0" applyAlignment="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40"/>
  <sheetViews>
    <sheetView tabSelected="1" workbookViewId="0" topLeftCell="A1">
      <selection pane="topLeft" activeCell="A40" sqref="A40"/>
    </sheetView>
  </sheetViews>
  <sheetFormatPr defaultRowHeight="15"/>
  <cols>
    <col min="1" max="1" width="45.2857142857143" customWidth="1"/>
    <col min="2" max="2" width="28" customWidth="1"/>
    <col min="3" max="3" width="13.7142857142857" customWidth="1"/>
    <col min="4" max="4" width="19.2857142857143" bestFit="1" customWidth="1"/>
    <col min="6" max="6" width="16.1428571428571" customWidth="1"/>
    <col min="7" max="7" width="14.1428571428571" bestFit="1" customWidth="1"/>
    <col min="8" max="8" width="12.1428571428571" bestFit="1" customWidth="1"/>
  </cols>
  <sheetData>
    <row r="1" spans="1:16" s="18" customFormat="1" ht="15">
      <c r="A1" s="18" t="s">
        <v>34</v>
      </c>
      <c r="P1" s="19" t="s">
        <v>28</v>
      </c>
    </row>
    <row r="2" spans="1:16" s="18" customFormat="1" ht="15">
      <c r="A2" s="8" t="s">
        <v>0</v>
      </c>
      <c r="P2" s="19" t="s">
        <v>27</v>
      </c>
    </row>
    <row r="3" spans="1:1" s="18" customFormat="1" ht="15">
      <c r="A3" s="8" t="s">
        <v>1</v>
      </c>
    </row>
    <row r="4" spans="1:23" s="18" customFormat="1" ht="15">
      <c r="A4" s="8" t="s">
        <v>35</v>
      </c>
      <c r="W4" s="19"/>
    </row>
    <row r="5" spans="1:1" s="18" customFormat="1" ht="15">
      <c r="A5" s="8" t="s">
        <v>36</v>
      </c>
    </row>
    <row r="6" spans="2:4" ht="60">
      <c r="B6" s="3" t="s">
        <v>4</v>
      </c>
      <c r="C6" s="12" t="s">
        <v>18</v>
      </c>
      <c r="D6" s="3" t="s">
        <v>3</v>
      </c>
    </row>
    <row r="7" spans="1:6" ht="15">
      <c r="A7" t="s">
        <v>25</v>
      </c>
      <c r="B7" s="1">
        <v>1049228</v>
      </c>
      <c r="C7" s="1"/>
      <c r="D7" s="1">
        <f>SUM(B7:C7)</f>
        <v>1049228</v>
      </c>
      <c r="F7" t="s">
        <v>12</v>
      </c>
    </row>
    <row r="8" spans="1:23" s="6" customFormat="1" ht="29.1" customHeight="1">
      <c r="A8" s="6" t="s">
        <v>5</v>
      </c>
      <c r="B8" s="7">
        <v>325044</v>
      </c>
      <c r="C8" s="7"/>
      <c r="D8" s="7">
        <f t="shared" si="0" ref="D8:D9">SUM(B8:C8)</f>
        <v>325044</v>
      </c>
      <c r="F8" s="20" t="s">
        <v>37</v>
      </c>
      <c r="G8" s="20"/>
      <c r="H8" s="20"/>
      <c r="I8" s="20"/>
      <c r="J8" s="20"/>
      <c r="K8" s="20"/>
      <c r="L8" s="20"/>
      <c r="M8" s="20"/>
      <c r="N8" s="20"/>
      <c r="O8" s="20"/>
      <c r="P8" s="20"/>
      <c r="Q8" s="20"/>
      <c r="R8" s="20"/>
      <c r="S8" s="20"/>
      <c r="T8" s="20"/>
      <c r="U8" s="20"/>
      <c r="V8" s="20"/>
      <c r="W8" s="20"/>
    </row>
    <row r="9" spans="1:6" ht="15">
      <c r="A9" t="s">
        <v>2</v>
      </c>
      <c r="B9" s="2">
        <v>1666137</v>
      </c>
      <c r="C9" s="9">
        <v>-437561.58000000013</v>
      </c>
      <c r="D9" s="2">
        <f t="shared" si="0"/>
        <v>1228575.4199999999</v>
      </c>
      <c r="F9" t="s">
        <v>22</v>
      </c>
    </row>
    <row r="10" spans="1:4" ht="15">
      <c r="A10" s="5" t="s">
        <v>32</v>
      </c>
      <c r="B10" s="1">
        <f>SUM(B7:B9)</f>
        <v>3040409</v>
      </c>
      <c r="C10" s="1">
        <f t="shared" si="1" ref="C10:D10">SUM(C7:C9)</f>
        <v>-437561.58000000013</v>
      </c>
      <c r="D10" s="15">
        <f t="shared" si="1"/>
        <v>2602847.4199999999</v>
      </c>
    </row>
    <row r="11" spans="4:7" ht="15">
      <c r="D11" s="10"/>
      <c r="F11" s="3" t="s">
        <v>20</v>
      </c>
      <c r="G11" s="3" t="s">
        <v>21</v>
      </c>
    </row>
    <row r="12" spans="1:7" ht="15">
      <c r="A12" t="s">
        <v>29</v>
      </c>
      <c r="D12" s="13">
        <f>SUM(F12:G12)</f>
        <v>2602847.4199999999</v>
      </c>
      <c r="F12" s="17">
        <f>F15*5</f>
        <v>1883105.6000000001</v>
      </c>
      <c r="G12" s="17">
        <f>D10-F12</f>
        <v>719741.81999999983</v>
      </c>
    </row>
    <row r="13" spans="4:4" ht="15">
      <c r="D13" s="10"/>
    </row>
    <row r="14" spans="4:7" ht="15">
      <c r="D14" s="3" t="s">
        <v>24</v>
      </c>
      <c r="F14" s="3" t="s">
        <v>20</v>
      </c>
      <c r="G14" s="3" t="s">
        <v>21</v>
      </c>
    </row>
    <row r="15" spans="1:7" ht="15">
      <c r="A15" t="s">
        <v>33</v>
      </c>
      <c r="D15" s="11">
        <f>ROUND(D10/5,2)</f>
        <v>520569.47999999998</v>
      </c>
      <c r="F15" s="1">
        <f>ROUND(D7/5,2)+D16</f>
        <v>376621.12</v>
      </c>
      <c r="G15" s="1">
        <f>D15-F15</f>
        <v>143948.35999999999</v>
      </c>
    </row>
    <row r="16" spans="1:7" ht="15">
      <c r="A16" t="s">
        <v>16</v>
      </c>
      <c r="D16" s="14">
        <f>F16</f>
        <v>166775.51999999999</v>
      </c>
      <c r="F16" s="2">
        <v>166775.51999999999</v>
      </c>
      <c r="G16" s="2">
        <v>0</v>
      </c>
    </row>
    <row r="17" spans="1:8" ht="15">
      <c r="A17" s="5" t="s">
        <v>31</v>
      </c>
      <c r="D17" s="13">
        <f>D15-D16</f>
        <v>353793.95999999996</v>
      </c>
      <c r="F17" s="1">
        <f>F15-F16</f>
        <v>209845.60000000001</v>
      </c>
      <c r="G17" s="1">
        <f>G15-G16</f>
        <v>143948.35999999999</v>
      </c>
      <c r="H17" t="s">
        <v>30</v>
      </c>
    </row>
    <row r="18" spans="4:13" ht="15">
      <c r="D18" s="10"/>
      <c r="F18" s="16"/>
      <c r="G18" s="16"/>
      <c r="H18" s="16"/>
      <c r="I18" s="16"/>
      <c r="J18" s="16"/>
      <c r="K18" s="16"/>
      <c r="L18" s="16"/>
      <c r="M18" s="16"/>
    </row>
    <row r="19" spans="1:1" ht="15">
      <c r="A19" s="4" t="s">
        <v>11</v>
      </c>
    </row>
    <row r="20" spans="1:1" ht="15">
      <c r="A20" t="s">
        <v>38</v>
      </c>
    </row>
    <row r="21" spans="1:1" ht="15">
      <c r="A21" t="s">
        <v>39</v>
      </c>
    </row>
    <row r="22" spans="1:1" ht="15">
      <c r="A22" t="s">
        <v>6</v>
      </c>
    </row>
    <row r="23" spans="1:1" ht="15">
      <c r="A23" t="s">
        <v>7</v>
      </c>
    </row>
    <row r="24" spans="1:1" ht="15">
      <c r="A24" t="s">
        <v>17</v>
      </c>
    </row>
    <row r="25" spans="1:1" ht="15">
      <c r="A25" t="s">
        <v>40</v>
      </c>
    </row>
    <row r="26" spans="1:1" ht="15">
      <c r="A26" t="s">
        <v>41</v>
      </c>
    </row>
    <row r="27" spans="1:1" ht="15">
      <c r="A27" t="s">
        <v>8</v>
      </c>
    </row>
    <row r="28" spans="1:1" ht="15">
      <c r="A28" t="s">
        <v>9</v>
      </c>
    </row>
    <row r="29" spans="1:1" ht="15">
      <c r="A29" t="s">
        <v>42</v>
      </c>
    </row>
    <row r="30" spans="1:1" ht="15">
      <c r="A30" t="s">
        <v>43</v>
      </c>
    </row>
    <row r="31" spans="1:1" ht="15">
      <c r="A31" t="s">
        <v>10</v>
      </c>
    </row>
    <row r="32" spans="1:1" ht="15">
      <c r="A32" s="5" t="s">
        <v>13</v>
      </c>
    </row>
    <row r="33" spans="1:1" ht="15">
      <c r="A33" s="5" t="s">
        <v>19</v>
      </c>
    </row>
    <row r="35" spans="1:1" ht="15">
      <c r="A35" s="4" t="s">
        <v>26</v>
      </c>
    </row>
    <row r="36" spans="1:1" ht="15">
      <c r="A36" t="s">
        <v>14</v>
      </c>
    </row>
    <row r="37" spans="1:1" ht="15">
      <c r="A37" t="s">
        <v>15</v>
      </c>
    </row>
    <row r="38" spans="1:1" ht="15">
      <c r="A38" t="s">
        <v>23</v>
      </c>
    </row>
    <row r="39" spans="1:1" ht="15">
      <c r="A39" t="s">
        <v>44</v>
      </c>
    </row>
    <row r="40" spans="1:1" ht="15">
      <c r="A40" t="s">
        <v>45</v>
      </c>
    </row>
  </sheetData>
  <mergeCells count="1">
    <mergeCell ref="F8:W8"/>
  </mergeCells>
  <pageMargins left="0.2" right="0.2" top="1.5" bottom="0.5" header="0.3" footer="0.3"/>
  <pageSetup orientation="landscape" scale="49"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