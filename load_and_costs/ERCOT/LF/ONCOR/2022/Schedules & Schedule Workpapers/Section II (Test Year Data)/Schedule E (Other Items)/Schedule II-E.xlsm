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vbaProject.bin" ContentType="application/vnd.ms-office.vbaProject"/>
  <Default Extension="bin" ContentType="application/vnd.openxmlformats-officedocument.spreadsheetml.printerSettings"/>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calcChain.xml" ContentType="application/vnd.openxmlformats-officedocument.spreadsheetml.calcChain+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4" Type="http://schemas.openxmlformats.org/officeDocument/2006/relationships/custom-properties" Target="docProps/custom.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Section II (Test Year Data)\Schedule E (Other Items)\"/>
    </mc:Choice>
  </mc:AlternateContent>
  <bookViews>
    <workbookView xWindow="7800" yWindow="240" windowWidth="11250" windowHeight="7905" tabRatio="850" firstSheet="2" activeTab="5"/>
  </bookViews>
  <sheets>
    <sheet name="Link Sheet" sheetId="138" r:id="rId3"/>
    <sheet name="II-E-1" sheetId="17" r:id="rId4"/>
    <sheet name="II-E-2" sheetId="16" r:id="rId5"/>
    <sheet name="II-E-2.1" sheetId="107" r:id="rId6"/>
    <sheet name="II-E-3 Attachment" sheetId="54" r:id="rId7"/>
    <sheet name="II-E-3" sheetId="159" r:id="rId8"/>
    <sheet name="II-E-3.1" sheetId="169" r:id="rId9"/>
    <sheet name="II-E-3.2a" sheetId="143" r:id="rId10"/>
    <sheet name="II-E-3.2b" sheetId="144" r:id="rId11"/>
    <sheet name="II-E-3.3" sheetId="170" r:id="rId12"/>
    <sheet name="II-E-3.4" sheetId="114" r:id="rId13"/>
    <sheet name="II-E-3.5" sheetId="174" r:id="rId14"/>
    <sheet name="II-E-3.5a" sheetId="178" r:id="rId15"/>
    <sheet name="II-E-3.6" sheetId="176" r:id="rId16"/>
    <sheet name="II-E-3.7" sheetId="175" r:id="rId17"/>
    <sheet name="II-E-3.8" sheetId="171" r:id="rId18"/>
    <sheet name="II-E-3.9" sheetId="149" r:id="rId19"/>
    <sheet name="II-E-3.10" sheetId="150" r:id="rId20"/>
    <sheet name="II-E-3.11" sheetId="151" r:id="rId21"/>
    <sheet name="II-E-3.12" sheetId="152" r:id="rId22"/>
    <sheet name="II-E-3.13" sheetId="120" r:id="rId23"/>
    <sheet name="II-E-3.14" sheetId="153" r:id="rId24"/>
    <sheet name="II-E-3.15" sheetId="166" r:id="rId25"/>
    <sheet name="II-E-3.16" sheetId="160" r:id="rId26"/>
    <sheet name="II-E-3.17" sheetId="154" r:id="rId27"/>
    <sheet name="II-E-3.18" sheetId="162" r:id="rId28"/>
    <sheet name="II-E-3.19" sheetId="128" r:id="rId29"/>
    <sheet name="II-E-3.20" sheetId="127" r:id="rId30"/>
    <sheet name="II-E-3.21" sheetId="126" r:id="rId31"/>
    <sheet name="II-E-3.22" sheetId="155" r:id="rId32"/>
    <sheet name="II-E-3.23" sheetId="156" r:id="rId33"/>
    <sheet name="II-E-3.24" sheetId="157" r:id="rId34"/>
    <sheet name="II-E-4" sheetId="14" r:id="rId35"/>
    <sheet name="II-E-4.1" sheetId="135" r:id="rId36"/>
    <sheet name="II-E-4.1.1" sheetId="179" r:id="rId37"/>
    <sheet name="II-E-4.2" sheetId="134" r:id="rId38"/>
    <sheet name="II-E-4.3" sheetId="133" r:id="rId39"/>
    <sheet name="II-E-4.4" sheetId="132" r:id="rId40"/>
    <sheet name="II-E-4.5" sheetId="131" r:id="rId41"/>
    <sheet name="II-E-4.6" sheetId="177" r:id="rId42"/>
    <sheet name="II-E-5" sheetId="8" r:id="rId43"/>
  </sheets>
  <externalReferences>
    <externalReference r:id="rId46"/>
    <externalReference r:id="rId47"/>
    <externalReference r:id="rId48"/>
    <externalReference r:id="rId49"/>
    <externalReference r:id="rId50"/>
    <externalReference r:id="rId51"/>
  </externalReferences>
  <definedNames>
    <definedName name="____as1" hidden="1">{"FCB_ALL",#N/A,FALSE,"FCB"}</definedName>
    <definedName name="____AS2" hidden="1">{"FCB_ALL",#N/A,FALSE,"FCB"}</definedName>
    <definedName name="____as3" hidden="1">{"FCB_ALL",#N/A,FALSE,"FCB"}</definedName>
    <definedName name="____AS4" hidden="1">{"FCB_ALL",#N/A,FALSE,"FCB"}</definedName>
    <definedName name="____as6" hidden="1">{"FCB_ALL",#N/A,FALSE,"FCB"}</definedName>
    <definedName name="____AS7" hidden="1">{"FCB_ALL",#N/A,FALSE,"FCB"}</definedName>
    <definedName name="____dlj2" hidden="1">{"cap_structure",#N/A,FALSE,"Graph-Mkt Cap";"price",#N/A,FALSE,"Graph-Price";"ebit",#N/A,FALSE,"Graph-EBITDA";"ebitda",#N/A,FALSE,"Graph-EBITDA"}</definedName>
    <definedName name="____g2" hidden="1">{#N/A,"DR",FALSE,"increm pf";#N/A,"MAMSI",FALSE,"increm pf";#N/A,"MAXI",FALSE,"increm pf";#N/A,"PCAM",FALSE,"increm pf";#N/A,"PHSV",FALSE,"increm pf";#N/A,"SIE",FALSE,"increm pf"}</definedName>
    <definedName name="__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_h5" hidden="1">{#N/A,"DR",FALSE,"increm pf";#N/A,"MAMSI",FALSE,"increm pf";#N/A,"MAXI",FALSE,"increm pf";#N/A,"PCAM",FALSE,"increm pf";#N/A,"PHSV",FALSE,"increm pf";#N/A,"SIE",FALSE,"increm pf"}</definedName>
    <definedName name="__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__jjj2" hidden="1">{"summary1",#N/A,TRUE,"Comps";"summary2",#N/A,TRUE,"Comps";"summary3",#N/A,TRUE,"Comps"}</definedName>
    <definedName name="_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_sdf2" hidden="1">{#N/A,#N/A,FALSE,"Calc";#N/A,#N/A,FALSE,"Sensitivity";#N/A,#N/A,FALSE,"LT Earn.Dil.";#N/A,#N/A,FALSE,"Dil. AVP"}</definedName>
    <definedName name="____wrn2" hidden="1">{#N/A,#N/A,FALSE,"Calc";#N/A,#N/A,FALSE,"Sensitivity";#N/A,#N/A,FALSE,"LT Earn.Dil.";#N/A,#N/A,FALSE,"Dil. AVP"}</definedName>
    <definedName name="____xlfn.RTD" hidden="1">#NAME?</definedName>
    <definedName name="___as1" hidden="1">{"FCB_ALL",#N/A,FALSE,"FCB"}</definedName>
    <definedName name="___AS2" hidden="1">{"FCB_ALL",#N/A,FALSE,"FCB"}</definedName>
    <definedName name="___as3" hidden="1">{"FCB_ALL",#N/A,FALSE,"FCB"}</definedName>
    <definedName name="___AS4" hidden="1">{"FCB_ALL",#N/A,FALSE,"FCB"}</definedName>
    <definedName name="___as6" hidden="1">{"FCB_ALL",#N/A,FALSE,"FCB"}</definedName>
    <definedName name="___AS7" hidden="1">{"FCB_ALL",#N/A,FALSE,"FCB"}</definedName>
    <definedName name="___dlj2" hidden="1">{"cap_structure",#N/A,FALSE,"Graph-Mkt Cap";"price",#N/A,FALSE,"Graph-Price";"ebit",#N/A,FALSE,"Graph-EBITDA";"ebitda",#N/A,FALSE,"Graph-EBITDA"}</definedName>
    <definedName name="___g2" hidden="1">{#N/A,"DR",FALSE,"increm pf";#N/A,"MAMSI",FALSE,"increm pf";#N/A,"MAXI",FALSE,"increm pf";#N/A,"PCAM",FALSE,"increm pf";#N/A,"PHSV",FALSE,"increm pf";#N/A,"SIE",FALSE,"increm pf"}</definedName>
    <definedName name="_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h5" hidden="1">{#N/A,"DR",FALSE,"increm pf";#N/A,"MAMSI",FALSE,"increm pf";#N/A,"MAXI",FALSE,"increm pf";#N/A,"PCAM",FALSE,"increm pf";#N/A,"PHSV",FALSE,"increm pf";#N/A,"SIE",FALSE,"increm pf"}</definedName>
    <definedName name="_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_jjj2" hidden="1">{"summary1",#N/A,TRUE,"Comps";"summary2",#N/A,TRUE,"Comps";"summary3",#N/A,TRUE,"Comps"}</definedName>
    <definedName name="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sdf2" hidden="1">{#N/A,#N/A,FALSE,"Calc";#N/A,#N/A,FALSE,"Sensitivity";#N/A,#N/A,FALSE,"LT Earn.Dil.";#N/A,#N/A,FALSE,"Dil. AVP"}</definedName>
    <definedName name="___wrn2" hidden="1">{#N/A,#N/A,FALSE,"Calc";#N/A,#N/A,FALSE,"Sensitivity";#N/A,#N/A,FALSE,"LT Earn.Dil.";#N/A,#N/A,FALSE,"Dil. AVP"}</definedName>
    <definedName name="___xlfn.RTD" hidden="1">#NAME?</definedName>
    <definedName name="__as1" hidden="1">{"FCB_ALL",#N/A,FALSE,"FCB"}</definedName>
    <definedName name="__AS2" hidden="1">{"FCB_ALL",#N/A,FALSE,"FCB"}</definedName>
    <definedName name="__as3" hidden="1">{"FCB_ALL",#N/A,FALSE,"FCB"}</definedName>
    <definedName name="__AS4" hidden="1">{"FCB_ALL",#N/A,FALSE,"FCB"}</definedName>
    <definedName name="__as6" hidden="1">{"FCB_ALL",#N/A,FALSE,"FCB"}</definedName>
    <definedName name="__AS7" hidden="1">{"FCB_ALL",#N/A,FALSE,"FCB"}</definedName>
    <definedName name="__dlj2" hidden="1">{"cap_structure",#N/A,FALSE,"Graph-Mkt Cap";"price",#N/A,FALSE,"Graph-Price";"ebit",#N/A,FALSE,"Graph-EBITDA";"ebitda",#N/A,FALSE,"Graph-EBITDA"}</definedName>
    <definedName name="__FDS_HYPERLINK_TOGGLE_STATE__" hidden="1">"ON"</definedName>
    <definedName name="__g2" hidden="1">{#N/A,"DR",FALSE,"increm pf";#N/A,"MAMSI",FALSE,"increm pf";#N/A,"MAXI",FALSE,"increm pf";#N/A,"PCAM",FALSE,"increm pf";#N/A,"PHSV",FALSE,"increm pf";#N/A,"SIE",FALSE,"increm pf"}</definedName>
    <definedName name="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h5" hidden="1">{#N/A,"DR",FALSE,"increm pf";#N/A,"MAMSI",FALSE,"increm pf";#N/A,"MAXI",FALSE,"increm pf";#N/A,"PCAM",FALSE,"increm pf";#N/A,"PHSV",FALSE,"increm pf";#N/A,"SIE",FALSE,"increm pf"}</definedName>
    <definedName name="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jjj2" hidden="1">{"summary1",#N/A,TRUE,"Comps";"summary2",#N/A,TRUE,"Comps";"summary3",#N/A,TRUE,"Comps"}</definedName>
    <definedName name="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sdf2" hidden="1">{#N/A,#N/A,FALSE,"Calc";#N/A,#N/A,FALSE,"Sensitivity";#N/A,#N/A,FALSE,"LT Earn.Dil.";#N/A,#N/A,FALSE,"Dil. AVP"}</definedName>
    <definedName name="__wrn2" hidden="1">{#N/A,#N/A,FALSE,"Calc";#N/A,#N/A,FALSE,"Sensitivity";#N/A,#N/A,FALSE,"LT Earn.Dil.";#N/A,#N/A,FALSE,"Dil. AVP"}</definedName>
    <definedName name="__xlfn.BAHTTEXT" hidden="1">#NAME?</definedName>
    <definedName name="__xlfn.RTD" hidden="1">#NAME?</definedName>
    <definedName name="_12__123Graph_ACHART_3" hidden="1">#REF!</definedName>
    <definedName name="_14__123Graph_BCHART_3" hidden="1">#REF!</definedName>
    <definedName name="_18__123Graph_LBL_ACHART_3" hidden="1">#REF!</definedName>
    <definedName name="_2___123Graph_ACHART_3" hidden="1">#REF!</definedName>
    <definedName name="_21___0__123Grap" hidden="1">#REF!</definedName>
    <definedName name="_22___0__123Grap" hidden="1">#REF!</definedName>
    <definedName name="_23_0__123Grap" hidden="1">#REF!</definedName>
    <definedName name="_24_0__123Grap" hidden="1">#REF!</definedName>
    <definedName name="_4___123Graph_BCHART_3" hidden="1">#REF!</definedName>
    <definedName name="_8___123Graph_LBL_ACHART_3" hidden="1">#REF!</definedName>
    <definedName name="_as1" hidden="1">{"FCB_ALL",#N/A,FALSE,"FCB"}</definedName>
    <definedName name="_AS2" hidden="1">{"FCB_ALL",#N/A,FALSE,"FCB"}</definedName>
    <definedName name="_as3" hidden="1">{"FCB_ALL",#N/A,FALSE,"FCB"}</definedName>
    <definedName name="_AS4" hidden="1">{"FCB_ALL",#N/A,FALSE,"FCB"}</definedName>
    <definedName name="_as6" hidden="1">{"FCB_ALL",#N/A,FALSE,"FCB"}</definedName>
    <definedName name="_AS7" hidden="1">{"FCB_ALL",#N/A,FALSE,"FCB"}</definedName>
    <definedName name="_bdm.FastTrackBookmark.10_10_2005_10_18_01_AM.edm" hidden="1">#REF!</definedName>
    <definedName name="_bdm.FastTrackBookmark.10_10_2005_10_18_06_AM.edm" hidden="1">#REF!</definedName>
    <definedName name="_dlj2" hidden="1">{"cap_structure",#N/A,FALSE,"Graph-Mkt Cap";"price",#N/A,FALSE,"Graph-Price";"ebit",#N/A,FALSE,"Graph-EBITDA";"ebitda",#N/A,FALSE,"Graph-EBITDA"}</definedName>
    <definedName name="_Fill" hidden="1">#REF!</definedName>
    <definedName name="_g2" hidden="1">{#N/A,"DR",FALSE,"increm pf";#N/A,"MAMSI",FALSE,"increm pf";#N/A,"MAXI",FALSE,"increm pf";#N/A,"PCAM",FALSE,"increm pf";#N/A,"PHSV",FALSE,"increm pf";#N/A,"SIE",FALSE,"increm pf"}</definedName>
    <definedName name="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h5" hidden="1">{#N/A,"DR",FALSE,"increm pf";#N/A,"MAMSI",FALSE,"increm pf";#N/A,"MAXI",FALSE,"increm pf";#N/A,"PCAM",FALSE,"increm pf";#N/A,"PHSV",FALSE,"increm pf";#N/A,"SIE",FALSE,"increm pf"}</definedName>
    <definedName name="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jjj2" hidden="1">{"summary1",#N/A,TRUE,"Comps";"summary2",#N/A,TRUE,"Comps";"summary3",#N/A,TRUE,"Comps"}</definedName>
    <definedName name="_Key1" hidden="1">#REF!</definedName>
    <definedName name="_Key2" hidden="1">#REF!</definedName>
    <definedName name="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rder1" hidden="1">255</definedName>
    <definedName name="_Order2" hidden="1">255</definedName>
    <definedName name="_Regression_X" hidden="1">#REF!</definedName>
    <definedName name="_Regression_Y" hidden="1">#REF!</definedName>
    <definedName name="_sdf2" hidden="1">{#N/A,#N/A,FALSE,"Calc";#N/A,#N/A,FALSE,"Sensitivity";#N/A,#N/A,FALSE,"LT Earn.Dil.";#N/A,#N/A,FALSE,"Dil. AVP"}</definedName>
    <definedName name="_Sort" hidden="1">#REF!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wrn2" hidden="1">{#N/A,#N/A,FALSE,"Calc";#N/A,#N/A,FALSE,"Sensitivity";#N/A,#N/A,FALSE,"LT Earn.Dil.";#N/A,#N/A,FALSE,"Dil. AVP"}</definedName>
    <definedName name="AAA_DOCTOPS" hidden="1">"AAA_SET"</definedName>
    <definedName name="AAA_duser" hidden="1">"OFF"</definedName>
    <definedName name="aaaa" hidden="1">{#N/A,#N/A,TRUE,"financial";#N/A,#N/A,TRUE,"plants"}</definedName>
    <definedName name="aaaaaaaaaaaaaaaaaa" hidden="1">{#N/A,#N/A,FALSE,"Calc";#N/A,#N/A,FALSE,"Sensitivity";#N/A,#N/A,FALSE,"LT Earn.Dil.";#N/A,#N/A,FALSE,"Dil. AVP"}</definedName>
    <definedName name="AAB_Addin5" hidden="1">"AAB_Description for addin 5,Description for addin 5,Description for addin 5,Description for addin 5,Description for addin 5,Description for addin 5"</definedName>
    <definedName name="ab" hidden="1">{#N/A,#N/A,TRUE,"Pro Forma";#N/A,#N/A,TRUE,"PF_Bal";#N/A,#N/A,TRUE,"PF_INC";#N/A,#N/A,TRUE,"CBE";#N/A,#N/A,TRUE,"SWK"}</definedName>
    <definedName name="addg" hidden="1">{#N/A,#N/A,FALSE,"CBE";#N/A,#N/A,FALSE,"SWK"}</definedName>
    <definedName name="ADLJK" hidden="1">{"inputs raw data",#N/A,TRUE,"INPUT"}</definedName>
    <definedName name="adljk2" hidden="1">{"inputs raw data",#N/A,TRUE,"INPUT"}</definedName>
    <definedName name="andy" hidden="1">{#N/A,#N/A,TRUE,"financial";#N/A,#N/A,TRUE,"plants"}</definedName>
    <definedName name="anscount" hidden="1">1</definedName>
    <definedName name="AS2DocOpenMode" hidden="1">"AS2DocumentBrowse"</definedName>
    <definedName name="asad" hidden="1">{"away stand alones",#N/A,FALSE,"Target"}</definedName>
    <definedName name="asdas" hidden="1">{"summary1",#N/A,TRUE,"Comps";"summary2",#N/A,TRUE,"Comps";"summary3",#N/A,TRUE,"Comps"}</definedName>
    <definedName name="asdaw" hidden="1">{"FCB_ALL",#N/A,FALSE,"FCB"}</definedName>
    <definedName name="asdf" hidden="1">{#N/A,#N/A,FALSE,"Calc";#N/A,#N/A,FALSE,"Sensitivity";#N/A,#N/A,FALSE,"LT Earn.Dil.";#N/A,#N/A,FALSE,"Dil. AVP"}</definedName>
    <definedName name="ATA" hidden="1">{#N/A,#N/A,FALSE,"Aging Summary";#N/A,#N/A,FALSE,"Ratio Analysis";#N/A,#N/A,FALSE,"Test 120 Day Accts";#N/A,#N/A,FALSE,"Tickmarks"}</definedName>
    <definedName name="avdd" hidden="1">{#N/A,#N/A,FALSE,"Calc";#N/A,#N/A,FALSE,"Sensitivity";#N/A,#N/A,FALSE,"LT Earn.Dil.";#N/A,#N/A,FALSE,"Dil. AVP"}</definedName>
    <definedName name="BLPH1" hidden="1">#REF!</definedName>
    <definedName name="BLPH11" hidden="1">#REF!</definedName>
    <definedName name="BLPH12" hidden="1">#REF!</definedName>
    <definedName name="BLPH13" hidden="1">#REF!</definedName>
    <definedName name="BLPH14" hidden="1">#REF!</definedName>
    <definedName name="BLPH15"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0" hidden="1">#REF!</definedName>
    <definedName name="BLPH41" hidden="1">#REF!</definedName>
    <definedName name="BLPH42" hidden="1">#REF!</definedName>
    <definedName name="bnkj" hidden="1">{#N/A,#N/A,FALSE,"output";#N/A,#N/A,FALSE,"contrib";#N/A,#N/A,FALSE,"profile";#N/A,#N/A,FALSE,"comps"}</definedName>
    <definedName name="Cable" hidden="1">{#N/A,#N/A,FALSE,"Operations";#N/A,#N/A,FALSE,"Financials"}</definedName>
    <definedName name="Cable2" hidden="1">{#N/A,#N/A,FALSE,"Operations";#N/A,#N/A,FALSE,"Financials"}</definedName>
    <definedName name="CBWorkbookPriority" hidden="1">-31260691</definedName>
    <definedName name="cc" hidden="1">{#N/A,#N/A,FALSE,"CBE";#N/A,#N/A,FALSE,"SWK"}</definedName>
    <definedName name="confused" hidden="1">{"BS",#N/A,FALSE,"NGC";"PL",#N/A,FALSE,"NGC";"CF",#N/A,FALSE,"NGC"}</definedName>
    <definedName name="cooper2" hidden="1">{#N/A,#N/A,TRUE,"Pro Forma";#N/A,#N/A,TRUE,"PF_Bal";#N/A,#N/A,TRUE,"PF_INC";#N/A,#N/A,TRUE,"CBE";#N/A,#N/A,TRUE,"SWK"}</definedName>
    <definedName name="Cwvu.GREY_ALL." hidden="1">#REF!</definedName>
    <definedName name="Cwvy.GREY_ALL._dcf" hidden="1">#REF!</definedName>
    <definedName name="dasdasd" hidden="1">{TRUE,TRUE,-1.25,-15.5,604.5,369,FALSE,FALSE,TRUE,TRUE,0,1,83,1,38,4,5,4,TRUE,TRUE,3,TRUE,1,TRUE,75,"Swvu.inputs._.raw._.data.","ACwvu.inputs._.raw._.data.",#N/A,FALSE,FALSE,0.5,0.5,0.5,0.5,2,"&amp;F","&amp;A&amp;RPage &amp;P",FALSE,FALSE,FALSE,FALSE,1,60,#N/A,#N/A,"=R1C61:R53C89","=C1:C5",#N/A,#N/A,FALSE,FALSE,FALSE,1,600,600,FALSE,FALSE,TRUE,TRUE,TRUE}</definedName>
    <definedName name="dddddd" hidden="1">{"FCB_ALL",#N/A,FALSE,"FCB";"GREY_ALL",#N/A,FALSE,"GREY"}</definedName>
    <definedName name="df" hidden="1">{"comps",#N/A,FALSE,"comps";"notes",#N/A,FALSE,"comps"}</definedName>
    <definedName name="dfd" hidden="1">{"FCB_ALL",#N/A,FALSE,"FCB";"GREY_ALL",#N/A,FALSE,"GREY"}</definedName>
    <definedName name="dfdas" hidden="1">{"FCB_ALL",#N/A,FALSE,"FCB";"GREY_ALL",#N/A,FALSE,"GREY"}</definedName>
    <definedName name="dfdfd" hidden="1">{"FCB_ALL",#N/A,FALSE,"FCB";"GREY_ALL",#N/A,FALSE,"GREY"}</definedName>
    <definedName name="dfdfdfd" hidden="1">{"FCB_ALL",#N/A,FALSE,"FCB"}</definedName>
    <definedName name="dfsaadsfa" hidden="1">{#N/A,#N/A,FALSE,"Calc";#N/A,#N/A,FALSE,"Sensitivity";#N/A,#N/A,FALSE,"LT Earn.Dil.";#N/A,#N/A,FALSE,"Dil. AVP"}</definedName>
    <definedName name="edp" hidden="1">{"assumption 50 50",#N/A,TRUE,"Merger";"has gets cash",#N/A,TRUE,"Merger";"accretion dilution",#N/A,TRUE,"Merger";"comparison credit stats",#N/A,TRUE,"Merger";"pf credit stats",#N/A,TRUE,"Merger";"pf sheets",#N/A,TRUE,"Merger"}</definedName>
    <definedName name="eeee" hidden="1">{#N/A,#N/A,FALSE,"Calc";#N/A,#N/A,FALSE,"Sensitivity";#N/A,#N/A,FALSE,"LT Earn.Dil.";#N/A,#N/A,FALSE,"Dil. AVP"}</definedName>
    <definedName name="emily" hidden="1">{#N/A,#N/A,FALSE,"Calc";#N/A,#N/A,FALSE,"Sensitivity";#N/A,#N/A,FALSE,"LT Earn.Dil.";#N/A,#N/A,FALSE,"Dil. AVP"}</definedName>
    <definedName name="eyr" hidden="1">{"hiden",#N/A,FALSE,"14";"hidden",#N/A,FALSE,"16";"hidden",#N/A,FALSE,"18";"hidden",#N/A,FALSE,"20"}</definedName>
    <definedName name="fd" hidden="1">{"equity comps",#N/A,FALSE,"CS Comps";"equity comps",#N/A,FALSE,"PS Comps";"equity comps",#N/A,FALSE,"GIC_Comps";"equity comps",#N/A,FALSE,"GIC2_Comps";"debt comps",#N/A,FALSE,"CS Comps";"debt comps",#N/A,FALSE,"PS Comps";"debt comps",#N/A,FALSE,"GIC_Comps";"debt comps",#N/A,FALSE,"GIC2_Comps"}</definedName>
    <definedName name="fdf" hidden="1">{"Application Management",#N/A,FALSE,"Total Costs"}</definedName>
    <definedName name="FDP_0_1_aUrv" hidden="1">#REF!</definedName>
    <definedName name="FDP_1_1_aUrv" hidden="1">#REF!</definedName>
    <definedName name="FDP_10_1_aDrv" hidden="1">#REF!</definedName>
    <definedName name="FDP_100_1_aUrv" hidden="1">#REF!</definedName>
    <definedName name="FDP_101_1_aUrv" hidden="1">#REF!</definedName>
    <definedName name="FDP_102_1_aUrv" hidden="1">#REF!</definedName>
    <definedName name="FDP_103_1_aUrv" hidden="1">#REF!</definedName>
    <definedName name="FDP_104_1_aUrv" hidden="1">#REF!</definedName>
    <definedName name="FDP_105_1_aUrv" hidden="1">#REF!</definedName>
    <definedName name="FDP_106_1_aUrv" hidden="1">#REF!</definedName>
    <definedName name="FDP_107_1_aUrv" hidden="1">#REF!</definedName>
    <definedName name="FDP_108_1_aUrv" hidden="1">#REF!</definedName>
    <definedName name="FDP_109_1_aUrv" hidden="1">#REF!</definedName>
    <definedName name="FDP_11_1_aDrv" hidden="1">#REF!</definedName>
    <definedName name="FDP_110_1_aU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16_1_aUrv" hidden="1">#REF!</definedName>
    <definedName name="FDP_117_1_aUrv" hidden="1">#REF!</definedName>
    <definedName name="FDP_118_1_aUrv" hidden="1">#REF!</definedName>
    <definedName name="FDP_119_1_aUrv" hidden="1">#REF!</definedName>
    <definedName name="FDP_12_1_aDrv" hidden="1">#REF!</definedName>
    <definedName name="FDP_120_1_aUrv" hidden="1">#REF!</definedName>
    <definedName name="FDP_121_1_aUrv" hidden="1">#REF!</definedName>
    <definedName name="FDP_122_1_aUrv" hidden="1">#REF!</definedName>
    <definedName name="FDP_123_1_aUrv" hidden="1">#REF!</definedName>
    <definedName name="FDP_124_1_aUrv" hidden="1">#REF!</definedName>
    <definedName name="FDP_125_1_aUrv" hidden="1">#REF!</definedName>
    <definedName name="FDP_126_1_aUrv" hidden="1">#REF!</definedName>
    <definedName name="FDP_127_1_aUrv" hidden="1">#REF!</definedName>
    <definedName name="FDP_128_1_aUrv" hidden="1">#REF!</definedName>
    <definedName name="FDP_129_1_aUrv" hidden="1">#REF!</definedName>
    <definedName name="FDP_13_1_aUrv" hidden="1">#REF!</definedName>
    <definedName name="FDP_130_1_aUrv" hidden="1">#REF!</definedName>
    <definedName name="FDP_131_1_aSrv" hidden="1">#REF!</definedName>
    <definedName name="FDP_132_1_aUrv" hidden="1">#REF!</definedName>
    <definedName name="FDP_133_1_aUrv" hidden="1">#REF!</definedName>
    <definedName name="FDP_134_1_aUrv" hidden="1">#REF!</definedName>
    <definedName name="FDP_135_1_aUrv" hidden="1">#REF!</definedName>
    <definedName name="FDP_136_1_aSrv" hidden="1">#REF!</definedName>
    <definedName name="FDP_137_1_aUrv" hidden="1">#REF!</definedName>
    <definedName name="FDP_138_1_aUrv" hidden="1">#REF!</definedName>
    <definedName name="FDP_139_1_aUrv" hidden="1">#REF!</definedName>
    <definedName name="FDP_14_1_aUrv" hidden="1">#REF!</definedName>
    <definedName name="FDP_140_1_aUrv" hidden="1">#REF!</definedName>
    <definedName name="FDP_141_1_aUrv" hidden="1">#REF!</definedName>
    <definedName name="FDP_142_1_aUrv" hidden="1">#REF!</definedName>
    <definedName name="FDP_143_1_aUrv" hidden="1">#REF!</definedName>
    <definedName name="FDP_144_1_aUrv" hidden="1">#REF!</definedName>
    <definedName name="FDP_145_1_aUrv" hidden="1">#REF!</definedName>
    <definedName name="FDP_146_1_aUrv" hidden="1">#REF!</definedName>
    <definedName name="FDP_147_1_aUrv" hidden="1">#REF!</definedName>
    <definedName name="FDP_148_1_aUrv" hidden="1">#REF!</definedName>
    <definedName name="FDP_149_1_aUrv" hidden="1">#REF!</definedName>
    <definedName name="FDP_15_1_aUrv" hidden="1">#REF!</definedName>
    <definedName name="FDP_150_1_aSrv" hidden="1">#REF!</definedName>
    <definedName name="FDP_151_1_aUrv" hidden="1">#REF!</definedName>
    <definedName name="FDP_152_1_aSrv" hidden="1">#REF!</definedName>
    <definedName name="FDP_153_1_aUrv" hidden="1">#REF!</definedName>
    <definedName name="FDP_154_1_aSrv" hidden="1">#REF!</definedName>
    <definedName name="FDP_155_1_aUrv" hidden="1">#REF!</definedName>
    <definedName name="FDP_156_1_aSrv" hidden="1">#REF!</definedName>
    <definedName name="FDP_157_1_aUrv" hidden="1">#REF!</definedName>
    <definedName name="FDP_158_1_aSrv" hidden="1">#REF!</definedName>
    <definedName name="FDP_159_1_aUrv" hidden="1">#REF!</definedName>
    <definedName name="FDP_16_1_aUrv" hidden="1">#REF!</definedName>
    <definedName name="FDP_160_1_aSrv" hidden="1">#REF!</definedName>
    <definedName name="FDP_161_1_aDrv" hidden="1">#REF!</definedName>
    <definedName name="FDP_162_1_aDrv" hidden="1">#REF!</definedName>
    <definedName name="FDP_163_1_aDrv" hidden="1">#REF!</definedName>
    <definedName name="FDP_164_1_aDrv" hidden="1">#REF!</definedName>
    <definedName name="FDP_165_1_aDrv" hidden="1">#REF!</definedName>
    <definedName name="FDP_166_1_aDrv" hidden="1">#REF!</definedName>
    <definedName name="FDP_167_1_aDrv" hidden="1">#REF!</definedName>
    <definedName name="FDP_168_1_aDrv" hidden="1">#REF!</definedName>
    <definedName name="FDP_169_1_aDrv" hidden="1">#REF!</definedName>
    <definedName name="FDP_17_1_aUrv" hidden="1">#REF!</definedName>
    <definedName name="FDP_170_1_aDrv" hidden="1">#REF!</definedName>
    <definedName name="FDP_171_1_aDrv" hidden="1">#REF!</definedName>
    <definedName name="FDP_172_1_aDrv" hidden="1">#REF!</definedName>
    <definedName name="FDP_173_1_aDrv" hidden="1">#REF!</definedName>
    <definedName name="FDP_174_1_aUrv" hidden="1">#REF!</definedName>
    <definedName name="FDP_175_1_aUrv" hidden="1">#REF!</definedName>
    <definedName name="FDP_176_1_aUrv" hidden="1">#REF!</definedName>
    <definedName name="FDP_177_1_aUrv" hidden="1">#REF!</definedName>
    <definedName name="FDP_178_1_aUrv" hidden="1">#REF!</definedName>
    <definedName name="FDP_179_1_aUrv" hidden="1">#REF!</definedName>
    <definedName name="FDP_18_1_aUrv" hidden="1">#REF!</definedName>
    <definedName name="FDP_180_1_aUdv" hidden="1">#REF!</definedName>
    <definedName name="FDP_181_1_aUdv" hidden="1">#REF!</definedName>
    <definedName name="FDP_182_1_aUdv" hidden="1">#REF!</definedName>
    <definedName name="FDP_183_1_aUdv" hidden="1">#REF!</definedName>
    <definedName name="FDP_184_1_aUdv" hidden="1">#REF!</definedName>
    <definedName name="FDP_185_1_aUdv" hidden="1">#REF!</definedName>
    <definedName name="FDP_186_1_aUdv" hidden="1">#REF!</definedName>
    <definedName name="FDP_187_1_aUdv" hidden="1">#REF!</definedName>
    <definedName name="FDP_188_1_aUdv" hidden="1">#REF!</definedName>
    <definedName name="FDP_189_1_aUdv" hidden="1">#REF!</definedName>
    <definedName name="FDP_19_1_aUrv" hidden="1">#REF!</definedName>
    <definedName name="FDP_190_1_aUdv" hidden="1">#REF!</definedName>
    <definedName name="FDP_191_1_aUdv" hidden="1">#REF!</definedName>
    <definedName name="FDP_192_1_aUdv" hidden="1">#REF!</definedName>
    <definedName name="FDP_193_1_aUdv" hidden="1">#REF!</definedName>
    <definedName name="FDP_194_1_aUdv" hidden="1">#REF!</definedName>
    <definedName name="FDP_195_1_aUdv" hidden="1">#REF!</definedName>
    <definedName name="FDP_196_1_aUdv" hidden="1">#REF!</definedName>
    <definedName name="FDP_197_1_aUdv" hidden="1">#REF!</definedName>
    <definedName name="FDP_198_1_aUdv" hidden="1">#REF!</definedName>
    <definedName name="FDP_199_1_aUdv" hidden="1">#REF!</definedName>
    <definedName name="FDP_2_1_aUrv" hidden="1">#REF!</definedName>
    <definedName name="FDP_20_1_aUrv" hidden="1">#REF!</definedName>
    <definedName name="FDP_21_1_aUrv" hidden="1">#REF!</definedName>
    <definedName name="FDP_22_1_aUrv" hidden="1">#REF!</definedName>
    <definedName name="FDP_23_1_aDrv" hidden="1">#REF!</definedName>
    <definedName name="FDP_24_1_aUrv" hidden="1">#REF!</definedName>
    <definedName name="FDP_25_1_aUrv" hidden="1">#REF!</definedName>
    <definedName name="FDP_26_1_aUrv" hidden="1">#REF!</definedName>
    <definedName name="FDP_27_1_aUrv" hidden="1">#REF!</definedName>
    <definedName name="FDP_28_1_aUrv" hidden="1">#REF!</definedName>
    <definedName name="FDP_29_1_aDrv" hidden="1">#REF!</definedName>
    <definedName name="FDP_3_1_aUrv" hidden="1">#REF!</definedName>
    <definedName name="FDP_30_1_aUrv" hidden="1">#REF!</definedName>
    <definedName name="FDP_31_1_aUrv" hidden="1">#REF!</definedName>
    <definedName name="FDP_32_1_aUrv" hidden="1">#REF!</definedName>
    <definedName name="FDP_33_1_aUrv" hidden="1">#REF!</definedName>
    <definedName name="FDP_34_1_aUrv" hidden="1">#REF!</definedName>
    <definedName name="FDP_35_1_aSrv" hidden="1">#REF!</definedName>
    <definedName name="FDP_36_1_aUrv" hidden="1">#REF!</definedName>
    <definedName name="FDP_37_1_aUrv" hidden="1">#REF!</definedName>
    <definedName name="FDP_38_1_aUrv" hidden="1">#REF!</definedName>
    <definedName name="FDP_39_1_aUrv" hidden="1">#REF!</definedName>
    <definedName name="FDP_4_1_aUrv" hidden="1">#REF!</definedName>
    <definedName name="FDP_40_1_aUrv" hidden="1">#REF!</definedName>
    <definedName name="FDP_41_1_aSrv" hidden="1">#REF!</definedName>
    <definedName name="FDP_42_1_aSrv" hidden="1">#REF!</definedName>
    <definedName name="FDP_43_1_aUrv" hidden="1">#REF!</definedName>
    <definedName name="FDP_44_1_aUrv" hidden="1">#REF!</definedName>
    <definedName name="FDP_45_1_aUrv" hidden="1">#REF!</definedName>
    <definedName name="FDP_46_1_aUrv" hidden="1">#REF!</definedName>
    <definedName name="FDP_47_1_aUrv" hidden="1">#REF!</definedName>
    <definedName name="FDP_48_1_aSrv" hidden="1">#REF!</definedName>
    <definedName name="FDP_49_1_aUrv" hidden="1">#REF!</definedName>
    <definedName name="FDP_5_1_aUrv" hidden="1">#REF!</definedName>
    <definedName name="FDP_50_1_aUrv" hidden="1">#REF!</definedName>
    <definedName name="FDP_51_1_aUrv" hidden="1">#REF!</definedName>
    <definedName name="FDP_52_1_aUrv" hidden="1">#REF!</definedName>
    <definedName name="FDP_53_1_aUrv" hidden="1">#REF!</definedName>
    <definedName name="FDP_54_1_aUrv" hidden="1">#REF!</definedName>
    <definedName name="FDP_55_1_aUrv" hidden="1">#REF!</definedName>
    <definedName name="FDP_56_1_aUrv" hidden="1">#REF!</definedName>
    <definedName name="FDP_57_1_aUrv" hidden="1">#REF!</definedName>
    <definedName name="FDP_58_1_aUrv" hidden="1">#REF!</definedName>
    <definedName name="FDP_59_1_aUrv" hidden="1">#REF!</definedName>
    <definedName name="FDP_6_1_aUrv" hidden="1">#REF!</definedName>
    <definedName name="FDP_60_1_aUrv" hidden="1">#REF!</definedName>
    <definedName name="FDP_61_1_aSrv" hidden="1">#REF!</definedName>
    <definedName name="FDP_62_1_aSrv" hidden="1">#REF!</definedName>
    <definedName name="FDP_63_1_aUrv" hidden="1">#REF!</definedName>
    <definedName name="FDP_64_1_aSrv" hidden="1">#REF!</definedName>
    <definedName name="FDP_65_1_aSrv" hidden="1">#REF!</definedName>
    <definedName name="FDP_66_1_aUrv" hidden="1">#REF!</definedName>
    <definedName name="FDP_67_1_aUrv" hidden="1">#REF!</definedName>
    <definedName name="FDP_68_1_aUrv" hidden="1">#REF!</definedName>
    <definedName name="FDP_69_1_aUrv" hidden="1">#REF!</definedName>
    <definedName name="FDP_7_1_aUrv" hidden="1">#REF!</definedName>
    <definedName name="FDP_70_1_aDrv" hidden="1">#REF!</definedName>
    <definedName name="FDP_71_1_aUrv" hidden="1">#REF!</definedName>
    <definedName name="FDP_72_1_aDrv" hidden="1">#REF!</definedName>
    <definedName name="FDP_73_1_aUrv" hidden="1">#REF!</definedName>
    <definedName name="FDP_74_1_aUrv" hidden="1">#REF!</definedName>
    <definedName name="FDP_75_1_aSrv" hidden="1">#REF!</definedName>
    <definedName name="FDP_76_1_aUrv" hidden="1">#REF!</definedName>
    <definedName name="FDP_77_1_aUrv" hidden="1">#REF!</definedName>
    <definedName name="FDP_78_1_aUrv" hidden="1">#REF!</definedName>
    <definedName name="FDP_79_1_aUrv" hidden="1">#REF!</definedName>
    <definedName name="FDP_8_1_aDrv" hidden="1">#REF!</definedName>
    <definedName name="FDP_80_1_aUrv" hidden="1">#REF!</definedName>
    <definedName name="FDP_81_1_aSrv" hidden="1">#REF!</definedName>
    <definedName name="FDP_82_1_aUrv" hidden="1">#REF!</definedName>
    <definedName name="FDP_83_1_aSrv" hidden="1">#REF!</definedName>
    <definedName name="FDP_84_1_aUrv" hidden="1">#REF!</definedName>
    <definedName name="FDP_85_1_aUrv" hidden="1">#REF!</definedName>
    <definedName name="FDP_86_1_aUrv" hidden="1">#REF!</definedName>
    <definedName name="FDP_87_1_aSrv" hidden="1">#REF!</definedName>
    <definedName name="FDP_88_1_aUrv" hidden="1">#REF!</definedName>
    <definedName name="FDP_89_1_aSrv" hidden="1">#REF!</definedName>
    <definedName name="FDP_9_1_aDrv" hidden="1">#REF!</definedName>
    <definedName name="FDP_90_1_aUrv" hidden="1">#REF!</definedName>
    <definedName name="FDP_91_1_aUrv" hidden="1">#REF!</definedName>
    <definedName name="FDP_92_1_aSrv" hidden="1">#REF!</definedName>
    <definedName name="FDP_93_1_aDrv" hidden="1">#REF!</definedName>
    <definedName name="FDP_94_1_aUrv" hidden="1">#REF!</definedName>
    <definedName name="FDP_95_1_aUrv" hidden="1">#REF!</definedName>
    <definedName name="FDP_96_1_aUrv" hidden="1">#REF!</definedName>
    <definedName name="FDP_97_1_aUrv" hidden="1">#REF!</definedName>
    <definedName name="FDP_98_1_aUrv" hidden="1">#REF!</definedName>
    <definedName name="FDP_99_1_aUrv" hidden="1">#REF!</definedName>
    <definedName name="fds" hidden="1">{"comps",#N/A,FALSE,"comps";"notes",#N/A,FALSE,"comps"}</definedName>
    <definedName name="fdsf" hidden="1">{"general",#N/A,FALSE,"Assumptions"}</definedName>
    <definedName name="fins1" hidden="1">{#N/A,#N/A,FALSE,"Calc";#N/A,#N/A,FALSE,"Sensitivity";#N/A,#N/A,FALSE,"LT Earn.Dil.";#N/A,#N/A,FALSE,"Dil. AVP"}</definedName>
    <definedName name="gds"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fd"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gg" hidden="1">{#N/A,"DR",FALSE,"increm pf";#N/A,"MAMSI",FALSE,"increm pf";#N/A,"MAXI",FALSE,"increm pf";#N/A,"PCAM",FALSE,"increm pf";#N/A,"PHSV",FALSE,"increm pf";#N/A,"SIE",FALSE,"increm pf"}</definedName>
    <definedName name="ggf" hidden="1">{"comps",#N/A,FALSE,"comps";"notes",#N/A,FALSE,"comps"}</definedName>
    <definedName name="gsdg"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hh"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hhhsdf" hidden="1">{"up stand alones",#N/A,FALSE,"Acquiror"}</definedName>
    <definedName name="hthth"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ik" hidden="1">{"casespecific",#N/A,FALSE,"Assumptions"}</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BV_SHARE_ACT_OR_EST" hidden="1">"c3587"</definedName>
    <definedName name="IQ_BV_SHARE_EST" hidden="1">"c3541"</definedName>
    <definedName name="IQ_BV_SHARE_HIGH_EST" hidden="1">"c3542"</definedName>
    <definedName name="IQ_BV_SHARE_LOW_EST" hidden="1">"c3543"</definedName>
    <definedName name="IQ_BV_SHARE_MEDIAN_EST" hidden="1">"c3544"</definedName>
    <definedName name="IQ_BV_SHARE_NUM_EST" hidden="1">"c3539"</definedName>
    <definedName name="IQ_BV_SHARE_STDDEV_EST" hidden="1">"c3540"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ACT_OR_EST" hidden="1">"c3584"</definedName>
    <definedName name="IQ_CAPEX_BNK" hidden="1">"c110"</definedName>
    <definedName name="IQ_CAPEX_BR" hidden="1">"c111"</definedName>
    <definedName name="IQ_CAPEX_EST" hidden="1">"c3523"</definedName>
    <definedName name="IQ_CAPEX_FIN" hidden="1">"c112"</definedName>
    <definedName name="IQ_CAPEX_HIGH_EST" hidden="1">"c3524"</definedName>
    <definedName name="IQ_CAPEX_INS" hidden="1">"c113"</definedName>
    <definedName name="IQ_CAPEX_LOW_EST" hidden="1">"c3525"</definedName>
    <definedName name="IQ_CAPEX_MEDIAN_EST" hidden="1">"c3526"</definedName>
    <definedName name="IQ_CAPEX_NUM_EST" hidden="1">"c3521"</definedName>
    <definedName name="IQ_CAPEX_STDDEV_EST" hidden="1">"c3522"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BV_SHARE" hidden="1">"c3549"</definedName>
    <definedName name="IQ_EST_ACT_CAPEX" hidden="1">"c3546"</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ET_DEBT" hidden="1">"c3545"</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TURN_ASSETS" hidden="1">"c3547"</definedName>
    <definedName name="IQ_EST_ACT_RETURN_EQUITY" hidden="1">"c3548"</definedName>
    <definedName name="IQ_EST_ACT_REV" hidden="1">"c2113"</definedName>
    <definedName name="IQ_EST_CAPEX_GROWTH_1YR" hidden="1">"c3588"</definedName>
    <definedName name="IQ_EST_CAPEX_GROWTH_2YR" hidden="1">"c3589"</definedName>
    <definedName name="IQ_EST_CAPEX_GROWTH_Q_1YR" hidden="1">"c3590"</definedName>
    <definedName name="IQ_EST_CAPEX_SEQ_GROWTH_Q" hidden="1">"c3591"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EBITDA" hidden="1">"c750"</definedName>
    <definedName name="IQ_NET_DEBT_EBITDA_CAPEX" hidden="1">"c2949"</definedName>
    <definedName name="IQ_NET_DEBT_EST" hidden="1">"c3517"</definedName>
    <definedName name="IQ_NET_DEBT_HIGH_EST" hidden="1">"c3518"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DEBT_LOW_EST" hidden="1">"c3519"</definedName>
    <definedName name="IQ_NET_DEBT_MEDIAN_EST" hidden="1">"c3520"</definedName>
    <definedName name="IQ_NET_DEBT_NUM_EST" hidden="1">"c3515"</definedName>
    <definedName name="IQ_NET_DEBT_STDDEV_EST" hidden="1">"c3516"</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FS" hidden="1">"c1116"</definedName>
    <definedName name="IQ_RETURN_ASSETS_HIGH_EST" hidden="1">"c3530"</definedName>
    <definedName name="IQ_RETURN_ASSETS_LOW_EST" hidden="1">"c3531"</definedName>
    <definedName name="IQ_RETURN_ASSETS_MEDIAN_EST" hidden="1">"c3532"</definedName>
    <definedName name="IQ_RETURN_ASSETS_NUM_EST" hidden="1">"c3527"</definedName>
    <definedName name="IQ_RETURN_ASSETS_STDDEV_EST" hidden="1">"c3528"</definedName>
    <definedName name="IQ_RETURN_CAPITAL" hidden="1">"c1117"</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FS" hidden="1">"c1121"</definedName>
    <definedName name="IQ_RETURN_EQUITY_HIGH_EST" hidden="1">"c3536"</definedName>
    <definedName name="IQ_RETURN_EQUITY_LOW_EST" hidden="1">"c3537"</definedName>
    <definedName name="IQ_RETURN_EQUITY_MEDIAN_EST" hidden="1">"c3538"</definedName>
    <definedName name="IQ_RETURN_EQUITY_NUM_EST" hidden="1">"c3533"</definedName>
    <definedName name="IQ_RETURN_EQUITY_STDDEV_EST" hidden="1">"c3534"</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38961.7261689815</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IT" hidden="1">{"equity comps",#N/A,FALSE,"CS Comps";"equity comps",#N/A,FALSE,"PS Comps";"equity comps",#N/A,FALSE,"GIC_Comps";"equity comps",#N/A,FALSE,"GIC2_Comps"}</definedName>
    <definedName name="kol" hidden="1">{"away stand alones",#N/A,FALSE,"Target"}</definedName>
    <definedName name="limcount" hidden="1">1</definedName>
    <definedName name="mason?" hidden="1">{#N/A,#N/A,FALSE,"Data &amp; Key Results";#N/A,#N/A,FALSE,"Summary Template";#N/A,#N/A,FALSE,"Budget";#N/A,#N/A,FALSE,"Present Value Comparison";#N/A,#N/A,FALSE,"Cashflow";#N/A,#N/A,FALSE,"Income";#N/A,#N/A,FALSE,"Inputs"}</definedName>
    <definedName name="mason2" hidden="1">{#N/A,#N/A,FALSE,"Data &amp; Key Results";#N/A,#N/A,FALSE,"Summary Template";#N/A,#N/A,FALSE,"Budget";#N/A,#N/A,FALSE,"Present Value Comparison";#N/A,#N/A,FALSE,"Cashflow";#N/A,#N/A,FALSE,"Income";#N/A,#N/A,FALSE,"Inputs"}</definedName>
    <definedName name="mason3" hidden="1">{#N/A,#N/A,FALSE,"Data &amp; Key Results";#N/A,#N/A,FALSE,"Summary Template";#N/A,#N/A,FALSE,"Budget";#N/A,#N/A,FALSE,"Present Value Comparison";#N/A,#N/A,FALSE,"Cashflow";#N/A,#N/A,FALSE,"Income";#N/A,#N/A,FALSE,"Inputs"}</definedName>
    <definedName name="mason4" hidden="1">{#N/A,#N/A,FALSE,"Data &amp; Key Results";#N/A,#N/A,FALSE,"Summary Template";#N/A,#N/A,FALSE,"Budget";#N/A,#N/A,FALSE,"Present Value Comparison";#N/A,#N/A,FALSE,"Cashflow";#N/A,#N/A,FALSE,"Income";#N/A,#N/A,FALSE,"Inputs"}</definedName>
    <definedName name="mason5" hidden="1">{#N/A,#N/A,FALSE,"Data &amp; Key Results";#N/A,#N/A,FALSE,"Summary Template";#N/A,#N/A,FALSE,"Budget";#N/A,#N/A,FALSE,"Present Value Comparison";#N/A,#N/A,FALSE,"Cashflow";#N/A,#N/A,FALSE,"Income";#N/A,#N/A,FALSE,"Inputs"}</definedName>
    <definedName name="masonII" hidden="1">{#N/A,#N/A,FALSE,"Data &amp; Key Results";#N/A,#N/A,FALSE,"Summary Template";#N/A,#N/A,FALSE,"Budget";#N/A,#N/A,FALSE,"Present Value Comparison";#N/A,#N/A,FALSE,"Cashflow";#N/A,#N/A,FALSE,"Income";#N/A,#N/A,FALSE,"Inputs"}</definedName>
    <definedName name="Mktsize" hidden="1">{#N/A,#N/A,FALSE,"Summary";#N/A,#N/A,FALSE,"Assumptions";#N/A,#N/A,FALSE,"Scenarios";#N/A,#N/A,FALSE,"LBE (Base)";#N/A,#N/A,FALSE,"Scen A";#N/A,#N/A,FALSE,"Scen B";"Debt Paydown Scenario",#N/A,FALSE,"Cash in Bank";#N/A,#N/A,FALSE,"Debt&amp;Equity Rec"}</definedName>
    <definedName name="New" hidden="1">{#N/A,#N/A,FALSE,"Summary";#N/A,#N/A,FALSE,"Assumptions";#N/A,#N/A,FALSE,"Scenarios";#N/A,#N/A,FALSE,"LBE (Base)";#N/A,#N/A,FALSE,"Scen A";#N/A,#N/A,FALSE,"Scen B";"Debt Paydown Scenario",#N/A,FALSE,"Cash in Bank";#N/A,#N/A,FALSE,"Debt&amp;Equity Rec"}</definedName>
    <definedName name="noidea" hidden="1">{#N/A,#N/A,FALSE,"Calc";#N/A,#N/A,FALSE,"Sensitivity";#N/A,#N/A,FALSE,"LT Earn.Dil.";#N/A,#N/A,FALSE,"Dil. AVP"}</definedName>
    <definedName name="NOIDEA2" hidden="1">{#N/A,#N/A,FALSE,"Calc";#N/A,#N/A,FALSE,"Sensitivity";#N/A,#N/A,FALSE,"LT Earn.Dil.";#N/A,#N/A,FALSE,"Dil. AVP"}</definedName>
    <definedName name="oku" hidden="1">{"equity comps",#N/A,FALSE,"CS Comps";"equity comps",#N/A,FALSE,"PS Comps";"equity comps",#N/A,FALSE,"GIC_Comps";"equity comps",#N/A,FALSE,"GIC2_Comps";"debt comps",#N/A,FALSE,"CS Comps";"debt comps",#N/A,FALSE,"PS Comps";"debt comps",#N/A,FALSE,"GIC_Comps";"debt comps",#N/A,FALSE,"GIC2_Comps"}</definedName>
    <definedName name="OP" hidden="1">{#N/A,#N/A,FALSE,"Operations";#N/A,#N/A,FALSE,"Financials"}</definedName>
    <definedName name="po" hidden="1">{#N/A,#N/A,FALSE,"Calc";#N/A,#N/A,FALSE,"Sensitivity";#N/A,#N/A,FALSE,"LT Earn.Dil.";#N/A,#N/A,FALSE,"Dil. AVP"}</definedName>
    <definedName name="poi" hidden="1">{"assumption 50 50",#N/A,TRUE,"Merger";"has gets cash",#N/A,TRUE,"Merger";"accretion dilution",#N/A,TRUE,"Merger";"comparison credit stats",#N/A,TRUE,"Merger";"pf credit stats",#N/A,TRUE,"Merger";"pf sheets",#N/A,TRUE,"Merger"}</definedName>
    <definedName name="_xlnm.Print_Area" localSheetId="1">'II-E-1'!$A$10:$W$78</definedName>
    <definedName name="_xlnm.Print_Area" localSheetId="2">'II-E-2'!$A$10:$W$35</definedName>
    <definedName name="_xlnm.Print_Area" localSheetId="3">'II-E-2.1'!$A$10:$T$31</definedName>
    <definedName name="_xlnm.Print_Area" localSheetId="5">'II-E-3'!$A$10:$W$56</definedName>
    <definedName name="_xlnm.Print_Area" localSheetId="4">'II-E-3 Attachment'!$A$10:$D$53</definedName>
    <definedName name="_xlnm.Print_Area" localSheetId="6">'II-E-3.1'!$A$14:$E$91</definedName>
    <definedName name="_xlnm.Print_Area" localSheetId="17">'II-E-3.10'!$A$10:$I$24</definedName>
    <definedName name="_xlnm.Print_Area" localSheetId="18">'II-E-3.11'!$A$10:$I$23</definedName>
    <definedName name="_xlnm.Print_Area" localSheetId="19">'II-E-3.12'!$A$10:$G$23</definedName>
    <definedName name="_xlnm.Print_Area" localSheetId="20">'II-E-3.13'!$A$10:$L$15</definedName>
    <definedName name="_xlnm.Print_Area" localSheetId="21">'II-E-3.14'!$A$10:$X$20</definedName>
    <definedName name="_xlnm.Print_Area" localSheetId="22">'II-E-3.15'!$A$14:$E$122</definedName>
    <definedName name="_xlnm.Print_Area" localSheetId="23">'II-E-3.16'!$A$10:$G$79</definedName>
    <definedName name="_xlnm.Print_Area" localSheetId="24">'II-E-3.17'!$A$10:$Q$15</definedName>
    <definedName name="_xlnm.Print_Area" localSheetId="25">'II-E-3.18'!$A$8:$W$32</definedName>
    <definedName name="_xlnm.Print_Area" localSheetId="26">'II-E-3.19'!$A$10:$Q$76</definedName>
    <definedName name="_xlnm.Print_Area" localSheetId="27">'II-E-3.20'!$A$12:$H$12</definedName>
    <definedName name="_xlnm.Print_Area" localSheetId="28">'II-E-3.21'!$A$10:$D$18</definedName>
    <definedName name="_xlnm.Print_Area" localSheetId="29">'II-E-3.22'!$A$10:$M$39</definedName>
    <definedName name="_xlnm.Print_Area" localSheetId="30">'II-E-3.23'!$A$10:$F$32</definedName>
    <definedName name="_xlnm.Print_Area" localSheetId="31">'II-E-3.24'!$A$10:$I$18</definedName>
    <definedName name="_xlnm.Print_Area" localSheetId="7">'II-E-3.2a'!$A$10:$E$31</definedName>
    <definedName name="_xlnm.Print_Area" localSheetId="8">'II-E-3.2b'!$A$10:$E$49</definedName>
    <definedName name="_xlnm.Print_Area" localSheetId="9">'II-E-3.3'!$A$10:$O$211</definedName>
    <definedName name="_xlnm.Print_Area" localSheetId="10">'II-E-3.4'!$A$7:$L$16</definedName>
    <definedName name="_xlnm.Print_Area" localSheetId="11">'II-E-3.5'!$A$10:$X$96</definedName>
    <definedName name="_xlnm.Print_Area" localSheetId="12">'II-E-3.5a'!$A$10:$ED$75</definedName>
    <definedName name="_xlnm.Print_Area" localSheetId="13">'II-E-3.6'!$A$10:$D$62</definedName>
    <definedName name="_xlnm.Print_Area" localSheetId="14">'II-E-3.7'!$A$10:$F$43</definedName>
    <definedName name="_xlnm.Print_Area" localSheetId="15">'II-E-3.8'!$A$10:$K$38</definedName>
    <definedName name="_xlnm.Print_Area" localSheetId="16">'II-E-3.9'!$A$10:$D$35</definedName>
    <definedName name="_xlnm.Print_Area" localSheetId="32">'II-E-4'!$A$10:$W$24</definedName>
    <definedName name="_xlnm.Print_Area" localSheetId="33">'II-E-4.1'!$A$11:$W$76</definedName>
    <definedName name="_xlnm.Print_Area" localSheetId="34">'II-E-4.1.1'!$D$13:$S$113</definedName>
    <definedName name="_xlnm.Print_Area" localSheetId="35">'II-E-4.2'!$A$11:$P$50</definedName>
    <definedName name="_xlnm.Print_Area" localSheetId="36">'II-E-4.3'!$A$16:$I$17</definedName>
    <definedName name="_xlnm.Print_Area" localSheetId="37">'II-E-4.4'!$A$9:$R$39</definedName>
    <definedName name="_xlnm.Print_Area" localSheetId="38">'II-E-4.5'!$A$11:$M$49</definedName>
    <definedName name="_xlnm.Print_Area" localSheetId="39">'II-E-4.6'!$A$11:$G$12</definedName>
    <definedName name="_xlnm.Print_Area" localSheetId="40">'II-E-5'!$A$10:$X$29</definedName>
    <definedName name="_xlnm.Print_Titles" localSheetId="1">'II-E-1'!$A:$D,'II-E-1'!$10:$14</definedName>
    <definedName name="_xlnm.Print_Titles" localSheetId="2">'II-E-2'!$A:$D</definedName>
    <definedName name="_xlnm.Print_Titles" localSheetId="5">'II-E-3'!$A:$C,'II-E-3'!$10:$13</definedName>
    <definedName name="_xlnm.Print_Titles" localSheetId="6">'II-E-3.1'!$10:$13</definedName>
    <definedName name="_xlnm.Print_Titles" localSheetId="21">'II-E-3.14'!$A:$D</definedName>
    <definedName name="_xlnm.Print_Titles" localSheetId="22">'II-E-3.15'!$10:$13</definedName>
    <definedName name="_xlnm.Print_Titles" localSheetId="25">'II-E-3.18'!$A:$B</definedName>
    <definedName name="_xlnm.Print_Titles" localSheetId="26">'II-E-3.19'!$A:$C,'II-E-3.19'!$10:$12</definedName>
    <definedName name="_xlnm.Print_Titles" localSheetId="9">'II-E-3.3'!$10:$10</definedName>
    <definedName name="_xlnm.Print_Titles" localSheetId="11">'II-E-3.5'!$A:$D,'II-E-3.5'!$10:$14</definedName>
    <definedName name="_xlnm.Print_Titles" localSheetId="12">'II-E-3.5a'!$A:$C,'II-E-3.5a'!$10:$12</definedName>
    <definedName name="_xlnm.Print_Titles" localSheetId="13">'II-E-3.6'!$10:$11</definedName>
    <definedName name="_xlnm.Print_Titles" localSheetId="32">'II-E-4'!$A:$D</definedName>
    <definedName name="_xlnm.Print_Titles" localSheetId="33">'II-E-4.1'!$A:$D,'II-E-4.1'!$11:$15</definedName>
    <definedName name="_xlnm.Print_Titles" localSheetId="34">'II-E-4.1.1'!$A:$C,'II-E-4.1.1'!$10:$12</definedName>
    <definedName name="_xlnm.Print_Titles" localSheetId="37">'II-E-4.4'!$A:$B</definedName>
    <definedName name="_xlnm.Print_Titles" localSheetId="40">'II-E-5'!$A:$D</definedName>
    <definedName name="prout" hidden="1">{"comp1",#N/A,FALSE,"COMPS";"footnotes",#N/A,FALSE,"COMPS"}</definedName>
    <definedName name="qewreqrqwer" hidden="1">{"comp1",#N/A,FALSE,"COMPS";"footnotes",#N/A,FALSE,"COMPS"}</definedName>
    <definedName name="qq" hidden="1">{"equity comps",#N/A,FALSE,"CS Comps";"equity comps",#N/A,FALSE,"PS Comps";"equity comps",#N/A,FALSE,"GIC_Comps";"equity comps",#N/A,FALSE,"GIC2_Comps"}</definedName>
    <definedName name="qqqqqq" hidden="1">{"FCB_ALL",#N/A,FALSE,"FCB"}</definedName>
    <definedName name="qwe" hidden="1">{"assumption cash",#N/A,TRUE,"Merger";"has gets cash",#N/A,TRUE,"Merger";"accretion dilution",#N/A,TRUE,"Merger";"comparison credit stats",#N/A,TRUE,"Merger";"pf credit stats",#N/A,TRUE,"Merger";"pf sheets",#N/A,TRUE,"Merger"}</definedName>
    <definedName name="qwer" hidden="1">{"hiden",#N/A,FALSE,"14";"hidden",#N/A,FALSE,"16";"hidden",#N/A,FALSE,"18";"hidden",#N/A,FALSE,"20"}</definedName>
    <definedName name="qwerqewr" hidden="1">{#N/A,#N/A,FALSE,"Calc";#N/A,#N/A,FALSE,"Sensitivity";#N/A,#N/A,FALSE,"LT Earn.Dil.";#N/A,#N/A,FALSE,"Dil. AVP"}</definedName>
    <definedName name="qwerqwerq" hidden="1">{"assumption 50 50",#N/A,TRUE,"Merger";"has gets cash",#N/A,TRUE,"Merger";"accretion dilution",#N/A,TRUE,"Merger";"comparison credit stats",#N/A,TRUE,"Merger";"pf credit stats",#N/A,TRUE,"Merger";"pf sheets",#N/A,TRUE,"Merger"}</definedName>
    <definedName name="rrrr" hidden="1">{"comp1",#N/A,FALSE,"COMPS";"footnotes",#N/A,FALSE,"COMPS"}</definedName>
    <definedName name="rty" hidden="1">{#N/A,#N/A,TRUE,"Pro Forma";#N/A,#N/A,TRUE,"PF_Bal";#N/A,#N/A,TRUE,"PF_INC";#N/A,#N/A,TRUE,"CBE";#N/A,#N/A,TRUE,"SWK"}</definedName>
    <definedName name="saaaaaaaaaaaaaaa" hidden="1">{"up stand alones",#N/A,FALSE,"Acquiror"}</definedName>
    <definedName name="sadfsdfsdfsaf" hidden="1">{"wpocash",#N/A,FALSE,"WPOALLT";"wpoinc",#N/A,FALSE,"WPOALLT";"wpobroad",#N/A,FALSE,"WPOALLT";"wpocable",#N/A,FALSE,"WPOALLT";"wpoexcl",#N/A,FALSE,"WPOALLT";"wponwsweek",#N/A,FALSE,"WPOALLT";"wpopost",#N/A,FALSE,"WPOALLT"}</definedName>
    <definedName name="SAPBEXdnldView" hidden="1">"D3F6J5CPI9NGORO9TICK7IUYB"</definedName>
    <definedName name="SAPBEXsysID" hidden="1">"HBP"</definedName>
    <definedName name="Scenarios" hidden="1">{#N/A,"ICF Downside",FALSE,"Inputs";#N/A,"High Inflation",FALSE,"Inputs"}</definedName>
    <definedName name="sdafsdafsaf" hidden="1">{"wpocash",#N/A,FALSE,"WPOALLT";"wpoinc",#N/A,FALSE,"WPOALLT";"wpobroad",#N/A,FALSE,"WPOALLT";"wpocable",#N/A,FALSE,"WPOALLT";"wpoexcl",#N/A,FALSE,"WPOALLT";"wponwsweek",#N/A,FALSE,"WPOALLT";"wpopost",#N/A,FALSE,"WPOALLT"}</definedName>
    <definedName name="sdf" hidden="1">{#N/A,#N/A,FALSE,"Calc";#N/A,#N/A,FALSE,"Sensitivity";#N/A,#N/A,FALSE,"LT Earn.Dil.";#N/A,#N/A,FALSE,"Dil. AVP"}</definedName>
    <definedName name="sdfsdfsdfsafsdf" hidden="1">{"FCB_ALL",#N/A,FALSE,"FCB"}</definedName>
    <definedName name="sdgdfghfhgfjhgfjhjjjg" hidden="1">{"general",#N/A,FALSE,"Assumptions"}</definedName>
    <definedName name="se" hidden="1">{"consolidated",#N/A,FALSE,"Sheet1";"cms",#N/A,FALSE,"Sheet1";"fse",#N/A,FALSE,"Sheet1"}</definedName>
    <definedName name="sencount" hidden="1">1</definedName>
    <definedName name="sfs" hidden="1">{"comps",#N/A,FALSE,"HANDPACK";"footnotes",#N/A,FALSE,"HANDPACK"}</definedName>
    <definedName name="SPS" hidden="1">{#N/A,#N/A,TRUE,"financial";#N/A,#N/A,TRUE,"plants"}</definedName>
    <definedName name="ss" hidden="1">{#N/A,#N/A,TRUE,"Pro Forma";#N/A,#N/A,TRUE,"PF_Bal";#N/A,#N/A,TRUE,"PF_INC";#N/A,#N/A,TRUE,"CBE";#N/A,#N/A,TRUE,"SWK"}</definedName>
    <definedName name="svfs" hidden="1">{"comps2",#N/A,FALSE,"AERO";"footnotes",#N/A,FALSE,"AERO"}</definedName>
    <definedName name="ththt" hidden="1">{#N/A,"DR",FALSE,"increm pf";#N/A,"MAMSI",FALSE,"increm pf";#N/A,"MAXI",FALSE,"increm pf";#N/A,"PCAM",FALSE,"increm pf";#N/A,"PHSV",FALSE,"increm pf";#N/A,"SIE",FALSE,"increm pf"}</definedName>
    <definedName name="tt" hidden="1">{"away stand alones",#N/A,FALSE,"Target"}</definedName>
    <definedName name="tyu" hidden="1">{"consolidated",#N/A,FALSE,"Sheet1";"cms",#N/A,FALSE,"Sheet1";"fse",#N/A,FALSE,"Sheet1"}</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 hidden="1">{"away stand alones",#N/A,FALSE,"Target"}</definedName>
    <definedName name="vsv" hidden="1">{"comp",#N/A,FALSE,"SPEC";"footnotes",#N/A,FALSE,"SPEC"}</definedName>
    <definedName name="wefsdfasdf" hidden="1">{"equity comps",#N/A,FALSE,"CS Comps";"equity comps",#N/A,FALSE,"PS Comps";"equity comps",#N/A,FALSE,"GIC_Comps";"equity comps",#N/A,FALSE,"GIC2_Comps";"debt comps",#N/A,FALSE,"CS Comps";"debt comps",#N/A,FALSE,"PS Comps";"debt comps",#N/A,FALSE,"GIC_Comps";"debt comps",#N/A,FALSE,"GIC2_Comps"}</definedName>
    <definedName name="where" hidden="1">{"inputs raw data",#N/A,TRUE,"INPUT"}</definedName>
    <definedName name="wrn"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1." hidden="1">{#N/A,#N/A,FALSE,"Calc";#N/A,#N/A,FALSE,"Sensitivity";#N/A,#N/A,FALSE,"LT Earn.Dil.";#N/A,#N/A,FALSE,"Dil. AVP"}</definedName>
    <definedName name="WRN.2." hidden="1">{#N/A,#N/A,FALSE,"Calc";#N/A,#N/A,FALSE,"Sensitivity";#N/A,#N/A,FALSE,"LT Earn.Dil.";#N/A,#N/A,FALSE,"Dil. AVP"}</definedName>
    <definedName name="wrn.20._.year._.indices." hidden="1">{#N/A,#N/A,FALSE,"20 yrindrefema";#N/A,#N/A,FALSE,"20yrindloema";#N/A,#N/A,FALSE,"20yrindhiema"}</definedName>
    <definedName name="wrn.3cases." hidden="1">{#N/A,"Base",FALSE,"Dividend";#N/A,"Conservative",FALSE,"Dividend";#N/A,"Downside",FALSE,"Dividend"}</definedName>
    <definedName name="wrn.50._.50." hidden="1">{"assumption 50 50",#N/A,TRUE,"Merger";"has gets cash",#N/A,TRUE,"Merger";"accretion dilution",#N/A,TRUE,"Merger";"comparison credit stats",#N/A,TRUE,"Merger";"pf credit stats",#N/A,TRUE,"Merger";"pf sheets",#N/A,TRUE,"Merger"}</definedName>
    <definedName name="wrn.50.2" hidden="1">{"assumption 50 50",#N/A,TRUE,"Merger";"has gets cash",#N/A,TRUE,"Merger";"accretion dilution",#N/A,TRUE,"Merger";"comparison credit stats",#N/A,TRUE,"Merger";"pf credit stats",#N/A,TRUE,"Merger";"pf sheets",#N/A,TRUE,"Merger"}</definedName>
    <definedName name="wrn.50_.501" hidden="1">{"assumption 50 50",#N/A,TRUE,"Merger";"has gets cash",#N/A,TRUE,"Merger";"accretion dilution",#N/A,TRUE,"Merger";"comparison credit stats",#N/A,TRUE,"Merger";"pf credit stats",#N/A,TRUE,"Merger";"pf sheets",#N/A,TRUE,"Merger"}</definedName>
    <definedName name="wrn.Accretion." hidden="1">{"Accretion",#N/A,FALSE,"Assum"}</definedName>
    <definedName name="wrn.Aging._.and._.Trend._.Analysis." hidden="1">{#N/A,#N/A,FALSE,"Aging Summary";#N/A,#N/A,FALSE,"Ratio Analysis";#N/A,#N/A,FALSE,"Test 120 Day Accts";#N/A,#N/A,FALSE,"Tickmarks"}</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L." hidden="1">{"CS",#N/A,FALSE,"STATS";"Inc",#N/A,FALSE,"PLAN";"CASH F",#N/A,FALSE,"PLAN";"Bal S",#N/A,FALSE,"BALANCE SHEET";"Subs",#N/A,FALSE,"PLAN";"Dep",#N/A,FALSE,"PLAN";"Debt",#N/A,FALSE,"PLAN";"Sales",#N/A,FALSE,"PLAN";"FA",#N/A,FALSE,"PLAN";"Rev",#N/A,FALSE,"PLAN";"Exp",#N/A,FALSE,"PLAN"}</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costsl1" hidden="1">{"Help Desk",#N/A,FALSE,"Total Costs";"Server Management",#N/A,FALSE,"Total Costs";"Application Management",#N/A,FALSE,"Total Costs"}</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Reports." hidden="1">{"BS",#N/A,FALSE,"NGC";"PL",#N/A,FALSE,"NGC";"CF",#N/A,FALSE,"NGC"}</definedName>
    <definedName name="wrn.All._.Total._.Costsl." hidden="1">{"Help Desk",#N/A,FALSE,"Total Costs";"Server Management",#N/A,FALSE,"Total Costs";"Application Management",#N/A,FALSE,"Total Costs"}</definedName>
    <definedName name="wrn.all._.Total._Costsl2." hidden="1">{"Help Desk",#N/A,FALSE,"Total Costs";"Server Management",#N/A,FALSE,"Total Costs";"Application Management",#N/A,FALSE,"Total Costs"}</definedName>
    <definedName name="wrn.All._.Up." hidden="1">{"All Up",#N/A,FALSE,"Feedstock"}</definedName>
    <definedName name="wrn.All._.Worksheets."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NADARKO." hidden="1">{"Table1",#N/A,FALSE,"ANADARKO";"Table2",#N/A,FALSE,"ANADARKO";"Table3",#N/A,FALSE,"ANADARKO";"Table3c",#N/A,FALSE,"ANADARKO";"Table3c2",#N/A,FALSE,"ANADARKO";"Table5",#N/A,FALSE,"ANADARKO"}</definedName>
    <definedName name="wrn.Application._.Management._.Total._.Costs." hidden="1">{"Application Management",#N/A,FALSE,"Total Costs"}</definedName>
    <definedName name="wrn.Assumptions." hidden="1">{"Assumptions",#N/A,FALSE,"Assum"}</definedName>
    <definedName name="wrn.away." hidden="1">{"away stand alones",#N/A,FALSE,"Target"}</definedName>
    <definedName name="wrn.BidCo." hidden="1">{#N/A,#N/A,FALSE,"BidCo Assumptions";#N/A,#N/A,FALSE,"Credit Stats";#N/A,#N/A,FALSE,"Bidco Summary";#N/A,#N/A,FALSE,"BIDCO Consolidated"}</definedName>
    <definedName name="wrn.brian." hidden="1">{#N/A,#N/A,FALSE,"output";#N/A,#N/A,FALSE,"contrib";#N/A,#N/A,FALSE,"profile";#N/A,#N/A,FALSE,"comps"}</definedName>
    <definedName name="wrn.Budget." hidden="1">{"Budget",#N/A,FALSE,"Summary"}</definedName>
    <definedName name="wrn.Buildups." hidden="1">{"ACQ",#N/A,FALSE,"ACQUISITIONS";"ACQF",#N/A,FALSE,"ACQUISITIONS";"PF",#N/A,FALSE,"PROYECTOVILA";"PV",#N/A,FALSE,"PROYECTOVILA";"Fee Dev",#N/A,FALSE,"DEVELOPMENT GROWTH";"gd",#N/A,FALSE,"DEVELOPMENT GROWTH"}</definedName>
    <definedName name="wrn.CAG." hidden="1">{#N/A,#N/A,FALSE,"CAG"}</definedName>
    <definedName name="wrn.cash." hidden="1">{"assumption cash",#N/A,TRUE,"Merger";"has gets cash",#N/A,TRUE,"Merger";"accretion dilution",#N/A,TRUE,"Merger";"comparison credit stats",#N/A,TRUE,"Merger";"pf credit stats",#N/A,TRUE,"Merger";"pf sheets",#N/A,TRUE,"Merger"}</definedName>
    <definedName name="wrn.Compco._.Only." hidden="1">{"vi1",#N/A,FALSE,"6_30_96";"vi2",#N/A,FALSE,"6_30_96";"vi3",#N/A,FALSE,"6_30_96"}</definedName>
    <definedName name="wrn.comps." hidden="1">{"comps",#N/A,FALSE,"comps";"notes",#N/A,FALSE,"comps"}</definedName>
    <definedName name="wrn.cooper." hidden="1">{#N/A,#N/A,TRUE,"Pro Forma";#N/A,#N/A,TRUE,"PF_Bal";#N/A,#N/A,TRUE,"PF_INC";#N/A,#N/A,TRUE,"CBE";#N/A,#N/A,TRUE,"SWK"}</definedName>
    <definedName name="wrn.CPB." hidden="1">{#N/A,#N/A,FALSE,"CPB"}</definedName>
    <definedName name="wrn.Credit._.Summary." hidden="1">{#N/A,#N/A,FALSE,"Credit Summary"}</definedName>
    <definedName name="wrn.DCF._.Valuation." hidden="1">{"value box",#N/A,TRUE,"DPL Inc. Fin Statements";"unlevered free cash flows",#N/A,TRUE,"DPL Inc. Fin Statements"}</definedName>
    <definedName name="wrn.Detailed._.Report." hidden="1">{"fullreport",#N/A,FALSE,"DetailRpt"}</definedName>
    <definedName name="wrn.DevRptMatz." hidden="1">{"DevSumm-Matz",#N/A,FALSE,"DevSumm-Matz";"DevSumm-Matz,2",#N/A,FALSE,"DevSumm-Matz";"DevSumm-Matz,3",#N/A,FALSE,"DevSumm-Matz"}</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quity._.comps." hidden="1">{"equity comps",#N/A,FALSE,"CS Comps";"equity comps",#N/A,FALSE,"PS Comps";"equity comps",#N/A,FALSE,"GIC_Comps";"equity comps",#N/A,FALSE,"GIC2_Comps"}</definedName>
    <definedName name="wrn.FCB." hidden="1">{"FCB_ALL",#N/A,FALSE,"FCB"}</definedName>
    <definedName name="wrn.fcb._dcf" hidden="1">{"FCB_ALL",#N/A,FALSE,"FCB"}</definedName>
    <definedName name="wrn.fcb2" hidden="1">{"FCB_ALL",#N/A,FALSE,"FCB"}</definedName>
    <definedName name="wrn.fcb2_dcf" hidden="1">{"FCB_ALL",#N/A,FALSE,"FCB"}</definedName>
    <definedName name="wrn.Feedstock." hidden="1">{"Feedstock",#N/A,FALSE,"Feedstock"}</definedName>
    <definedName name="wrn.Financials." hidden="1">{#N/A,#N/A,TRUE,"Income Statement";#N/A,#N/A,TRUE,"Balance Sheet";#N/A,#N/A,TRUE,"Cash Flow"}</definedName>
    <definedName name="wrn.Financials_long." hidden="1">{"IS",#N/A,FALSE,"Financials2 (Expanded)";"bsa",#N/A,FALSE,"Financials2 (Expanded)";"BS",#N/A,FALSE,"Financials2 (Expanded)";"CF",#N/A,FALSE,"Financials2 (Expanded)"}</definedName>
    <definedName name="wrn.FREELANCER." hidden="1">{#N/A,#N/A,FALSE,"712";#N/A,#N/A,FALSE,"_718";#N/A,#N/A,FALSE,"724";#N/A,#N/A,FALSE,"_751";#N/A,#N/A,FALSE,"_752";#N/A,#N/A,FALSE,"753";#N/A,#N/A,FALSE,"754";#N/A,#N/A,FALSE,"758";#N/A,#N/A,FALSE,"_761";#N/A,#N/A,FALSE,"_769"}</definedName>
    <definedName name="wrn.Friendly." hidden="1">{#N/A,#N/A,TRUE,"Julio";#N/A,#N/A,TRUE,"Agosto";#N/A,#N/A,TRUE,"BHCo";#N/A,#N/A,TRUE,"Abril";#N/A,#N/A,TRUE,"Pro Forma"}</definedName>
    <definedName name="wrn.full." hidden="1">{"vi1",#N/A,FALSE,"Pagcc";"vi2",#N/A,FALSE,"Pagcc";"vi3",#N/A,FALSE,"Pagcc";"vi4",#N/A,FALSE,"Pagcc";"vi5",#N/A,FALSE,"Pagcc";#N/A,#N/A,FALSE,"Contribution"}</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Pack." hidden="1">{#N/A,#N/A,FALSE,"Summary";#N/A,#N/A,FALSE,"Assumptions";#N/A,#N/A,FALSE,"Scenarios";#N/A,#N/A,FALSE,"LBE (Base)";#N/A,#N/A,FALSE,"Scen A";#N/A,#N/A,FALSE,"Scen B";"Debt Paydown Scenario",#N/A,FALSE,"Cash in Bank";#N/A,#N/A,FALSE,"Debt&amp;Equity Rec"}</definedName>
    <definedName name="wrn.full._.report." hidden="1">{"Header",#N/A,FALSE,"Assumptions";"Header",#N/A,FALSE,"Summary";"Header",#N/A,FALSE,"Credit Stats";"Header",#N/A,FALSE,"Pro Forma BS";"Header",#N/A,FALSE,"Pro Forma Financials";"Header",#N/A,FALSE,"Consol Balance Sheet";"Header",#N/A,FALSE,"Consol Income Statement";"Header",#N/A,FALSE,"Consol Cash Flow";"Header",#N/A,FALSE,"IRR-EBITDA"}</definedName>
    <definedName name="wrn.GIS." hidden="1">{#N/A,#N/A,FALSE,"GIS"}</definedName>
    <definedName name="wrn.Help._.Desk._.Total._.Costs." hidden="1">{"Help Desk",#N/A,FALSE,"Total Costs"}</definedName>
    <definedName name="wrn.HNZ." hidden="1">{#N/A,#N/A,FALSE,"HNZ"}</definedName>
    <definedName name="wrn.INDEPS." hidden="1">{"page1",#N/A,FALSE,"TIND_CC1";"page2",#N/A,FALSE,"TIND_CC1";"page3",#N/A,FALSE,"TIND_CC1";"page4",#N/A,FALSE,"TIND_CC1";"page5",#N/A,FALSE,"TIND_CC1"}</definedName>
    <definedName name="wrn.K." hidden="1">{#N/A,#N/A,FALSE,"K"}</definedName>
    <definedName name="wrn.Mason._.Deliverables." hidden="1">{#N/A,#N/A,FALSE,"Data &amp; Key Results";#N/A,#N/A,FALSE,"Summary Template";#N/A,#N/A,FALSE,"Budget";#N/A,#N/A,FALSE,"Present Value Comparison";#N/A,#N/A,FALSE,"Cashflow";#N/A,#N/A,FALSE,"Income";#N/A,#N/A,FALSE,"Inputs"}</definedName>
    <definedName name="wrn.MCCRK." hidden="1">{#N/A,#N/A,FALSE,"MCCRK"}</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onthly._.no._.Notes." hidden="1">{"Without Notes",#N/A,FALSE,"23 Mo Forecast"}</definedName>
    <definedName name="wrn.Monthly._.with._.Notes." hidden="1">{"With Notes",#N/A,FALSE,"23 Mo Forecast"}</definedName>
    <definedName name="wrn.NA." hidden="1">{#N/A,#N/A,FALSE,"NA"}</definedName>
    <definedName name="wrn.new." hidden="1">{#N/A,#N/A,FALSE,"Impl";#N/A,#N/A,FALSE,"sum";#N/A,#N/A,FALSE,"cat";#N/A,#N/A,FALSE,"cum";#N/A,#N/A,FALSE,"varity";#N/A,#N/A,FALSE,"ddc";#N/A,#N/A,FALSE,"man";#N/A,#N/A,FALSE,"metra";#N/A,#N/A,FALSE,"volvo"}</definedName>
    <definedName name="wrn.Paging._.Compco." hidden="1">{"financials",#N/A,TRUE,"6_30_96";"footnotes",#N/A,TRUE,"6_30_96";"valuation",#N/A,TRUE,"6_30_96"}</definedName>
    <definedName name="wrn.perimeter._.comp." hidden="1">{#N/A,#N/A,TRUE,"comp";#N/A,#N/A,TRUE,"notes"}</definedName>
    <definedName name="wrn.Pianocomp." hidden="1">{"page_1",#N/A,TRUE,"Sheet1";"page_2",#N/A,TRUE,"Sheet1";"page_notes",#N/A,TRUE,"Sheet1"}</definedName>
    <definedName name="wrn.print." hidden="1">{"ass",#N/A,FALSE,"Assumptions";#N/A,#N/A,FALSE,"Merg";"sens",#N/A,FALSE,"Assumptions";#N/A,#N/A,FALSE,"Bach";#N/A,#N/A,FALSE,"Kent";#N/A,#N/A,FALSE,"Bell"}</definedName>
    <definedName name="wrn.print._.graphs." hidden="1">{"cap_structure",#N/A,FALSE,"Graph-Mkt Cap";"price",#N/A,FALSE,"Graph-Price";"ebit",#N/A,FALSE,"Graph-EBITDA";"ebitda",#N/A,FALSE,"Graph-EBITDA"}</definedName>
    <definedName name="wrn.print._.raw._.data._.entry." hidden="1">{"inputs raw data",#N/A,TRUE,"INPUT"}</definedName>
    <definedName name="wrn.print._.summary._.sheets." hidden="1">{"summary1",#N/A,TRUE,"Comps";"summary2",#N/A,TRUE,"Comps";"summary3",#N/A,TRUE,"Comps"}</definedName>
    <definedName name="wrn.print._.summary._.sheets.2" hidden="1">{"summary1",#N/A,TRUE,"Comps";"summary2",#N/A,TRUE,"Comps";"summary3",#N/A,TRUE,"Comps"}</definedName>
    <definedName name="wrn.Print._.the._.lot." hidden="1">{"First Page",#N/A,FALSE,"Surfactants LBO";"Second Page",#N/A,FALSE,"Surfactants LBO"}</definedName>
    <definedName name="wrn.Print_Buyer." hidden="1">{#N/A,"DR",FALSE,"increm pf";#N/A,"MAMSI",FALSE,"increm pf";#N/A,"MAXI",FALSE,"increm pf";#N/A,"PCAM",FALSE,"increm pf";#N/A,"PHSV",FALSE,"increm pf";#N/A,"SIE",FALSE,"increm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All." hidden="1">{"PA1",#N/A,TRUE,"BORDMW";"pa2",#N/A,TRUE,"BORDMW";"PA3",#N/A,TRUE,"BORDMW";"PA4",#N/A,TRUE,"BORDMW"}</definedName>
    <definedName name="wrn.Printing._.Report."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Report1." hidden="1">{#N/A,#N/A,FALSE,"Operations";#N/A,#N/A,FALSE,"Financials"}</definedName>
    <definedName name="wrn.sales." hidden="1">{"sales",#N/A,FALSE,"Sales";"sales existing",#N/A,FALSE,"Sales";"sales rd1",#N/A,FALSE,"Sales";"sales rd2",#N/A,FALSE,"Sales"}</definedName>
    <definedName name="wrn.Scenarios." hidden="1">{#N/A,"ICF Downside",FALSE,"Inputs";#N/A,"High Inflation",FALSE,"Inputs"}</definedName>
    <definedName name="wrn.sens." hidden="1">{#N/A,#N/A,FALSE,"Sensitivities";#N/A,#N/A,FALSE,"Sensitivities2"}</definedName>
    <definedName name="wrn.sensitivity._.analyses." hidden="1">{"general",#N/A,FALSE,"Assumptions"}</definedName>
    <definedName name="wrn.Server._.Management._.Total._.Costs." hidden="1">{"Server Management",#N/A,FALSE,"Total Costs"}</definedName>
    <definedName name="wrn.SHORT." hidden="1">{"CREDIT STATISTICS",#N/A,FALSE,"STATS";"CF_AND_IS",#N/A,FALSE,"PLAN";"BALSHEET",#N/A,FALSE,"BALANCE SHEET"}</definedName>
    <definedName name="wrn.stand_alone." hidden="1">{#N/A,#N/A,FALSE,"CBE";#N/A,#N/A,FALSE,"SWK"}</definedName>
    <definedName name="wrn.STAND_ALONE_BOTH." hidden="1">{"FCB_ALL",#N/A,FALSE,"FCB";"GREY_ALL",#N/A,FALSE,"GREY"}</definedName>
    <definedName name="wrn.Stand_alone_both._dcf" hidden="1">{"FCB_ALL",#N/A,FALSE,"FCB";"GREY_ALL",#N/A,FALSE,"GREY"}</definedName>
    <definedName name="wrn.Summary." hidden="1">{#N/A,#N/A,FALSE,"Summary3";#N/A,#N/A,FALSE,"Summary1";#N/A,#N/A,FALSE,"Summary2";#N/A,#N/A,FALSE,"Sensitivities1";#N/A,#N/A,FALSE,"Sensitivities2"}</definedName>
    <definedName name="wrn.Summary._.Report." hidden="1">{"summaryall",#N/A,FALSE,"SumryRpt"}</definedName>
    <definedName name="wrn.Thomas_Case." hidden="1">{#N/A,#N/A,TRUE,"Thomas Case";#N/A,#N/A,TRUE,"Corporate Overhead";#N/A,#N/A,TRUE,"Arizona";#N/A,#N/A,TRUE,"Cal";#N/A,#N/A,TRUE,"Illinois";#N/A,#N/A,TRUE,"Indiana";#N/A,#N/A,TRUE,"Ohio";#N/A,#N/A,TRUE,"Pennsylvania";#N/A,#N/A,TRUE,"Growth";#N/A,#N/A,TRUE,"Anthem";#N/A,#N/A,TRUE,"Pipeline"}</definedName>
    <definedName name="wrn.TotalBud." hidden="1">{"SumBud",#N/A,FALSE,"Summary";"IEMBud",#N/A,FALSE,"IE&amp;M";"GenBud",#N/A,FALSE,"Gen";"ETBud",#N/A,FALSE,"ET";"IPBud",#N/A,FALSE,"Interstate Pipeline";"NEGBud",#N/A,FALSE,"NEG";"MerchBud",#N/A,FALSE,"Merch";#N/A,#N/A,FALSE,"LT Cont (2)";#N/A,#N/A,FALSE,"Mgmt"}</definedName>
    <definedName name="wrn.totalcomp." hidden="1">{"comp1",#N/A,FALSE,"COMPS";"footnotes",#N/A,FALSE,"COMPS"}</definedName>
    <definedName name="wrn.Trading._.Summary." hidden="1">{#N/A,#N/A,FALSE,"Trading Summary"}</definedName>
    <definedName name="wrn.trans._.sum." hidden="1">{"trans assumptions",#N/A,FALSE,"Merger";"trans accretion",#N/A,FALSE,"Merger"}</definedName>
    <definedName name="wrn.up." hidden="1">{"up stand alones",#N/A,FALSE,"Acquiror"}</definedName>
    <definedName name="wrn.Wacc." hidden="1">{"Area1",#N/A,FALSE,"OREWACC";"Area2",#N/A,FALSE,"OREWACC"}</definedName>
    <definedName name="wrn.wpoall." hidden="1">{"wpocash",#N/A,FALSE,"WPOALLT";"wpoinc",#N/A,FALSE,"WPOALLT";"wpobroad",#N/A,FALSE,"WPOALLT";"wpocable",#N/A,FALSE,"WPOALLT";"wpoexcl",#N/A,FALSE,"WPOALLT";"wponwsweek",#N/A,FALSE,"WPOALLT";"wpopost",#N/A,FALSE,"WPOALLT"}</definedName>
    <definedName name="wrn.WWY." hidden="1">{#N/A,#N/A,FALSE,"WWY"}</definedName>
    <definedName name="WRN2.Document" hidden="1">{"consolidated",#N/A,FALSE,"Sheet1";"cms",#N/A,FALSE,"Sheet1";"fse",#N/A,FALSE,"Sheet1"}</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w"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x" hidden="1">{#N/A,#N/A,FALSE,"Aging Summary";#N/A,#N/A,FALSE,"Ratio Analysis";#N/A,#N/A,FALSE,"Test 120 Day Accts";#N/A,#N/A,FALSE,"Tickmarks"}</definedName>
    <definedName name="Z_1274F59B_7521_45EF_A600_7E27F1CE7ABF_.wvu.PrintArea" localSheetId="13" hidden="1">'II-E-3.6'!$A$10:$F$106</definedName>
    <definedName name="Z_1274F59B_7521_45EF_A600_7E27F1CE7ABF_.wvu.PrintTitles" localSheetId="13" hidden="1">'II-E-3.6'!$10:$12</definedName>
    <definedName name="Z_2891AF67_639B_11D2_AA4E_AB73DC59AB4D_.wvu.PrintArea" hidden="1">#REF!</definedName>
    <definedName name="Z_2891AF68_639B_11D2_AA4E_AB73DC59AB4D_.wvu.PrintArea" hidden="1">#REF!</definedName>
    <definedName name="Z_D5258982_C814_11D7_9311_00065B14ACBA_.wvu.FilterData" hidden="1">#REF!</definedName>
    <definedName name="Z_D5258982_C814_11D7_9311_00065B14ACBA_.wvu.PrintArea" hidden="1">#REF!</definedName>
    <definedName name="Z_D5258982_C814_11D7_9311_00065B14ACBA_.wvu.PrintTitles" hidden="1">#REF!,#REF!</definedName>
  </definedNames>
  <calcPr calcId="152511"/>
</workbook>
</file>

<file path=xl/calcChain.xml><?xml version="1.0" encoding="utf-8"?>
<calcChain xmlns="http://schemas.openxmlformats.org/spreadsheetml/2006/main">
  <c r="Q101" i="138" l="1"/>
</calcChain>
</file>

<file path=xl/sharedStrings.xml><?xml version="1.0" encoding="utf-8"?>
<sst xmlns="http://schemas.openxmlformats.org/spreadsheetml/2006/main" count="4437" uniqueCount="1297">
  <si>
    <t>Office Furniture</t>
  </si>
  <si>
    <t>Also, TARS tracked the reversals of timing differences normalized at a different rate than the current corporate income tax rate.  When a vintaged timing difference began to reverse, TARS associated the reversal on a pro-rata basis (based on original deferrals) to timing differences normalized at 52%, 48%, 46%, 39.95%, 34% and those previously flowed through.  For timing differences required to be normalized by the IRC, this method is consistent with Section 203(e) of the Tax Reform Act of 1986, that requires reversals of excess DFIT be based on the Average Rate Assumption Method, if vintaged DFIT tax records are maintained.</t>
  </si>
  <si>
    <t xml:space="preserve">  Investment tax credit amortization</t>
  </si>
  <si>
    <t>Reductions in federal operating income taxes resulting from:</t>
  </si>
  <si>
    <t>Distribution of operating income tax expense</t>
  </si>
  <si>
    <t xml:space="preserve">  Current federal income taxes - operating</t>
  </si>
  <si>
    <t xml:space="preserve">    Total</t>
  </si>
  <si>
    <t xml:space="preserve">  Deferred federal income taxes - operating</t>
  </si>
  <si>
    <t>Regulatory Asset for Employee Benefit</t>
  </si>
  <si>
    <t>Current Year Amortization of Investment Tax Credits</t>
  </si>
  <si>
    <t>Prior Years Amortization of Investment Tax Credits</t>
  </si>
  <si>
    <t xml:space="preserve">No post test year adjustments for plant in service were included in the RFP.  </t>
  </si>
  <si>
    <t>Oncor Electric Delivery has included no Nonrecurring or</t>
  </si>
  <si>
    <t>PAYXAG</t>
  </si>
  <si>
    <t>Vintage:</t>
  </si>
  <si>
    <t>Total ADFIT</t>
  </si>
  <si>
    <t>Temporary Difference:</t>
  </si>
  <si>
    <t>AFUDC</t>
  </si>
  <si>
    <t>Mixed Service Cost</t>
  </si>
  <si>
    <t xml:space="preserve">Oncor Electric Delivery Company LLC has not generated any new investment tax credits.  </t>
  </si>
  <si>
    <t xml:space="preserve">Oncor Electric Delivery Company LLC is not a member of a consolidated federal </t>
  </si>
  <si>
    <t xml:space="preserve">income tax return.  Consequently, this schedule is not applicable.  Please see the </t>
  </si>
  <si>
    <t xml:space="preserve">The protected excess deferreds were not transitioned to FMP during 2005 and therefore were tracked using ACUFILE through 2007.  </t>
  </si>
  <si>
    <t>Gross Investment Tax Credits</t>
  </si>
  <si>
    <t>Net Investment Tax Credit Balance</t>
  </si>
  <si>
    <t>Reg Asset Costs – AMS Meters</t>
  </si>
  <si>
    <t>Bad Debts</t>
  </si>
  <si>
    <t>Gain/(Loss) on Disposition of Assets</t>
  </si>
  <si>
    <t>AFUDC Debt</t>
  </si>
  <si>
    <t>CIAC</t>
  </si>
  <si>
    <t>Difference</t>
  </si>
  <si>
    <t>All investment tax credits have been utilized on prior federal income tax returns.</t>
  </si>
  <si>
    <t>1146 Explorer St</t>
  </si>
  <si>
    <t>Item No.</t>
  </si>
  <si>
    <t>Year</t>
  </si>
  <si>
    <t>Election</t>
  </si>
  <si>
    <t>Prior Period Adjustments</t>
  </si>
  <si>
    <t>Investment Tax Credit</t>
  </si>
  <si>
    <t>Less: credits</t>
  </si>
  <si>
    <t>Federal Income Tax after credits</t>
  </si>
  <si>
    <t>Investment Tax Credit Adjustments</t>
  </si>
  <si>
    <t>difference</t>
  </si>
  <si>
    <t>Timing Difference</t>
  </si>
  <si>
    <t>Gross ITC - Subject to Amortization</t>
  </si>
  <si>
    <t>Accumulated Deferred ITC - Amortization</t>
  </si>
  <si>
    <t>Additional</t>
  </si>
  <si>
    <t>Components</t>
  </si>
  <si>
    <t>to</t>
  </si>
  <si>
    <t>Protected excess deferred taxes:</t>
  </si>
  <si>
    <t xml:space="preserve">          Total protected excess deferred taxes</t>
  </si>
  <si>
    <t>Beginning Book Plant Balance</t>
  </si>
  <si>
    <t>Line No</t>
  </si>
  <si>
    <t>Texas Gross Margin Tax</t>
  </si>
  <si>
    <t>Witness</t>
  </si>
  <si>
    <t>II-E-3.1</t>
  </si>
  <si>
    <t>II-E-3.15</t>
  </si>
  <si>
    <t>II-E-3.16</t>
  </si>
  <si>
    <t>Notes:</t>
  </si>
  <si>
    <t>Adjusted Test Year</t>
  </si>
  <si>
    <t>Deferred Only Items:</t>
  </si>
  <si>
    <t>Employee Compensation Plans</t>
  </si>
  <si>
    <t>FF #</t>
  </si>
  <si>
    <t>Non-Regulated/</t>
  </si>
  <si>
    <t>Method</t>
  </si>
  <si>
    <t xml:space="preserve">  Less:  Amortization</t>
  </si>
  <si>
    <t>Item Deferred</t>
  </si>
  <si>
    <t>Regulated</t>
  </si>
  <si>
    <t>Adjusted</t>
  </si>
  <si>
    <t>T&amp;D</t>
  </si>
  <si>
    <t>Description</t>
  </si>
  <si>
    <t>Distribution</t>
  </si>
  <si>
    <t>Reference</t>
  </si>
  <si>
    <t xml:space="preserve"> </t>
  </si>
  <si>
    <t>Schedule</t>
  </si>
  <si>
    <t>Account</t>
  </si>
  <si>
    <t>Functionalization</t>
  </si>
  <si>
    <t xml:space="preserve">Total </t>
  </si>
  <si>
    <t>Non-Regulated or</t>
  </si>
  <si>
    <t>Total</t>
  </si>
  <si>
    <t>FF</t>
  </si>
  <si>
    <t>Factor</t>
  </si>
  <si>
    <t>Company</t>
  </si>
  <si>
    <t xml:space="preserve"> Non-Electric</t>
  </si>
  <si>
    <t>Electric</t>
  </si>
  <si>
    <t>Texas</t>
  </si>
  <si>
    <t>#</t>
  </si>
  <si>
    <t>Name</t>
  </si>
  <si>
    <t>A301</t>
  </si>
  <si>
    <t>Organization</t>
  </si>
  <si>
    <t>Subtotal</t>
  </si>
  <si>
    <t>A302</t>
  </si>
  <si>
    <t>A303</t>
  </si>
  <si>
    <t>Miscellaneous Intangible Plant</t>
  </si>
  <si>
    <t>Structures and Improvements</t>
  </si>
  <si>
    <t>A350</t>
  </si>
  <si>
    <t>Land and Land Rights</t>
  </si>
  <si>
    <t>A352</t>
  </si>
  <si>
    <t>A353</t>
  </si>
  <si>
    <t>Station Equipment</t>
  </si>
  <si>
    <t>A354</t>
  </si>
  <si>
    <t>Towers and Fixtures</t>
  </si>
  <si>
    <t>A355</t>
  </si>
  <si>
    <t>Poles and Fixtures</t>
  </si>
  <si>
    <t>A356</t>
  </si>
  <si>
    <t>O.H. Conductors &amp; Devices</t>
  </si>
  <si>
    <t>A357</t>
  </si>
  <si>
    <t>Undergound Conduit</t>
  </si>
  <si>
    <t>A358</t>
  </si>
  <si>
    <t>Underground Conductors</t>
  </si>
  <si>
    <t>A359</t>
  </si>
  <si>
    <t>Roads and Trails</t>
  </si>
  <si>
    <t>A360</t>
  </si>
  <si>
    <t>A361</t>
  </si>
  <si>
    <t>A362</t>
  </si>
  <si>
    <t>A363</t>
  </si>
  <si>
    <t>Storage Battery Equipment</t>
  </si>
  <si>
    <t>A364</t>
  </si>
  <si>
    <t>Poles,Towers &amp; Fixtures</t>
  </si>
  <si>
    <t>A365</t>
  </si>
  <si>
    <t>A366</t>
  </si>
  <si>
    <t>Underground Conduits</t>
  </si>
  <si>
    <t>A367</t>
  </si>
  <si>
    <t>U.G. Conductors &amp; Devices</t>
  </si>
  <si>
    <t>A368</t>
  </si>
  <si>
    <t>Line Transformers</t>
  </si>
  <si>
    <t>A369</t>
  </si>
  <si>
    <t>Services</t>
  </si>
  <si>
    <t>A370</t>
  </si>
  <si>
    <t>Meters</t>
  </si>
  <si>
    <t>A371</t>
  </si>
  <si>
    <t>Install. on Customer Prem.</t>
  </si>
  <si>
    <t>A372</t>
  </si>
  <si>
    <t>Leased Prop. on Cust. Premises</t>
  </si>
  <si>
    <t>Street Lights</t>
  </si>
  <si>
    <t>A390</t>
  </si>
  <si>
    <t>A391</t>
  </si>
  <si>
    <t>A392</t>
  </si>
  <si>
    <t>A393</t>
  </si>
  <si>
    <t>A394</t>
  </si>
  <si>
    <t>A395</t>
  </si>
  <si>
    <t>A396</t>
  </si>
  <si>
    <t>Power Operated Equipment</t>
  </si>
  <si>
    <t>A397</t>
  </si>
  <si>
    <t>A398</t>
  </si>
  <si>
    <t>A399</t>
  </si>
  <si>
    <t>Other</t>
  </si>
  <si>
    <t>Others</t>
  </si>
  <si>
    <t>No.</t>
  </si>
  <si>
    <t>(p)</t>
  </si>
  <si>
    <t>Total Payroll</t>
  </si>
  <si>
    <t>Net Income Before Taxes</t>
  </si>
  <si>
    <t>Permanent Items:</t>
  </si>
  <si>
    <t>Total Permanent Items</t>
  </si>
  <si>
    <t>Temporary Differences:</t>
  </si>
  <si>
    <t>Federal Taxable Income</t>
  </si>
  <si>
    <t>State Income Taxes</t>
  </si>
  <si>
    <t>Depreciation and Amortization Expense</t>
  </si>
  <si>
    <t>Transmission Plant</t>
  </si>
  <si>
    <t>A373</t>
  </si>
  <si>
    <t>General Plant</t>
  </si>
  <si>
    <t>Taxes Other than Income Taxes</t>
  </si>
  <si>
    <t>Payroll-Related</t>
  </si>
  <si>
    <t>FICA</t>
  </si>
  <si>
    <t>FUTA</t>
  </si>
  <si>
    <t>Property Related</t>
  </si>
  <si>
    <t>Federal Income Taxes</t>
  </si>
  <si>
    <t>Return on Rate Base</t>
  </si>
  <si>
    <t>Deductions:</t>
  </si>
  <si>
    <t>Additions:</t>
  </si>
  <si>
    <t>Taxable Component of Return</t>
  </si>
  <si>
    <t>Tax Factor</t>
  </si>
  <si>
    <t>Federal Income Taxes Before Adjust.</t>
  </si>
  <si>
    <t xml:space="preserve">  Misc.Other Expenses</t>
  </si>
  <si>
    <t>Misc.Items</t>
  </si>
  <si>
    <t xml:space="preserve">  Tax &gt; Book Depreciation</t>
  </si>
  <si>
    <t>Performance Incentive Plan</t>
  </si>
  <si>
    <t>Debt Recall Premium and Expense</t>
  </si>
  <si>
    <t>Pension Accrual / Funding Difference</t>
  </si>
  <si>
    <t>4264500</t>
  </si>
  <si>
    <t>4264600</t>
  </si>
  <si>
    <t>4265500</t>
  </si>
  <si>
    <t>4265501</t>
  </si>
  <si>
    <t>Other Deductions-Non Operating</t>
  </si>
  <si>
    <t>4092000</t>
  </si>
  <si>
    <t>4092100</t>
  </si>
  <si>
    <t>4102000</t>
  </si>
  <si>
    <t>4112000</t>
  </si>
  <si>
    <t>Total Non-Operating Income Taxes</t>
  </si>
  <si>
    <t>Eliminations</t>
  </si>
  <si>
    <t>Vacation Pay Accrual</t>
  </si>
  <si>
    <t>IBNR Medical Dental</t>
  </si>
  <si>
    <t>Protected Excess Deferred Taxes</t>
  </si>
  <si>
    <t>Tax Class</t>
  </si>
  <si>
    <t>Rate</t>
  </si>
  <si>
    <t>Convention</t>
  </si>
  <si>
    <t>Total Adjustments</t>
  </si>
  <si>
    <t>Interest On Customer Deposits</t>
  </si>
  <si>
    <t>TOTAL OTHER EXPENSES EXCLUDING FIT</t>
  </si>
  <si>
    <t>Non-Electric Revenue</t>
  </si>
  <si>
    <t>A454</t>
  </si>
  <si>
    <t>A450</t>
  </si>
  <si>
    <t>A451</t>
  </si>
  <si>
    <t>A456</t>
  </si>
  <si>
    <t>MET</t>
  </si>
  <si>
    <t>Intangible Plant</t>
  </si>
  <si>
    <t>Franchise and Consents</t>
  </si>
  <si>
    <t>Total Property</t>
  </si>
  <si>
    <t>Total Non-Revenue Related</t>
  </si>
  <si>
    <t>TRAN</t>
  </si>
  <si>
    <t>DIST</t>
  </si>
  <si>
    <t>Synchronized Interest</t>
  </si>
  <si>
    <t>Tax Credits</t>
  </si>
  <si>
    <t>ADD:</t>
  </si>
  <si>
    <t>Number</t>
  </si>
  <si>
    <t>A389.1</t>
  </si>
  <si>
    <t>Other Intangible Prop - Depletable</t>
  </si>
  <si>
    <t>Other Intangible Prop - Depr</t>
  </si>
  <si>
    <t>Misc Equip</t>
  </si>
  <si>
    <t>Communication equi</t>
  </si>
  <si>
    <t>Lab Equip</t>
  </si>
  <si>
    <t>Tools, Shop &amp; Garage Equip</t>
  </si>
  <si>
    <t>Store Equipment</t>
  </si>
  <si>
    <t>Transportation equipment</t>
  </si>
  <si>
    <t>A391 Office Furniture</t>
  </si>
  <si>
    <t>ITC Amortization</t>
  </si>
  <si>
    <t>TOTAL TAXES OTHER THAN INCOME TAXES</t>
  </si>
  <si>
    <t>TOTAL FEDERAL INCOME TAXES</t>
  </si>
  <si>
    <t>Other Revenues:</t>
  </si>
  <si>
    <t>TOTAL OTHER REVENUES</t>
  </si>
  <si>
    <t>TOTAL OTHER EXPENSES INCLUDING FIT</t>
  </si>
  <si>
    <t>Amount</t>
  </si>
  <si>
    <t>II-E-1</t>
  </si>
  <si>
    <t>II-E-3</t>
  </si>
  <si>
    <t>II-E-4</t>
  </si>
  <si>
    <t>II-E-1-2+4</t>
  </si>
  <si>
    <t>II-E-1-4</t>
  </si>
  <si>
    <t>II-E-5</t>
  </si>
  <si>
    <t>(a)</t>
  </si>
  <si>
    <t>(b)</t>
  </si>
  <si>
    <t>(c)</t>
  </si>
  <si>
    <t>(d)</t>
  </si>
  <si>
    <t>(e)</t>
  </si>
  <si>
    <t>(f)</t>
  </si>
  <si>
    <t>(g)</t>
  </si>
  <si>
    <t>(h)</t>
  </si>
  <si>
    <t>(i)</t>
  </si>
  <si>
    <t>(j)</t>
  </si>
  <si>
    <t>(k)</t>
  </si>
  <si>
    <t>(l)</t>
  </si>
  <si>
    <t>(m)</t>
  </si>
  <si>
    <t>(n)</t>
  </si>
  <si>
    <t>(o)</t>
  </si>
  <si>
    <t>Line</t>
  </si>
  <si>
    <t>Test Period</t>
  </si>
  <si>
    <t>Total Requested</t>
  </si>
  <si>
    <t>Deduct:</t>
  </si>
  <si>
    <t>Add:</t>
  </si>
  <si>
    <t>Total Federal Income Taxes</t>
  </si>
  <si>
    <t>Investment Tax Credits earned in test period</t>
  </si>
  <si>
    <t>Pro Forma Adjustments (if any)</t>
  </si>
  <si>
    <t>Less</t>
  </si>
  <si>
    <t>Total Amortization</t>
  </si>
  <si>
    <t>Test:</t>
  </si>
  <si>
    <t>Stripped Book Depreciation Rate requested</t>
  </si>
  <si>
    <t xml:space="preserve">   Gross Amortizable Base (exclude QPEs)</t>
  </si>
  <si>
    <t>Total Revenue Requirement</t>
  </si>
  <si>
    <t>Less Cost of Service items:</t>
  </si>
  <si>
    <t>Less Deductions not included in Cost of Service:</t>
  </si>
  <si>
    <t>Tax Rate</t>
  </si>
  <si>
    <t>Federal Income Taxes before credits</t>
  </si>
  <si>
    <t>Current Federal Income Taxes</t>
  </si>
  <si>
    <t>Total Deferred Federal Income Taxes**</t>
  </si>
  <si>
    <t>Total Requested Federal Income Taxes</t>
  </si>
  <si>
    <t>Test Period Amount Booked</t>
  </si>
  <si>
    <t>Amount Requested</t>
  </si>
  <si>
    <t>Basis</t>
  </si>
  <si>
    <t>Depreciation</t>
  </si>
  <si>
    <t xml:space="preserve">    XXXXXXX</t>
  </si>
  <si>
    <t xml:space="preserve">   XXXXXXX</t>
  </si>
  <si>
    <t>No</t>
  </si>
  <si>
    <t>Allocation</t>
  </si>
  <si>
    <t>(q)</t>
  </si>
  <si>
    <t xml:space="preserve">  Subtotal</t>
  </si>
  <si>
    <t>Under the terms of the Tax Sharing Agreement, Oncor Electric Delivery Company LLC records taxes as if it were a separate corporation even thought it files a partnership information tax return.  Oncor can utilize tax attributes, including net operating losses ("NOL" or "NOLs"), as applicable as if it filed a separate return with the Internal Revenue Service.  Any taxable loss can be carried back or forward to offset any taxable income in those years.  If Oncor should have a taxable loss it can be carried forward and a deferred tax asset would be set up since the company will be able to offset the carryforward loss against future taxable income.  The following entry is made when the deferred tax asset is set up:</t>
  </si>
  <si>
    <t>Forfeited Discounts</t>
  </si>
  <si>
    <t>Misc. Service Revenues - Other</t>
  </si>
  <si>
    <t>Other Electric Revenues</t>
  </si>
  <si>
    <t>SUTA</t>
  </si>
  <si>
    <t>Ad Valorem</t>
  </si>
  <si>
    <t>Docket</t>
  </si>
  <si>
    <t>Amortization</t>
  </si>
  <si>
    <t>TDCS</t>
  </si>
  <si>
    <t>(r)</t>
  </si>
  <si>
    <t>(s)</t>
  </si>
  <si>
    <t>Discretionary Revenue</t>
  </si>
  <si>
    <t>282</t>
  </si>
  <si>
    <t>283</t>
  </si>
  <si>
    <t>ADFIT</t>
  </si>
  <si>
    <t>Match to
Schedule</t>
  </si>
  <si>
    <t>Balance</t>
  </si>
  <si>
    <t>Adjust</t>
  </si>
  <si>
    <t>Liberalized Depreciation</t>
  </si>
  <si>
    <t>Extraordinary Expenses in this cost of service filing.</t>
  </si>
  <si>
    <t>Total Regulatory Commission Expense</t>
  </si>
  <si>
    <t>Consultant Expenses</t>
  </si>
  <si>
    <t>Accounting</t>
  </si>
  <si>
    <t>Engineering</t>
  </si>
  <si>
    <t>Legal</t>
  </si>
  <si>
    <t>Total Consultant Expenses</t>
  </si>
  <si>
    <t>Company Expenses</t>
  </si>
  <si>
    <t>Employee</t>
  </si>
  <si>
    <t>Total Company Expenses</t>
  </si>
  <si>
    <t>Intervenor Expenses</t>
  </si>
  <si>
    <t>Total Request</t>
  </si>
  <si>
    <t>Lobbying - Other-Non Operating</t>
  </si>
  <si>
    <t>Lobbying - PAC - Non Operating</t>
  </si>
  <si>
    <t>II-E-4.1</t>
  </si>
  <si>
    <t>Plant-in</t>
  </si>
  <si>
    <t>Non-Regulated</t>
  </si>
  <si>
    <t>Service</t>
  </si>
  <si>
    <t>Project</t>
  </si>
  <si>
    <t>or Non-Electric</t>
  </si>
  <si>
    <t>Factor Name</t>
  </si>
  <si>
    <t xml:space="preserve">Amount at </t>
  </si>
  <si>
    <t xml:space="preserve">No. </t>
  </si>
  <si>
    <t>Vintage year</t>
  </si>
  <si>
    <t>QPE's</t>
  </si>
  <si>
    <t>Test Year End</t>
  </si>
  <si>
    <t>ITC</t>
  </si>
  <si>
    <t xml:space="preserve">ITC </t>
  </si>
  <si>
    <t>QPE's Generated</t>
  </si>
  <si>
    <t>Other Generated</t>
  </si>
  <si>
    <t>ITC Generated</t>
  </si>
  <si>
    <t>Utilized</t>
  </si>
  <si>
    <t>Carryforward - Other</t>
  </si>
  <si>
    <t>Amortization of Regulatory Asset</t>
  </si>
  <si>
    <t>Cost of Removal</t>
  </si>
  <si>
    <t>Total Federal Deferred*</t>
  </si>
  <si>
    <t xml:space="preserve">    Prior Period Adjustments</t>
  </si>
  <si>
    <t>Rent from Property:</t>
  </si>
  <si>
    <t>Pole Contacts</t>
  </si>
  <si>
    <t>Fiber Optics</t>
  </si>
  <si>
    <t>Antenna Leases</t>
  </si>
  <si>
    <t>ROW and Miscellaneous</t>
  </si>
  <si>
    <t>DEPRECIATION &amp; AMORTIZATION II-E-1</t>
  </si>
  <si>
    <t>AMORTIZATION FROM SCHEDULE II-E-4.1</t>
  </si>
  <si>
    <t>TOTAL DEPRECIATION &amp; AMORTIZATION EXPENSE</t>
  </si>
  <si>
    <t>Total Other Deductions</t>
  </si>
  <si>
    <t>Current FIT - Other Income</t>
  </si>
  <si>
    <t>State - Income Taxes-Non Oper</t>
  </si>
  <si>
    <t>Def FIT - Other Income</t>
  </si>
  <si>
    <t>Def FIT - Non Operating Income</t>
  </si>
  <si>
    <t>Municipal Franchise Fees</t>
  </si>
  <si>
    <t>Non-Electric</t>
  </si>
  <si>
    <t>TOTAL</t>
  </si>
  <si>
    <t>TAXABLE OPERATING INCOME:</t>
  </si>
  <si>
    <t>Operating Income Per Books</t>
  </si>
  <si>
    <t>Funct.</t>
  </si>
  <si>
    <t>Book Depreciation</t>
  </si>
  <si>
    <t>Penalties</t>
  </si>
  <si>
    <t xml:space="preserve">(d) </t>
  </si>
  <si>
    <t>Supplemental Retirement Plan</t>
  </si>
  <si>
    <t>Capitalized Interest</t>
  </si>
  <si>
    <t>Software Development Costs</t>
  </si>
  <si>
    <t>Misc. Service Revenues - Discretionary</t>
  </si>
  <si>
    <t>Rate Case Expenses</t>
  </si>
  <si>
    <t>Tax Elections</t>
  </si>
  <si>
    <t>IRS Audit Status</t>
  </si>
  <si>
    <t>Private Letter Rulings</t>
  </si>
  <si>
    <t>Prepaid Insurance</t>
  </si>
  <si>
    <t>Casualty Losses</t>
  </si>
  <si>
    <t>Non-Regulated
Non-Electric</t>
  </si>
  <si>
    <t>Account Number</t>
  </si>
  <si>
    <t>Balance at Test Year End</t>
  </si>
  <si>
    <t>Schedule Reference</t>
  </si>
  <si>
    <t>Test Year
Amortization
As Adjusted</t>
  </si>
  <si>
    <t>Line
No.</t>
  </si>
  <si>
    <t>PLTSVC-N</t>
  </si>
  <si>
    <t>Direct Assigned</t>
  </si>
  <si>
    <t>Tax at statutory rate</t>
  </si>
  <si>
    <t>Reduction in federal income taxes resulting from</t>
  </si>
  <si>
    <t>differences and other adjustments</t>
  </si>
  <si>
    <t>Effective tax rate</t>
  </si>
  <si>
    <t>Total Company</t>
  </si>
  <si>
    <t>T&amp;D Electric</t>
  </si>
  <si>
    <t>Tax effect of total differences and other adjustments</t>
  </si>
  <si>
    <t>Amortization of Organizational Expenditures</t>
  </si>
  <si>
    <t>Deferred Revenue - AMS</t>
  </si>
  <si>
    <t>Regulatory Asset for Deferred Depreciation</t>
  </si>
  <si>
    <t>Underground Conduit</t>
  </si>
  <si>
    <t>MISC. OTHER EXPENES FROM SCHEDULE II-E-4</t>
  </si>
  <si>
    <t>Total Tax Depr Basis</t>
  </si>
  <si>
    <t>Poles, Towers &amp; Fixtures</t>
  </si>
  <si>
    <t>Communication Equipment</t>
  </si>
  <si>
    <t>II-B</t>
  </si>
  <si>
    <t>Depreciation Differences</t>
  </si>
  <si>
    <t xml:space="preserve">The Company, consistent with the election under section 46(f)(2) of the Internal Revenue Code, </t>
  </si>
  <si>
    <t>records the ratable flow through of the Investment Tax Credit as a reduction to the cost of service.</t>
  </si>
  <si>
    <t>Pre-tax operating income</t>
  </si>
  <si>
    <t>Total federal income tax expense - operating</t>
  </si>
  <si>
    <t>Known and</t>
  </si>
  <si>
    <t>Measurable</t>
  </si>
  <si>
    <t>Adjustments</t>
  </si>
  <si>
    <t>WP/II-E-3/2</t>
  </si>
  <si>
    <t>WP/II-E-3/1</t>
  </si>
  <si>
    <t>Intangible</t>
  </si>
  <si>
    <t>A165</t>
  </si>
  <si>
    <t>A926</t>
  </si>
  <si>
    <t>Direct Assignment</t>
  </si>
  <si>
    <t>Before 1970, the Company did not normalize income tax expense for book/tax timing differences except for rapid tax amortization on a portion of certain generating facilities.  The deferred income tax generated by this rapid tax amortization was fully reversed by the end of 1988.</t>
  </si>
  <si>
    <t>Deferred federal income taxes (DFIT) for 1970 and 1971 property additions were accrued for differences between sum-of-years digits and straight-line (SL) methods based on the same tax life.  For 1972 to 1977 vintages, Texas Electric Service Co (TESCO) and Texas Power &amp; Light (TP&amp;L) normalized only the difference between actual tax depreciation and tax SL depreciation based on the Asset Depreciation Range (ADR) median life.  Section 167(1) of the Internal Revenue Code (IRC) required this difference to be normalized before allowing a public utility to claim ADR accelerated tax depreciation.  For years 1972 to 1977, Dallas Power &amp; Light (DP&amp;L) accrued DFIT for the difference between actual accelerated tax depreciation and composite tax SL depreciation at 3.6%.</t>
  </si>
  <si>
    <t>The Commission granted full normalization for all timing difference to be effective as follows:</t>
  </si>
  <si>
    <t>The Economic Recovery Act of 1981 (IRC Section 168) requires that all differences between book and tax depreciation (except basis differences) be normalized for public utilities.  Since Accelerated Cost Recovery System retirements (net of salvage and prior depreciation) are currently deducted for taxable income, the Company began normalizing this timing difference in 1981.</t>
  </si>
  <si>
    <t>Other Taxes</t>
  </si>
  <si>
    <t>Rate Case Expenses - Total Request</t>
  </si>
  <si>
    <t>Meals &amp; Entertainment</t>
  </si>
  <si>
    <t>Social Club Dues</t>
  </si>
  <si>
    <t>ck to II-E-3</t>
  </si>
  <si>
    <t>Repair Expense</t>
  </si>
  <si>
    <t>Sec 481(a) Adjustment - Repair Expense</t>
  </si>
  <si>
    <t>LTIP Amortization</t>
  </si>
  <si>
    <t>Salary Deferral Plan</t>
  </si>
  <si>
    <t>Deferred Unbilled TCRF/EECRF Reg Liability</t>
  </si>
  <si>
    <t>Self Insurance Reserve</t>
  </si>
  <si>
    <t>Contra Debt Amortization - Oncor</t>
  </si>
  <si>
    <t>Regulatory Asset for Workers Compensation</t>
  </si>
  <si>
    <t>Total Temporary Items</t>
  </si>
  <si>
    <t>ck</t>
  </si>
  <si>
    <t>diff</t>
  </si>
  <si>
    <t>Basis**</t>
  </si>
  <si>
    <t>Taxable Income</t>
  </si>
  <si>
    <t>Deferred Income Taxes on Temporary Differences</t>
  </si>
  <si>
    <t>*   Excess of tax depreciation claimed in cost of service</t>
  </si>
  <si>
    <t>**  Must agree with deferred tax analysis</t>
  </si>
  <si>
    <t>Property</t>
  </si>
  <si>
    <t>Software Amortization</t>
  </si>
  <si>
    <t>Tax Depreciation - Bonus</t>
  </si>
  <si>
    <t>Self Constructed Assets (Mixed Service Costs)</t>
  </si>
  <si>
    <t>Provision for Self Insurance</t>
  </si>
  <si>
    <t>Deferred Revenue - AMS Fed</t>
  </si>
  <si>
    <t>Reg Asset Costs - AMS Meters</t>
  </si>
  <si>
    <t>Reg Asset - TCRF</t>
  </si>
  <si>
    <t>Reg Asset - Defaulted REPs</t>
  </si>
  <si>
    <t>Reg Asset Workers Comp</t>
  </si>
  <si>
    <t>Performance Enhancement Plan</t>
  </si>
  <si>
    <t>Rate Case Expense</t>
  </si>
  <si>
    <t>IBNR - Medical/PIPD</t>
  </si>
  <si>
    <t>OPEB FAS 106</t>
  </si>
  <si>
    <t>OPEB FAS 112</t>
  </si>
  <si>
    <t>Reg Liability - Energy Eff Program Cost</t>
  </si>
  <si>
    <t>Pension/OPEB - FAS109</t>
  </si>
  <si>
    <t>Explanation</t>
  </si>
  <si>
    <t>Remove tax grossup with offsetting regulatory asset</t>
  </si>
  <si>
    <t>Ck to II-E-3.5</t>
  </si>
  <si>
    <t>Amortization of Investment Tax Credits</t>
  </si>
  <si>
    <t>No additional depreciation is requested.</t>
  </si>
  <si>
    <t xml:space="preserve">PowerTax has been used to calculate tax depreciation and gain/loss since the 2008 Federal Income Tax Return.  PowerTax has also been used to calculate protected excess deferreds and reverse flow throughs since 2008.  </t>
  </si>
  <si>
    <r>
      <t>Debit:</t>
    </r>
    <r>
      <rPr>
        <sz val="10"/>
        <rFont val="Arial"/>
        <family val="2"/>
      </rPr>
      <t xml:space="preserve">  Current Federal Income Tax Expense</t>
    </r>
  </si>
  <si>
    <r>
      <t xml:space="preserve">     Credit:</t>
    </r>
    <r>
      <rPr>
        <sz val="10"/>
        <rFont val="Arial"/>
        <family val="2"/>
      </rPr>
      <t xml:space="preserve">  Current FIT Payable</t>
    </r>
  </si>
  <si>
    <r>
      <t>Debit:</t>
    </r>
    <r>
      <rPr>
        <sz val="10"/>
        <rFont val="Arial"/>
        <family val="2"/>
      </rPr>
      <t xml:space="preserve">  Deferred Tax Asset - Net Operating Loss</t>
    </r>
  </si>
  <si>
    <r>
      <t xml:space="preserve">     Credit: </t>
    </r>
    <r>
      <rPr>
        <sz val="10"/>
        <rFont val="Arial"/>
        <family val="2"/>
      </rPr>
      <t xml:space="preserve"> Deferred Federal Income Tax Expense</t>
    </r>
  </si>
  <si>
    <t>Ruling Number</t>
  </si>
  <si>
    <t>WP/II-E-3</t>
  </si>
  <si>
    <t>check</t>
  </si>
  <si>
    <t>A920</t>
  </si>
  <si>
    <t xml:space="preserve">Diff due to State </t>
  </si>
  <si>
    <t>calc</t>
  </si>
  <si>
    <t>Other:</t>
  </si>
  <si>
    <t>A925</t>
  </si>
  <si>
    <t>K&amp;M for offsetting Reg Assets</t>
  </si>
  <si>
    <t>Federal Benefit of State Deferred</t>
  </si>
  <si>
    <t>just make sure they tie</t>
  </si>
  <si>
    <t>Month</t>
  </si>
  <si>
    <t>July 1977</t>
  </si>
  <si>
    <t>Former Divisions</t>
  </si>
  <si>
    <t>TESCO</t>
  </si>
  <si>
    <t>DP&amp;L</t>
  </si>
  <si>
    <t>TP&amp;L</t>
  </si>
  <si>
    <t>January 1978</t>
  </si>
  <si>
    <t>August 1978</t>
  </si>
  <si>
    <t>Meals and Entertainment</t>
  </si>
  <si>
    <t>Deductible State Tax</t>
  </si>
  <si>
    <t>Current federal income taxes - operating</t>
  </si>
  <si>
    <t>Deferred federal income taxes - operating</t>
  </si>
  <si>
    <t>Investment tax credit amortization</t>
  </si>
  <si>
    <t>Line No.</t>
  </si>
  <si>
    <t>Tax Year</t>
  </si>
  <si>
    <t>Taxable Value of Plant Subject to Ad Valorem Tax</t>
  </si>
  <si>
    <t>Ad Valorem Tax Expense*</t>
  </si>
  <si>
    <t>Total Taxes Paid for Calendar Year**</t>
  </si>
  <si>
    <t>Effective Tax Rate</t>
  </si>
  <si>
    <t xml:space="preserve">1.  Test year Ad Valorem tax expense is shown on Schedule II-E-2, Line 11. </t>
  </si>
  <si>
    <t>2.  No penalties have been paid by the Company relating to ad valorem taxes.</t>
  </si>
  <si>
    <t>3.  All ad valorem taxes are expensed.  None is capitalized.</t>
  </si>
  <si>
    <t>4.  The Company does not pay property taxes on plant leased to others.</t>
  </si>
  <si>
    <t>Adjustment</t>
  </si>
  <si>
    <t>4250000</t>
  </si>
  <si>
    <t>4263000</t>
  </si>
  <si>
    <t>4264100</t>
  </si>
  <si>
    <t>Pac</t>
  </si>
  <si>
    <t>Accrued exit plan and impairme</t>
  </si>
  <si>
    <t>Amortization of Electric Plant Acquisition Adjustments - Andrews County Line</t>
  </si>
  <si>
    <t>A431</t>
  </si>
  <si>
    <t>Function</t>
  </si>
  <si>
    <t>AMS Solutions Cube Group LLC, Docket No. 35718, Project No. 34610</t>
  </si>
  <si>
    <t>2011 AMS reconciliation costs - Docket No. 39552</t>
  </si>
  <si>
    <t>2013 AMS reconciliation costs - Docket No. 41814</t>
  </si>
  <si>
    <t>Non-standard metering service (Docket No. 41890 one-time costs) (3)</t>
  </si>
  <si>
    <t>Balance at</t>
  </si>
  <si>
    <t>(t)</t>
  </si>
  <si>
    <t>(u)</t>
  </si>
  <si>
    <t>(v)</t>
  </si>
  <si>
    <t>(w)</t>
  </si>
  <si>
    <t>Non-Property</t>
  </si>
  <si>
    <t>Total Accumulated Deferred Taxes</t>
  </si>
  <si>
    <t>Remaining Life</t>
  </si>
  <si>
    <t>Account 190</t>
  </si>
  <si>
    <t>The difference will reverse when the liability for the incentive plan is paid.</t>
  </si>
  <si>
    <t>Account 282</t>
  </si>
  <si>
    <t>Account 283</t>
  </si>
  <si>
    <t xml:space="preserve">Measurable </t>
  </si>
  <si>
    <t xml:space="preserve">T&amp;D </t>
  </si>
  <si>
    <t>Pre-tax Income</t>
  </si>
  <si>
    <t>The difference will reverse as the assets are depreciated and/or retired for both book and tax.</t>
  </si>
  <si>
    <t>Replacement costs incurred in order to maintain facilities in an efficient operating condition are capitalized for book.  For tax, these expenditures may be deductible as repairs under the tangible property regulations.</t>
  </si>
  <si>
    <t>This balance will reverse as part of depreciation differences as the book capitalized expenditures are depreciated.</t>
  </si>
  <si>
    <t>For book, indirect service costs related to self-constructed assets are capitalized and depreciated over the life of the assets.  For tax, certain indirect service costs are currently deductible.</t>
  </si>
  <si>
    <t>This balance will reverse as part of depreciation differences as the indirect costs related to self-constructed assets are fully depreciated for book.</t>
  </si>
  <si>
    <t>For book, software development costs are capitalized and amortized.  For tax, the software development costs are expensed as incurred.</t>
  </si>
  <si>
    <t>The difference will reverse as intangible plant is depreciated for book.</t>
  </si>
  <si>
    <t>The difference will reverse as part of depreciation differences as the assets are depreciated or retired for tax.</t>
  </si>
  <si>
    <t xml:space="preserve">The difference will reverse as part of depreciation differences as the self constructed assets are depreciated for both book and tax. </t>
  </si>
  <si>
    <t>For book, prepaid insurance is deferred and amortized over the policy period.  For tax, the policy premiums are deductible when paid.</t>
  </si>
  <si>
    <t>The difference will reverse as the policy premiums are amortized.</t>
  </si>
  <si>
    <t>The difference will reverse as the revenue for AMS is collected.</t>
  </si>
  <si>
    <t>The difference will reverse as the regulatory asset is amortized.</t>
  </si>
  <si>
    <t>The difference will reverse as the deferred benefit expenses are amortized.</t>
  </si>
  <si>
    <t>For book, certain costs associated with the AMS deployment were capitalized and are amortized as the costs are recovered through the AMS surcharge.  For tax, the costs are deductible as incurred.</t>
  </si>
  <si>
    <t>The difference will reverse as the costs are amortized.</t>
  </si>
  <si>
    <t>The difference will reverse as the debt costs are amortized.</t>
  </si>
  <si>
    <t xml:space="preserve">The difference will reverse when the receivable is paid or is charged-off. </t>
  </si>
  <si>
    <t>The difference will reverse as the unbilled revenue increases/decreases.</t>
  </si>
  <si>
    <t>Schedule II-E-4.1</t>
  </si>
  <si>
    <t>For book, AFUDC is capitalized on self constructed assets.  The calculation is based on complex cost-of-funds calculation using the avoided cost method and the most recent embedded cost of long term debt. For Tax, interest is capitalized based on the rules of IRC Sec. 263A(f) for property it produces.</t>
  </si>
  <si>
    <t>Debt Recall Premium &amp; Expense
Contra-Debt Amortization</t>
  </si>
  <si>
    <t>A provision for uncollectible miscellaneous accounts receivable is expensed based on a periodic analysis of accounts receivable. For tax, the bad debt is deductible when charged-off.</t>
  </si>
  <si>
    <t>This balance represents the federal tax benefit of the deferred margin taxes related to the AMS Deferred Revenue regulatory asset.</t>
  </si>
  <si>
    <t>The balance will reverse as the carried over vacation is taken in the following year.</t>
  </si>
  <si>
    <t xml:space="preserve">For book , the incentive compensation plan is expensed and/or capitalized in the year the compensation is earned. For tax, it is deductible when it is paid. </t>
  </si>
  <si>
    <t>For book, increases/decreases in unbilled revenue are debited/credited to revenue with the offset to the regulatory liability. For tax, the unbilled revenue is taxable in the month it is earned.</t>
  </si>
  <si>
    <t>For book, the expected future costs for incurred but not reported self-insured medical, dental and prescription drug claims and personal injury and property damage claims are accrued. For tax, these costs are deductible when paid.</t>
  </si>
  <si>
    <t>The balance will reverse as the liability for estimated medical, dental and prescription drugs and personal injury and property damage claims is adjusted for charges after year-end, but for which services or damages were incurred by the company prior to year end.</t>
  </si>
  <si>
    <t>The balance will be fully reversed upon the final payment to the last surviving employee (or dependent) currently covered by this plan.</t>
  </si>
  <si>
    <t>For book, long-term incentive compensation ("LTIP") is expensed/capitalized over a designated three year period and then paid if certain performance measures are met. For tax, LTIP is deductible when paid.</t>
  </si>
  <si>
    <t>OPEB FAS 106
OPEB FAS 112</t>
  </si>
  <si>
    <t>This balance will reverse when the final payment is made to the last surviving employee in this plan for post employment health care benefits.</t>
  </si>
  <si>
    <t>The Company began to expense retirement benefits using the projected unit credit method in accordance with SFAS 87. Funding is determined using cash balance formula or the traditional defined benefit formula, depending on the hire date of all eligible employees, as allowed by the Employee Retirement Income Security Act of 1974. For tax purposes, a deduction is allowed as amounts are contributed to a qualified trust fund.</t>
  </si>
  <si>
    <t>The balance will reverse over the remaining life of current employees and retirees (or dependents) eligible for pension benefits.</t>
  </si>
  <si>
    <t>Contra-Debt Amortization</t>
  </si>
  <si>
    <t>A406</t>
  </si>
  <si>
    <t>A924</t>
  </si>
  <si>
    <t>A902</t>
  </si>
  <si>
    <t>A908</t>
  </si>
  <si>
    <t>A928</t>
  </si>
  <si>
    <t>A904</t>
  </si>
  <si>
    <t>AMS Severance - Meter Readers/Installers</t>
  </si>
  <si>
    <t>AMS Customer Education</t>
  </si>
  <si>
    <t>Date Amortization Began</t>
  </si>
  <si>
    <t>Authority/ Commission Order Shown on Schedule</t>
  </si>
  <si>
    <t>Jun 2016</t>
  </si>
  <si>
    <t>As approved in this docket</t>
  </si>
  <si>
    <t>Pending approval in this docket</t>
  </si>
  <si>
    <t>II-B-11</t>
  </si>
  <si>
    <t>II-B-12</t>
  </si>
  <si>
    <t>n/a</t>
  </si>
  <si>
    <t>Total Amortization Expense - Accounts 406 and 407</t>
  </si>
  <si>
    <t>Regulatory asset amortization in O&amp;M:</t>
  </si>
  <si>
    <t>Self-insurance reserve regulatory asset - approved in 38929 (1)</t>
  </si>
  <si>
    <t>II-D-2</t>
  </si>
  <si>
    <t>Pension regulatory asset amortization - approved in 38929 (2)</t>
  </si>
  <si>
    <t>II-B-12, II-B-14</t>
  </si>
  <si>
    <t>OPEB regulatory asset amortization - approved in 38929 (2)</t>
  </si>
  <si>
    <t>2011-2013</t>
  </si>
  <si>
    <t>II-D-1</t>
  </si>
  <si>
    <t>2008-2012</t>
  </si>
  <si>
    <t>2013-2014</t>
  </si>
  <si>
    <t>Aug 2014</t>
  </si>
  <si>
    <t>Pension regulatory asset amortization - to be reviewed (2)</t>
  </si>
  <si>
    <t>OPEB regulatory asset amortization - to be reviewed (2)</t>
  </si>
  <si>
    <t>Total Regulatory Asset Amortization included in Operating Expense</t>
  </si>
  <si>
    <t>II-B-12, II-E-4.5</t>
  </si>
  <si>
    <t>Total Rate Case Expense Amortization included in Operating Expense</t>
  </si>
  <si>
    <t>Line
No</t>
  </si>
  <si>
    <t>A442</t>
  </si>
  <si>
    <t>Power Factor</t>
  </si>
  <si>
    <t>FERC Account
for
Amortization</t>
  </si>
  <si>
    <t>Authorizing Docket</t>
  </si>
  <si>
    <t>Total Amortization Taken by the Beginning of the Year</t>
  </si>
  <si>
    <t>Amortization Expense Included in Test Year</t>
  </si>
  <si>
    <t>Amortization Expense Included in Requested Cost of Service</t>
  </si>
  <si>
    <t>Unamortized Amount as of the End of the Test Year</t>
  </si>
  <si>
    <t>Date if Fully Amortized</t>
  </si>
  <si>
    <t>K&amp;M
Adjustment</t>
  </si>
  <si>
    <t>Requested Amortization Expense Reflected on Schedule</t>
  </si>
  <si>
    <t>Docket 41890</t>
  </si>
  <si>
    <t>Original
Amount to be
Amortized</t>
  </si>
  <si>
    <t>Deferred
Period</t>
  </si>
  <si>
    <t>K&amp;M
Adjustment
for O&amp;M Expenses</t>
  </si>
  <si>
    <t>Amortization Period Requested</t>
  </si>
  <si>
    <t>Remaining
Amortization
Period in Years</t>
  </si>
  <si>
    <t>Amortization Expense:</t>
  </si>
  <si>
    <t>Rate Case Expense Amortization:</t>
  </si>
  <si>
    <t>WP/II-E-2/4</t>
  </si>
  <si>
    <t>WP/II-E-2/1</t>
  </si>
  <si>
    <t>WP/II-E-2/3</t>
  </si>
  <si>
    <t>WP/II-E-2/6</t>
  </si>
  <si>
    <t>ARAM</t>
  </si>
  <si>
    <t xml:space="preserve">      Total protected excess deferred taxes</t>
  </si>
  <si>
    <t>Oncor Electric Delivery has not included any expenses in this cost of service</t>
  </si>
  <si>
    <t>filing that were previously denied by the Commission.</t>
  </si>
  <si>
    <t>(3) Docket No. 41890:  ratepayers that have not elected service pursuant to this opt-out tariff shall not be responsible for any unrecovered costs incurred by Oncor in implementing this tariff schedule.</t>
  </si>
  <si>
    <t xml:space="preserve">     Reference 16 TAC §25.133.</t>
  </si>
  <si>
    <t>Deferred Revenue - AMS - FBOS</t>
  </si>
  <si>
    <t>Excess DFIT - Tax Gross-up</t>
  </si>
  <si>
    <t>ITC-Deferred Tax Gross-up</t>
  </si>
  <si>
    <t>Reverse Flow Through</t>
  </si>
  <si>
    <t>Direct Testimony</t>
  </si>
  <si>
    <t>Pages</t>
  </si>
  <si>
    <t>NTU</t>
  </si>
  <si>
    <t>DC</t>
  </si>
  <si>
    <t>TIE</t>
  </si>
  <si>
    <t>Consol</t>
  </si>
  <si>
    <t>Tie</t>
  </si>
  <si>
    <t>NTU
TRAN</t>
  </si>
  <si>
    <t>DC
TIE</t>
  </si>
  <si>
    <t>Consol
TRAN</t>
  </si>
  <si>
    <t>NTU
DIST</t>
  </si>
  <si>
    <t>Consol
DIST</t>
  </si>
  <si>
    <t>(I)</t>
  </si>
  <si>
    <t>NTU TRAN</t>
  </si>
  <si>
    <t>DC TIE</t>
  </si>
  <si>
    <t>Consol TRAN</t>
  </si>
  <si>
    <t>NTU DIST</t>
  </si>
  <si>
    <t>Consol DIST</t>
  </si>
  <si>
    <t>2020</t>
  </si>
  <si>
    <t>2019</t>
  </si>
  <si>
    <t>Commuter Expenses</t>
  </si>
  <si>
    <t>Amortization of Protected Excess ADFIT</t>
  </si>
  <si>
    <t>Amortization of Non-protected Excess ADFIT</t>
  </si>
  <si>
    <t>Amortization of Excess ADFIT Reserve</t>
  </si>
  <si>
    <t xml:space="preserve">    ITC Amortization</t>
  </si>
  <si>
    <t xml:space="preserve">    Amortization of Protected Excess ADFIT</t>
  </si>
  <si>
    <t xml:space="preserve">    Amortization of Non-protected Excess ADFIT</t>
  </si>
  <si>
    <t xml:space="preserve">    Amortization of Excess ADFIT Reserve</t>
  </si>
  <si>
    <t xml:space="preserve">    Amortization of Organizational Expenditures</t>
  </si>
  <si>
    <t xml:space="preserve">    Social Club Dues</t>
  </si>
  <si>
    <t xml:space="preserve">    Commuter Expenses</t>
  </si>
  <si>
    <t>II-E-3 * 21%</t>
  </si>
  <si>
    <t>direct testimony of Bonnie L. Clutter</t>
  </si>
  <si>
    <t>Rate Case Expenses - TCJA Tax Case, Docket No. 48325</t>
  </si>
  <si>
    <t>Rate Case Expenses - 2016 Test Year, Docket No. 46957 (Post-Cutoff)</t>
  </si>
  <si>
    <t>Rate Case Expenses - DCRF Case, Docket No. 48231</t>
  </si>
  <si>
    <t>Rate Case Expenses - DCRF Case, Docket No. 49427</t>
  </si>
  <si>
    <t>Rate Case Expenses - AMS Reconciliation, Docket No. 49721</t>
  </si>
  <si>
    <t>P&amp;O Non-Service Cost (CWIP&amp;PIS)</t>
  </si>
  <si>
    <t>Tax Depreciation</t>
  </si>
  <si>
    <t>G/L on Interest Rate Swaps</t>
  </si>
  <si>
    <t>Reg Asset - Sharyland Whlsle Dist Sub Tariff</t>
  </si>
  <si>
    <t>Reg Asset - Sharyland Residential Interim Rates</t>
  </si>
  <si>
    <t>Reg Asset - Rocky Mound Series Compensator</t>
  </si>
  <si>
    <t>Reg Asset - Power Line Safety</t>
  </si>
  <si>
    <t>Reg Asset - COVID19 - ERP Proceeds and Expense</t>
  </si>
  <si>
    <t>Reg Asset - COVID19 - Incremental Expense</t>
  </si>
  <si>
    <t>Deferred Unbilled TCRF Reg Liability</t>
  </si>
  <si>
    <t>Cap Structure Refund</t>
  </si>
  <si>
    <t>FIT Refund</t>
  </si>
  <si>
    <t>Deferred Unbilled EECRF Reg Liability</t>
  </si>
  <si>
    <t>Interest Rate Savings Reg Liability</t>
  </si>
  <si>
    <t>Deferred FICA Payments</t>
  </si>
  <si>
    <t>Merger Transaction Costs</t>
  </si>
  <si>
    <t>Reg Asset - NTU Transition Costs</t>
  </si>
  <si>
    <t>Reg Asset - Energy Efficiency Program Costs</t>
  </si>
  <si>
    <t xml:space="preserve">x 21 % </t>
  </si>
  <si>
    <t>x  21%</t>
  </si>
  <si>
    <t>Non-protected Excess Deferred Taxes</t>
  </si>
  <si>
    <t>* Ad Valorem tax expense and taxable value excludes non-utility plant and prior period adjustments.</t>
  </si>
  <si>
    <t>408</t>
  </si>
  <si>
    <t>WP/II-E-2.1/1</t>
  </si>
  <si>
    <t xml:space="preserve">  Meals &amp; Entertainment</t>
  </si>
  <si>
    <t xml:space="preserve">  Social Club Dues</t>
  </si>
  <si>
    <t xml:space="preserve">  Commuter Expenses</t>
  </si>
  <si>
    <t xml:space="preserve">  Employee Compensation Plans</t>
  </si>
  <si>
    <t xml:space="preserve">  Amortization of Organizational Expenditures</t>
  </si>
  <si>
    <t xml:space="preserve">  Deductible State Tax</t>
  </si>
  <si>
    <t xml:space="preserve">  Fuel Expense</t>
  </si>
  <si>
    <t xml:space="preserve">  Other O &amp; M Expense</t>
  </si>
  <si>
    <t xml:space="preserve">  Depreciation and Amortization</t>
  </si>
  <si>
    <t xml:space="preserve">  Taxes Other Than Income</t>
  </si>
  <si>
    <t xml:space="preserve">  Interest on Customer Deposits</t>
  </si>
  <si>
    <t xml:space="preserve">  Interest Expense on Debt (including amount capitalized)</t>
  </si>
  <si>
    <t xml:space="preserve">  Additional Tax Depreciation*</t>
  </si>
  <si>
    <t xml:space="preserve">  Prior Period Adjustments</t>
  </si>
  <si>
    <t xml:space="preserve">  Depreciation Differences</t>
  </si>
  <si>
    <t xml:space="preserve">  Protected Excess Deferred Taxes</t>
  </si>
  <si>
    <t xml:space="preserve">  Non-protected Excess Deferred Taxes</t>
  </si>
  <si>
    <t xml:space="preserve">  Federal Benefit of State Deferred</t>
  </si>
  <si>
    <t>Reg Asset - Efficiency Performance Bonus</t>
  </si>
  <si>
    <t xml:space="preserve">  Oncor liberalized depreciation</t>
  </si>
  <si>
    <t xml:space="preserve">  NTU liberalized depreciation</t>
  </si>
  <si>
    <t xml:space="preserve">  Oncor plant-related basis differences</t>
  </si>
  <si>
    <t xml:space="preserve">  Oncor non-plant temporary differences </t>
  </si>
  <si>
    <t xml:space="preserve">  Oncor excess reserve</t>
  </si>
  <si>
    <t xml:space="preserve">  NTU plant-related basis differences</t>
  </si>
  <si>
    <t xml:space="preserve">  NTU non-plant temporary differences </t>
  </si>
  <si>
    <t xml:space="preserve">  NTU excess reserve</t>
  </si>
  <si>
    <t xml:space="preserve">     Total excess deferred taxes</t>
  </si>
  <si>
    <t>Amortization of Electric Plant Acquisition Adjustments - Stanton (Sharyland Exchange)</t>
  </si>
  <si>
    <t>Amortization of Electric Plant Acquisition Adjustments - Transmission Facilities Acquired from SPS - NTU</t>
  </si>
  <si>
    <t>A407</t>
  </si>
  <si>
    <t>Rocky Mound reactive compensation facilities project termination</t>
  </si>
  <si>
    <t>A563,A583</t>
  </si>
  <si>
    <t>Power Line Safety Act PURA § 36066</t>
  </si>
  <si>
    <t>A566,A588</t>
  </si>
  <si>
    <t>COVID19-Incremental Expense</t>
  </si>
  <si>
    <t>A588</t>
  </si>
  <si>
    <t>Defaulted REPs (16 TAC § 25.107, bad debt expense) (5)</t>
  </si>
  <si>
    <t>Self-insurance reserve regulatory asset amortization - approved in 46957 (1)</t>
  </si>
  <si>
    <t>Self-insurance reserve regulatory asset amortization - to be reviewed (1)</t>
  </si>
  <si>
    <t>Self-insurance reserve regulatory asset - to be reviewed - NTU (1)</t>
  </si>
  <si>
    <t>Pension regulatory asset amortization - approved in 46957 (2)</t>
  </si>
  <si>
    <t>OPEB regulatory asset amortization - approved in 46957 (2)</t>
  </si>
  <si>
    <t>2019 AMS reconciliation costs - Docket No. 49721 (4)</t>
  </si>
  <si>
    <t>2018 DCRF Application case costs (incl. reimbursed case costs) (4)</t>
  </si>
  <si>
    <t>2019 DCRF Application case costs (incl. reimbursed case costs) (4)</t>
  </si>
  <si>
    <t>Application to Decrease Rates based on TCJA of 2017 (incl. reimbursed case costs) (4)</t>
  </si>
  <si>
    <t>Sharyland Residential Interim Rates (approved in Docket Nos. 45414 &amp; 47469)</t>
  </si>
  <si>
    <t>Study Costs/Transition to Comp - NTU</t>
  </si>
  <si>
    <t>Rider CSR - Capital structure refund - over-refund</t>
  </si>
  <si>
    <t>Rider TRF - FIT rate refund - over-refund</t>
  </si>
  <si>
    <t>Rate case expenses - Docket No. 46957 (After cutoff) (4)</t>
  </si>
  <si>
    <t>Rate case expenses - Docket No. 46957 (After cutoff) Rider RCE over-recovery (4)</t>
  </si>
  <si>
    <t>Rate case expenses - 2021 Test Year Estimated Rate Case Expenses (4)</t>
  </si>
  <si>
    <t>Dockets 47469, 46957</t>
  </si>
  <si>
    <t>Dockets 41430, 48929</t>
  </si>
  <si>
    <t>Dockets 35718,39552,41814,46957,49721</t>
  </si>
  <si>
    <t>Nov 2017</t>
  </si>
  <si>
    <t>Prior to Sharyland Exchange</t>
  </si>
  <si>
    <t>Dec 2013 (transaction closed)</t>
  </si>
  <si>
    <t>Jan 2016 (account 425)</t>
  </si>
  <si>
    <t>2009 - Nov 2017</t>
  </si>
  <si>
    <t>Nov 2017 (10-year recovery)</t>
  </si>
  <si>
    <t>Project terminated Jan 2018</t>
  </si>
  <si>
    <t>Dec 2045</t>
  </si>
  <si>
    <t>Docket 49827</t>
  </si>
  <si>
    <t>Docket 50664</t>
  </si>
  <si>
    <t>Dockets 46957, 48929</t>
  </si>
  <si>
    <t>Docket 46957 (3-year recovery)</t>
  </si>
  <si>
    <t>To be reviewed in this docket</t>
  </si>
  <si>
    <t>Docket 49721</t>
  </si>
  <si>
    <t>Docket 48231</t>
  </si>
  <si>
    <t>Docket 49427</t>
  </si>
  <si>
    <t>Docket 48325</t>
  </si>
  <si>
    <t>Dockets 45414, 47469</t>
  </si>
  <si>
    <t>Dockets 40537, 41430, 41474, 48929</t>
  </si>
  <si>
    <t>Dockets 46957, 48522</t>
  </si>
  <si>
    <t>Through Dec 2016</t>
  </si>
  <si>
    <t>2018</t>
  </si>
  <si>
    <t>2018-2019</t>
  </si>
  <si>
    <t>Sep 2017 - Dec 2017</t>
  </si>
  <si>
    <t>Prior to acquisition of Oncor NTU</t>
  </si>
  <si>
    <t>Docket 46957</t>
  </si>
  <si>
    <t>2017-2018</t>
  </si>
  <si>
    <t>2020-2021</t>
  </si>
  <si>
    <t>Regulatory asset amortizations recognized January 1, 2017 through November 26, 2017 while Docket No. 38929 rates were in effect:</t>
  </si>
  <si>
    <t>Amortizations Recognized: Jan 1, 2017 through Nov 26, 2017</t>
  </si>
  <si>
    <t>Sync_Int</t>
  </si>
  <si>
    <t>Liberalized Depreciation - Oncor</t>
  </si>
  <si>
    <t>Liberalized Depreciation - NTU</t>
  </si>
  <si>
    <t>Contributions in Aid of Construction - Oncor</t>
  </si>
  <si>
    <t>Contributions in Aid of Construction - NTU</t>
  </si>
  <si>
    <t>Sec 1031 LKE Basis Difference</t>
  </si>
  <si>
    <t>Audit Adjustments</t>
  </si>
  <si>
    <t>Software</t>
  </si>
  <si>
    <t>Tax Capitalized Interest</t>
  </si>
  <si>
    <t>Other Basis Differences</t>
  </si>
  <si>
    <t>Basis Differences In-service - NTU</t>
  </si>
  <si>
    <t>Basis Differences CWIP - NTU</t>
  </si>
  <si>
    <t>Amo of Organizational Expenditures</t>
  </si>
  <si>
    <t>Reg Asset - Local Gross Receipts Taxes</t>
  </si>
  <si>
    <t>Capitalized Intangibles - NTU</t>
  </si>
  <si>
    <t>Transaction Costs - NTU</t>
  </si>
  <si>
    <t>Excess Reserve - Oncor</t>
  </si>
  <si>
    <t>Excess Reserve - NTU</t>
  </si>
  <si>
    <t>Total Excess Deferred Taxes</t>
  </si>
  <si>
    <t>WP/II-E-3.19</t>
  </si>
  <si>
    <t>Pension Plan</t>
  </si>
  <si>
    <t>II-E-3.18</t>
  </si>
  <si>
    <t>Diff</t>
  </si>
  <si>
    <t>PLTSVC-ONC</t>
  </si>
  <si>
    <t>PLTSVC-NTU</t>
  </si>
  <si>
    <t>Tax Repairs</t>
  </si>
  <si>
    <t>Pension_OPEB Non Srvc Cost</t>
  </si>
  <si>
    <t>DC Tie</t>
  </si>
  <si>
    <t>*** See WP/II-E-3/2 for the reconciliation of non-operating income taxes.</t>
  </si>
  <si>
    <t>Non-Operating Income Taxes ***</t>
  </si>
  <si>
    <t>TCS_ONC</t>
  </si>
  <si>
    <t>Sch.</t>
  </si>
  <si>
    <t>Ref.</t>
  </si>
  <si>
    <t>Direct Assgn.</t>
  </si>
  <si>
    <t>Amort.</t>
  </si>
  <si>
    <t>Meth.</t>
  </si>
  <si>
    <t>II-E-3.2b</t>
  </si>
  <si>
    <t>Total deferred should be (II-E-3.15)</t>
  </si>
  <si>
    <t>Distribution of operating income tax expense:</t>
  </si>
  <si>
    <t>2017 Tax Additions</t>
  </si>
  <si>
    <t>2018 Tax Additions</t>
  </si>
  <si>
    <t>2019 Tax Additions</t>
  </si>
  <si>
    <t>2020 Tax Additions</t>
  </si>
  <si>
    <t>NTU Book/Tax Depreciation</t>
  </si>
  <si>
    <t>NTU ADFIT</t>
  </si>
  <si>
    <t>Oncor ADFIT</t>
  </si>
  <si>
    <t>WP/II-E-3.8/1, Column (j)</t>
  </si>
  <si>
    <t>Acquired pre-V2019</t>
  </si>
  <si>
    <t>The following elections applicable to the Company have been made since the last test year ending December 31, 2016.</t>
  </si>
  <si>
    <t>Tax Entity</t>
  </si>
  <si>
    <t>Oncor NTU Partnership LP</t>
  </si>
  <si>
    <t>PLR-129810-17</t>
  </si>
  <si>
    <r>
      <t xml:space="preserve">The application of the normalization rules under </t>
    </r>
    <r>
      <rPr>
        <sz val="10"/>
        <rFont val="Calibri"/>
        <family val="2"/>
      </rPr>
      <t>§</t>
    </r>
    <r>
      <rPr>
        <sz val="10"/>
        <rFont val="Arial"/>
        <family val="2"/>
      </rPr>
      <t xml:space="preserve"> 168(i)(9) of the Internal Revenue Code and § 1.167(I)-1 of the Income Tax Regulations to an exchange of like kind properties between Oncor AssetCo. and Sharyland Distribution &amp; Transmission Services AssetCo.</t>
    </r>
  </si>
  <si>
    <t>PLR-113787-19</t>
  </si>
  <si>
    <r>
      <t xml:space="preserve">The application of the depreciation normalization rules under </t>
    </r>
    <r>
      <rPr>
        <sz val="10"/>
        <rFont val="Calibri"/>
        <family val="2"/>
      </rPr>
      <t>§</t>
    </r>
    <r>
      <rPr>
        <sz val="10"/>
        <rFont val="Arial"/>
        <family val="2"/>
      </rPr>
      <t xml:space="preserve"> 168 of the Internal Revenue Code and § 1.167(I)-1 of the Income Tax Regulations to the direct or indirect acquisition of all of the partnership interests in Oncor NTU Partnership LP by Oncor Electric Delivery Company LLC in a transaction subject to § 743(b).</t>
    </r>
  </si>
  <si>
    <t>Non-protected excess deferred taxes:</t>
  </si>
  <si>
    <t xml:space="preserve">     Total non-protected excess deferred taxes</t>
  </si>
  <si>
    <t>Non-protected plant-related excess deferred taxes</t>
  </si>
  <si>
    <t>Non-protected non-plant-related excess deferred taxes</t>
  </si>
  <si>
    <t>Non-protected excess reserve deferred taxes</t>
  </si>
  <si>
    <t xml:space="preserve">          Total non-protected excess deferred taxes</t>
  </si>
  <si>
    <t>In 1980, TESCO, with assistance of Arthur Andersen &amp; Co., implemented the Tax Accounting and Reporting System (TARS).  In 1984 book, tax and deferred tax data from DP&amp;L and TP&amp;L were combined with TESCO’s TARS as of December 31, 1983.  This system produced all property related schedules for the income tax returns filed during that period.  In addition, TARS maintained detailed vintaged records of all deferred income taxes related to utility plant.  TARS identified book depreciation differences so that deferred taxes were not reversed for an amount in excess of the original deferrals.</t>
  </si>
  <si>
    <t>Effective January 1, 1993, TU Electric converted the income tax and deferred tax information contained in TARS to ACUFILE, an Electronic Data Systems tax depreciation and deferred tax software package.  ACUFILE began producing all property related schedules for the income tax returns filed during that period.  ACUFILE also maintained the detailed vintaged records of deferred income taxes related to utility plant and used a methodology similar to the TARS method previously described for tracking the occurrence and reversal of deferred income taxes.</t>
  </si>
  <si>
    <t>In 2006, TU Electric transitioned from using ACUFILE to a newly developed tax depreciation system named FileMakerPro (FMP).  FMP is a tax depreciation system that was developed by an outside consulting firm working under the direction of the TXU tax department.  FMP is designed to track tax assets at the same level of detail as is being depreciated in the financial depreciation system.  The transition to using FMP provided a tax depreciation system that tracked at the asset level which enhanced TXU’s reporting ability.  FMP tracked tax basis, accumulated depreciation, deferred taxes, and gain/loss on disposal of fixed assets.  FMP was used to calculate tax depreciation and gain/loss for the 2005, 2006 and 2007 Federal Income Tax Returns.</t>
  </si>
  <si>
    <t>In 2008, Oncor began a transition process to transition data from FMP Tax to the industry-leading fixed asset management application, PowerTax.  PowerTax is an actual tax depreciation and deferred tax system, designed specifically for the utility industries (electric, gas, water, telecom) or other asset intensive companies.  It is also a data gathering and preparation system, collecting and processing book transactions and M-Items using built-in routines.</t>
  </si>
  <si>
    <t>TCS - Oncor</t>
  </si>
  <si>
    <t>Direct Assignment DIST</t>
  </si>
  <si>
    <t>Direct Assignment TDCS</t>
  </si>
  <si>
    <t>Direct Assignment TRAN</t>
  </si>
  <si>
    <t>(x)</t>
  </si>
  <si>
    <t>(y)</t>
  </si>
  <si>
    <t>(z)</t>
  </si>
  <si>
    <t>(aa)</t>
  </si>
  <si>
    <t>(bb)</t>
  </si>
  <si>
    <t>(cc)</t>
  </si>
  <si>
    <t>(dd)</t>
  </si>
  <si>
    <t>(ee)</t>
  </si>
  <si>
    <t>(ff)</t>
  </si>
  <si>
    <t>(gg)</t>
  </si>
  <si>
    <t>(hh)</t>
  </si>
  <si>
    <t>(ii)</t>
  </si>
  <si>
    <t>(jj)</t>
  </si>
  <si>
    <t>(kk)</t>
  </si>
  <si>
    <t>(ll)</t>
  </si>
  <si>
    <t>(mm)</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</si>
  <si>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</si>
  <si>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</si>
  <si>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</si>
  <si>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</si>
  <si>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</si>
  <si>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</si>
  <si>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</si>
  <si>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</si>
  <si>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</si>
  <si>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</si>
  <si>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</si>
  <si>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</si>
  <si>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</si>
  <si>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</si>
  <si>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</si>
  <si>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</si>
  <si>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</si>
  <si>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</si>
  <si>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</si>
  <si>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</si>
  <si>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</si>
  <si>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</si>
  <si>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</si>
  <si>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</si>
  <si>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</si>
  <si>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</si>
  <si>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</si>
  <si>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</si>
  <si>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</si>
  <si>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</si>
  <si>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</si>
  <si>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</si>
  <si>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</si>
  <si>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</si>
  <si>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</si>
  <si>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</si>
  <si>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</si>
  <si>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</si>
  <si>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</si>
  <si>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</si>
  <si>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</si>
  <si>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</si>
  <si>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</si>
  <si>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</si>
  <si>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</si>
  <si>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</si>
  <si>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</si>
  <si>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</si>
  <si>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</si>
  <si>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</si>
  <si>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</si>
  <si>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</si>
  <si>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</si>
  <si>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</si>
  <si>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</si>
  <si>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</si>
  <si>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</si>
  <si>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</si>
  <si>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</si>
  <si>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</si>
  <si>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</si>
  <si>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(wwww)</t>
  </si>
  <si>
    <t>(xxxx)</t>
  </si>
  <si>
    <t>(yyyy)</t>
  </si>
  <si>
    <t>(zzzz)</t>
  </si>
  <si>
    <t>(aaaaa)</t>
  </si>
  <si>
    <t>(bbbbb)</t>
  </si>
  <si>
    <t>(ccccc)</t>
  </si>
  <si>
    <t>(ddddd)</t>
  </si>
  <si>
    <t>(eeeee)</t>
  </si>
  <si>
    <t>(fffff)</t>
  </si>
  <si>
    <t>(ggggg)</t>
  </si>
  <si>
    <t>(hhhhh)</t>
  </si>
  <si>
    <t>(iiiii)</t>
  </si>
  <si>
    <t>(jjjjj)</t>
  </si>
  <si>
    <t>(kkkkk)</t>
  </si>
  <si>
    <t>(lllll)</t>
  </si>
  <si>
    <t>(mmmmm)</t>
  </si>
  <si>
    <t>(nnnnn)</t>
  </si>
  <si>
    <t>(ooooo)</t>
  </si>
  <si>
    <t>(ppppp)</t>
  </si>
  <si>
    <t>(qqqqq)</t>
  </si>
  <si>
    <t>(rrrrr)</t>
  </si>
  <si>
    <t xml:space="preserve">Book Depreciation 
Tax Depreciation
Tax Depreciation - Bonus
Sec 481(a) Adjustment - Repair Expense
Cost of Removal
Gain / (Loss) on Disposition of Assets
NTU Book/Tax Depreciation
Reverse Flow Through                                                      </t>
  </si>
  <si>
    <t>This represents the tax-effected difference between tax deductions [depreciation, Asset Depreciation Range (ADR), Accelerated Cost Recovery System (ACRS) and Modified Accelerated Cost Recovery System (MACRS), cost of removal, loss on ACRS and MACRS retirements, less taxable salvage] and book depreciation.  The Tax Depreciation System, PowerTax, calculates this difference and tracks the deferred tax.</t>
  </si>
  <si>
    <t>This is the deferred tax liability for the operating lease asset as a result of ASU 2016-02, Topic 842.</t>
  </si>
  <si>
    <t>P&amp;O Non-Service Cost</t>
  </si>
  <si>
    <t xml:space="preserve">Repair Expense
</t>
  </si>
  <si>
    <t xml:space="preserve">Self Constructed Assets (Mixed Service Costs)
</t>
  </si>
  <si>
    <t>Software Development Costs
Software Amortization</t>
  </si>
  <si>
    <t>For book, rate case expenses are deferred to a regulatory asset and amortized over a period of time as determined by the PUCT. For tax, the expenses are deductible when incurred.</t>
  </si>
  <si>
    <t>For book, self-insured property and liability losses are deferred to a regulatory asset and amortized over a PUCT approved amortization period.  For tax, the losses are deductible as incurred.</t>
  </si>
  <si>
    <t>The difference will reverse as the loss is amortized to interest expense over the life of the related debt.</t>
  </si>
  <si>
    <t>For book, under collected revenues related to the AMS deployment is deferred to a regulatory asset.  For tax, the revenue is taxable when it is collected.</t>
  </si>
  <si>
    <t>The difference will reverse as the AMS regulatory asset is amortized.</t>
  </si>
  <si>
    <t>This balance will reverse as the regulatory asset is amortized.</t>
  </si>
  <si>
    <t>Reg Asset -  Rocky Mound Series Compensator</t>
  </si>
  <si>
    <t>The balance will reverse as the regulatory asset is amortized.</t>
  </si>
  <si>
    <t>The difference will reverse as the loss is amortized and will be fully reversed in 2041.</t>
  </si>
  <si>
    <t>Earned vacation carried over to the next year is expensed for books in the current year, but for tax purposes it is expensed when taken.</t>
  </si>
  <si>
    <t>The difference will reverse when the revenue credit is refunded via customer bill credits.</t>
  </si>
  <si>
    <t>The difference will reverse when the revenue credit is refunded via customer bills.</t>
  </si>
  <si>
    <t>Amortization of Organizational Expenses</t>
  </si>
  <si>
    <t>This balance will reverse when 50% of the deferred FICA taxes are paid in 2021 and the remaining 50% in 2022.</t>
  </si>
  <si>
    <t>A regulatory asset was acquired as part of the Sharyland transaction related to study and transition to competition costs.  For book, the regulatory asset is amortized per PUCT order.  For tax, the regulatory asset is amortized over 15 years.</t>
  </si>
  <si>
    <t xml:space="preserve">The balance will reverse over a 15 year tax amortization period. </t>
  </si>
  <si>
    <t>* Please see WP/II-B-11 for the required details.</t>
  </si>
  <si>
    <t>Operation and Maintenance Expense Amortizations **</t>
  </si>
  <si>
    <t>A406*</t>
  </si>
  <si>
    <t>Amortization of Electric Plant Acquisition Adjustments - Stanton</t>
  </si>
  <si>
    <t>Prior to 2017 Oncor and Sharyland Exchange</t>
  </si>
  <si>
    <t>Amortization
Period
(Years)</t>
  </si>
  <si>
    <t>II-B-12;WP\II-E-4.1.1</t>
  </si>
  <si>
    <t>II-B-12, II-E-4.1.1</t>
  </si>
  <si>
    <t>Other Deductions *</t>
  </si>
  <si>
    <t>Miscellaneous Amortization **</t>
  </si>
  <si>
    <t>** Consistent with FERC USOA, the requested recovery and related amortization of the A114 acquisition adjustment for Oncor NTU's acquisition of SPS facilities is included in A406.  Reference II-E-4.1 and II-E-4.1.1.  Unadjusted test year amortization expense was $977,879.</t>
  </si>
  <si>
    <t>Disposition of Property-Loss</t>
  </si>
  <si>
    <t>II-B-13</t>
  </si>
  <si>
    <t>II-E-4.1.1, Line 4 (A406)</t>
  </si>
  <si>
    <t>Reg Asset Amortization</t>
  </si>
  <si>
    <t>Other Deductions - Total Company</t>
  </si>
  <si>
    <t>AMS Solutions Cube Group LLC, Docket No. 35718, Project No. 34610 (1)</t>
  </si>
  <si>
    <t>2011 AMS reconciliation costs - Docket No. 39552 (1)</t>
  </si>
  <si>
    <t>2013 AMS reconciliation costs - Docket No. 41814 (1)</t>
  </si>
  <si>
    <t>2019 AMS reconciliation costs - Docket No. 49721 (1) (2)</t>
  </si>
  <si>
    <t>2018 DCRF Application case costs (incl. reimbursed case costs) (1) (2)</t>
  </si>
  <si>
    <t>2019 DCRF Application case costs (incl. reimbursed case costs) (1) (2)</t>
  </si>
  <si>
    <t>Application to Decrease Rates based on TCJA of 2017 (incl. reimbursed case costs) (1) (2)</t>
  </si>
  <si>
    <t>Sharyland Residential Interim Rates (approved in Docket Nos. 45414 &amp; 47469) (1)</t>
  </si>
  <si>
    <t>Study Costs/Transition to Comp - NTU (1)</t>
  </si>
  <si>
    <t>Rider CSR - Capital structure refund - over-refund (1)</t>
  </si>
  <si>
    <t>Rider TRF - FIT rate refund - over-refund (1)</t>
  </si>
  <si>
    <t>Rate case expenses - Docket No. 46957 (After cutoff) (1) (2)</t>
  </si>
  <si>
    <t>Rate case expenses - Docket No. 46957 (After cutoff) Rider RCE over-recovery (1) (2)</t>
  </si>
  <si>
    <t>Rate case expenses - 2021 Test Year Estimated Rate Case Expenses (1) (2)</t>
  </si>
  <si>
    <t>(1) Reference Schedules II-E-4.1 and II-E-4.1.1 for amortizations of Deferred Expenses from Prior Dockets for A928.</t>
  </si>
  <si>
    <t>(2) Reference Schedule II-E-4.5 Rate Case Expenses.</t>
  </si>
  <si>
    <t>Reference PURA §36.061(b)(2) and 16 TAC §25.245.</t>
  </si>
  <si>
    <t>WP/II-E-3/4</t>
  </si>
  <si>
    <t>** All ad valorem taxes during the test year were paid to jurisdictions within the state of Texas.  $236,520,097 was paid in Q1 2022, subsequent to the test year end, for the 2021 tax year.</t>
  </si>
  <si>
    <t>FIN 48 Interest</t>
  </si>
  <si>
    <t>2021</t>
  </si>
  <si>
    <t>TGMT credits</t>
  </si>
  <si>
    <t>DSIT</t>
  </si>
  <si>
    <t>FIN48 State</t>
  </si>
  <si>
    <t>Reg Liability - COVID19 - Retail Surcharge</t>
  </si>
  <si>
    <t>Reg Liability - Deferred OPEB Cost</t>
  </si>
  <si>
    <t>Reg Liability - Over-Collection of Int Asset Amort</t>
  </si>
  <si>
    <t>Leased Assets</t>
  </si>
  <si>
    <t>Reg Asset - Energy Efficiency Performance Bonus</t>
  </si>
  <si>
    <t xml:space="preserve">  Interest on FIN 48</t>
  </si>
  <si>
    <t xml:space="preserve">  Federal Impact of State Tax Adjustments</t>
  </si>
  <si>
    <t>Current - Line 91 should be</t>
  </si>
  <si>
    <t xml:space="preserve">Line 91 is </t>
  </si>
  <si>
    <t xml:space="preserve">TI - Line 82 should be </t>
  </si>
  <si>
    <t>Line 82 is</t>
  </si>
  <si>
    <t>PP 51000 CY Op + P&amp;O Non-service cost + Elim</t>
  </si>
  <si>
    <t>Excess ADFIT Reserve</t>
  </si>
  <si>
    <t xml:space="preserve">  Excess ADFIT Reserve</t>
  </si>
  <si>
    <t xml:space="preserve">Total - Line 106 should be </t>
  </si>
  <si>
    <t>Line 106 is</t>
  </si>
  <si>
    <t>Deferred - Line 102 plus Line 104 should be</t>
  </si>
  <si>
    <t>Line 102 plus Line 104 is</t>
  </si>
  <si>
    <t xml:space="preserve">    Interest on FIN 48</t>
  </si>
  <si>
    <t>2021 Tax Additions</t>
  </si>
  <si>
    <t>2021 Depr on Oncor V2017-V2021 and NTU</t>
  </si>
  <si>
    <t>2022 Forecast Depr on Oncor V2017-V2021 and NTU</t>
  </si>
  <si>
    <t>2023 Forecast Depr on Oncor V2017-V2021 and NTU</t>
  </si>
  <si>
    <t>ADFIT for Oncor V2017-V2021 and NTU at 12/31/2021</t>
  </si>
  <si>
    <t>For assets acquired or placed into service January 2017 through December 31, 2021.</t>
  </si>
  <si>
    <t>These timing difference are detailed on Schedule II-E-3.16.</t>
  </si>
  <si>
    <t>Deferred taxes are maintained for deferral accounting and FAS 109 liability accounting.  PowerTax supports full normalization, partial normalization, and flow through of method, life, cost of removal, and basis differences.  The protected excess deferreds that were historically tracked using ACUFILE were transitioned into PowerTax.</t>
  </si>
  <si>
    <t xml:space="preserve">The statute of limitations is open for our partnership tax returns for the years beginning after December 31, 2017.  There are no IRS audits currently active.  </t>
  </si>
  <si>
    <t>De minimis safe harbor election under Reg. Sec. 1.263(A)-1(F)</t>
  </si>
  <si>
    <t>As of December 31, 2021, Oncor has a zero balance in accumulated deferred federal income taxes related to NOLs.</t>
  </si>
  <si>
    <t>A407**</t>
  </si>
  <si>
    <t>AMS under-recovered costs (6)</t>
  </si>
  <si>
    <t>Over-collection - Intangible Asset Over-Amortization (7)</t>
  </si>
  <si>
    <t>Wholesale Distribution Substation Service (8)</t>
  </si>
  <si>
    <t>A592</t>
  </si>
  <si>
    <t>HB 2483 Mbl Gens &amp; rel. costs</t>
  </si>
  <si>
    <t>2021 DCRF Application case costs (incl. reimbursed case costs) (4)</t>
  </si>
  <si>
    <t>** Please see Schedule II-B-12 and II-E-4.1.1 and supporting workpapers for the required details relating to these deferrals and amortization expenses.</t>
  </si>
  <si>
    <t>EC 065</t>
  </si>
  <si>
    <t>TOMXFP</t>
  </si>
  <si>
    <t>HB 2483 Mobile generator capital leases</t>
  </si>
  <si>
    <t>HB 2483, PURA § 39.918</t>
  </si>
  <si>
    <t>Dockets 44671, 45054-CCN, 46957</t>
  </si>
  <si>
    <t>Dockets 33672, 37902, 38517</t>
  </si>
  <si>
    <t>As authorized in this docket</t>
  </si>
  <si>
    <t>PURA § 36.064, Docket 46957 FOF 48 &amp; 49</t>
  </si>
  <si>
    <t>PURA § 36.064, to be reviewed in this docket</t>
  </si>
  <si>
    <t>PURA § 36.065, Docket 46957 FOF 48 &amp; 49</t>
  </si>
  <si>
    <t>PURA § 36.065, to be reviewed in this docket</t>
  </si>
  <si>
    <t>Docket 51996</t>
  </si>
  <si>
    <t>Study Costs/Transition to Comp - NTU (9)</t>
  </si>
  <si>
    <t>Summary for II-E-1 - Depreciation &amp; Amortization Expense</t>
  </si>
  <si>
    <t>Amortization from Schedule II-E-4.1 Shown on II-E-1 Line 62</t>
  </si>
  <si>
    <t>(1) PURA §36.064</t>
  </si>
  <si>
    <t>(2) PURA §36.065</t>
  </si>
  <si>
    <t>(3) Docket No. 41890:  ratepayers that have not elected service pursuant to this opt-out tariff shall not be responsible for any unrecovered costs incurred by Oncor in implementing this tariff schedule.  Reference 16 TAC § 25.133.</t>
  </si>
  <si>
    <t>(5) Monthly amortization of $22,330 will continue to be applied to and will reduce this regulatory asset balance while Docket No. 46957 rates are in effect.</t>
  </si>
  <si>
    <t>(6) AMS under-recovery reg asset at 12-31-2021:</t>
  </si>
  <si>
    <t>Amount approved in Docket 46957</t>
  </si>
  <si>
    <t>Amortization November 27, 2017 through December 31, 2021</t>
  </si>
  <si>
    <t>AMCRF cancel/rebills through December 31, 2021</t>
  </si>
  <si>
    <t xml:space="preserve">(7) Over-collection in revenues and regulatory liability were recognized in 2021 and were driven by over-amortization of intangibles (software).  Proposed refund will reduce revenues and regulatory liability. </t>
  </si>
  <si>
    <t>(8) Wholesale Distribution Substation Service reg asset at 12-31-2021:</t>
  </si>
  <si>
    <t>Paid to Sharyland</t>
  </si>
  <si>
    <t>Paid to Oncor NTU</t>
  </si>
  <si>
    <t>2018 applied refund -  SPS rec'd nat'l gas transp service refunds to former wholesale customer - Sharyland for customers formerly served by Cap Rock Energy Corp</t>
  </si>
  <si>
    <t>2019 received Interest on refund</t>
  </si>
  <si>
    <t>(9) Study Costs/Transition to Comp - NTU at 12-31-2021:</t>
  </si>
  <si>
    <t>Costs for Transmission Line cancelled (driven by SPS acquisition)</t>
  </si>
  <si>
    <t>SPS Settlement true-up</t>
  </si>
  <si>
    <t>Move to Competition</t>
  </si>
  <si>
    <t>Reference note (6)</t>
  </si>
  <si>
    <t>Reference note (7)</t>
  </si>
  <si>
    <t>2017 - 2021</t>
  </si>
  <si>
    <t>Aug 2032</t>
  </si>
  <si>
    <t>Jan 2045</t>
  </si>
  <si>
    <t>Pending approval in this docket for 4-year amo</t>
  </si>
  <si>
    <t>or</t>
  </si>
  <si>
    <t>Annual amortization approved in Dkt No. 46957 of $20,475,713 reduces billed base rate revenues and the AMS under-recovery reg asset.</t>
  </si>
  <si>
    <t>Amortization in NTU's NTS rate (bifurcation)</t>
  </si>
  <si>
    <t>2017-2021</t>
  </si>
  <si>
    <t>Oct 2019 - Dec 2021</t>
  </si>
  <si>
    <t>Mar 2020 - Dec 2021</t>
  </si>
  <si>
    <t>Nov 2017 - Dec 2021</t>
  </si>
  <si>
    <t>Dec 2021</t>
  </si>
  <si>
    <t>12-31-2021 balance (reviewed) plus 2021 REP defaults (to be reviewed)</t>
  </si>
  <si>
    <t>Jan 2017 - Dec 2021</t>
  </si>
  <si>
    <t>May 2019 - Dec 2021</t>
  </si>
  <si>
    <t>Aug 2018 - Dec 2021</t>
  </si>
  <si>
    <t>Nov 2018 - Dec 2021</t>
  </si>
  <si>
    <t>Annual amortization/recovery</t>
  </si>
  <si>
    <t>Dkt 46957 approved recovery</t>
  </si>
  <si>
    <t>Requested increase in this case</t>
  </si>
  <si>
    <t>2021 DCRF Application case costs (incl. reimbursed case costs) (1) (2)</t>
  </si>
  <si>
    <t>Ties to book</t>
  </si>
  <si>
    <t>linked to 4.1.1</t>
  </si>
  <si>
    <t>* Other Deductions for GAAP shown below, beginning line 27.</t>
  </si>
  <si>
    <t>Other Deductions (pre-tax) *</t>
  </si>
  <si>
    <t>Line 12 shown above</t>
  </si>
  <si>
    <t>Plus</t>
  </si>
  <si>
    <t>II-E-1 (Recoverable non-service costs pension and OPEBs reclassed from A403 for GAAP presentation)</t>
  </si>
  <si>
    <t>II-D-2, Line 9 (Recoverable non-service costs pension and OPEBs reclassed from account 926 for GAAP presentation)</t>
  </si>
  <si>
    <t>per GAAP income statement</t>
  </si>
  <si>
    <t>Income statement check</t>
  </si>
  <si>
    <t>Operating Lease Asset</t>
  </si>
  <si>
    <t>Reg Asset - Workers Comp</t>
  </si>
  <si>
    <t>RB impact of Adjs</t>
  </si>
  <si>
    <t>Rate Case Expenses - December 2021 Test Year Rate Case (Estimate)</t>
  </si>
  <si>
    <t>Rate Case Expenses - DCRF Case, Docket No. 51996</t>
  </si>
  <si>
    <t>R&amp;D Tax Credit</t>
  </si>
  <si>
    <t>II-E-19</t>
  </si>
  <si>
    <t>Operating Lease Obligation</t>
  </si>
  <si>
    <t>Adjusted Total at December 31, 2021</t>
  </si>
  <si>
    <t xml:space="preserve">    R&amp;D Tax Credit</t>
  </si>
  <si>
    <t>II-E-3 (flip sign)</t>
  </si>
  <si>
    <t>Net ADIT at December 31, 2021 Per Books</t>
  </si>
  <si>
    <t>Direct Assignment MET</t>
  </si>
  <si>
    <t>Direct Assignment NTU</t>
  </si>
  <si>
    <t>A589</t>
  </si>
  <si>
    <t>Capital Lease O&amp;M Amortization</t>
  </si>
  <si>
    <t>Total Capital Lease O&amp;M Amortization</t>
  </si>
  <si>
    <t>December 2021</t>
  </si>
  <si>
    <t>January 2022</t>
  </si>
  <si>
    <t>December 2028</t>
  </si>
  <si>
    <t>II-B-1 (Acct. 362)</t>
  </si>
  <si>
    <t>00.11</t>
  </si>
  <si>
    <t>00.11: Furn, Fixt, Equip</t>
  </si>
  <si>
    <t>MACRS 7</t>
  </si>
  <si>
    <t>HY</t>
  </si>
  <si>
    <t>00.12</t>
  </si>
  <si>
    <t>00.12: Info Systems</t>
  </si>
  <si>
    <t>MACRS 5</t>
  </si>
  <si>
    <t>00.21</t>
  </si>
  <si>
    <t>00.21: Airplanes</t>
  </si>
  <si>
    <t>00.22</t>
  </si>
  <si>
    <t>00.22: Automobiles</t>
  </si>
  <si>
    <t>00.241</t>
  </si>
  <si>
    <t>00.241: Light Trucks</t>
  </si>
  <si>
    <t>00.242</t>
  </si>
  <si>
    <t>00.242: Heavy Trucks</t>
  </si>
  <si>
    <t>00.27</t>
  </si>
  <si>
    <t>00.27: Trailers</t>
  </si>
  <si>
    <t>00.28</t>
  </si>
  <si>
    <t>00.28: Boats</t>
  </si>
  <si>
    <t>MACRS 10</t>
  </si>
  <si>
    <t>00.3</t>
  </si>
  <si>
    <t>00.3: Land Improv</t>
  </si>
  <si>
    <t>MACRS 15</t>
  </si>
  <si>
    <t>40.4</t>
  </si>
  <si>
    <t>40.4: Railroad Track</t>
  </si>
  <si>
    <t>49.14</t>
  </si>
  <si>
    <t>49.14: Trans &amp; Dist Plnt</t>
  </si>
  <si>
    <t>MACRS 20</t>
  </si>
  <si>
    <t>49.14A</t>
  </si>
  <si>
    <t>49.14A: Trans 4/05-1/11</t>
  </si>
  <si>
    <t>49.14B</t>
  </si>
  <si>
    <t>49.14B: Meters</t>
  </si>
  <si>
    <t>49.14C</t>
  </si>
  <si>
    <t>49.14C: Smart Meters</t>
  </si>
  <si>
    <t>49.14D</t>
  </si>
  <si>
    <t>49.14D Street Lighting</t>
  </si>
  <si>
    <t>57.0</t>
  </si>
  <si>
    <t>57.0: Distr Trades Serv</t>
  </si>
  <si>
    <t>AM15</t>
  </si>
  <si>
    <t>AM15: 197 Amortization</t>
  </si>
  <si>
    <t>SL 15</t>
  </si>
  <si>
    <t>MM</t>
  </si>
  <si>
    <t>LH</t>
  </si>
  <si>
    <t>LH: LH Improv</t>
  </si>
  <si>
    <t>MACRS 39</t>
  </si>
  <si>
    <t>LR46</t>
  </si>
  <si>
    <t>LR46: Easements 46 Yr</t>
  </si>
  <si>
    <t>SL 46</t>
  </si>
  <si>
    <t>LR84</t>
  </si>
  <si>
    <t>LR84: Easements 84 Yr</t>
  </si>
  <si>
    <t>SL 84</t>
  </si>
  <si>
    <t>ND</t>
  </si>
  <si>
    <t>ND: Non Depr</t>
  </si>
  <si>
    <t>None</t>
  </si>
  <si>
    <t>RP</t>
  </si>
  <si>
    <t>RP: RP 81-86 &amp; Post92</t>
  </si>
  <si>
    <t>TRAN TOTAL</t>
  </si>
  <si>
    <t>NTU TRAN TOTAL</t>
  </si>
  <si>
    <t>DC TIE TOTAL</t>
  </si>
  <si>
    <t>DIST TOTAL</t>
  </si>
  <si>
    <t>NTU DIST TOTAL</t>
  </si>
  <si>
    <t>MET TOTAL</t>
  </si>
  <si>
    <t>TDCS TOTAL</t>
  </si>
  <si>
    <t>There are no Investment Tax Credits related to any additions placed into service January 2017 through December 31, 2021.</t>
  </si>
  <si>
    <t>Total Federal Income Taxes Before Adjustments</t>
  </si>
  <si>
    <t xml:space="preserve">    Meals and Entertainment</t>
  </si>
  <si>
    <t xml:space="preserve">    Depreciation Differences</t>
  </si>
  <si>
    <t xml:space="preserve">    Employee Compensation Plans</t>
  </si>
  <si>
    <t>EPIS - Flow Through Gross-up</t>
  </si>
  <si>
    <t>CWIP - Flow Through Gross-up</t>
  </si>
  <si>
    <t>CIAC and Relocation</t>
  </si>
  <si>
    <t>Reg Asset - Deferred Pension &amp; OPEB Costs</t>
  </si>
  <si>
    <t>Reg Asset - AMS Expense</t>
  </si>
  <si>
    <t>Reg Asset - Deferred Mobile Generator Costs</t>
  </si>
  <si>
    <t>Reg Asset - Wholesale Distribution Substation Service</t>
  </si>
  <si>
    <t>Pension/OPEB - Gross-up</t>
  </si>
  <si>
    <t>Pension Plan Liability</t>
  </si>
  <si>
    <t>Tax Capitalized Interest
AFUDC Debt</t>
  </si>
  <si>
    <t>Remove ADFIT consistent with treatment of underlying temporary difference</t>
  </si>
  <si>
    <t>Adjust ADFIT consistent with treatment of underlying temporary difference</t>
  </si>
  <si>
    <t>Remove ADFIT consistent with Docket 34040 commitments</t>
  </si>
  <si>
    <t xml:space="preserve">  R&amp;D Tax Credit</t>
  </si>
  <si>
    <t>Bonnie L. Clutter</t>
  </si>
  <si>
    <t>The difference will increase/ decrease per the value of the operating leases.</t>
  </si>
  <si>
    <t>For regulatory purposes, a portion of the pension and OPEB non-service costs is capitalized and depreciated.  For GAAP purposes, the non-service cost is not capitalized and instead deferred to a regulatory asset.  As the cost are deferred, a deferred tax liability is recorded which offsets the deferred tax asset on the pension and OPEB plan liabilities.  Pension &amp; OPEB costs are deductible as qualified contributions are made.</t>
  </si>
  <si>
    <t>For book, CIAC for new construction and relocations are recorded as a reduction to book basis to offset the  reimbursed asset.  For tax, CIAC and relocations not subject to eminent domain are taxable when received, included in tax basis, and depreciated.  The company has a two year reinvestment window for relocations subject to eminent domain before the proceeds become taxable.</t>
  </si>
  <si>
    <t>For book, the loss on settlement of interest rate swaps is recorded to OCI and amortized to interest expense over the life of the related debt.  For tax, the loss is deductible on the settlement date.</t>
  </si>
  <si>
    <t xml:space="preserve">For book, pension and OPEB costs in excess of what has been allowed in rates are deferred to a regulatory asset.  The deferred costs are reviewed in rate proceedings before the PUCT and, if allowed, are amortized over an agreed upon amortization period.  For tax, the deferred benefit expense (credit to expense) is not taxable.  Pension and OPEB costs are deductible as qualifying contributions are made.     </t>
  </si>
  <si>
    <t>For book, expenses incurred related to the mobile generators are deferred to a regulatory asset.  For tax, the expenses are deductible when incurred.</t>
  </si>
  <si>
    <t>For book, debt reacquisition costs are amortized over the life of the original debt.  For tax, the costs are deductible when paid.</t>
  </si>
  <si>
    <t>For book, TCRF revenues are reconcilable and any over or under collection is deferred to a regulatory asset.  For tax, TCRF revenues are taxable when received.</t>
  </si>
  <si>
    <t>For book, uncollectible accounts receivable from REPS are deferred to a regulatory asset to be amortized upon approval in a rate proceeding.  For tax, the uncollectible accounts receivable is deductible when the A/R is removed from the books.</t>
  </si>
  <si>
    <t>For book, the expense Oncor incurs for Sharyland's wholesale distribution substation service (WDSS) tariff is deferred to a regulatory asset.  For tax, the WDSS expense is deductible when paid.</t>
  </si>
  <si>
    <t>Sharyland Utilities' residential interim rates approved in Docket 45414 are deferred to a regulatory asset.  For tax, the expenses are deductible when paid.</t>
  </si>
  <si>
    <t>For book, expenses incurred for a project initiated by the PUCT which was later cancelled were deferred to a regulatory asset.  For tax, the expenses were deductible when paid.</t>
  </si>
  <si>
    <t>For book, expenses related to the Power Line Safety Act are being deferred to a regulatory asset.  For tax, the expenses are deductible when paid.</t>
  </si>
  <si>
    <t>For book, incremental expenses resulting from the effects of the Covid-19 pandemic are deferred to a regulatory asset.  For tax, the expenses are deductible when paid.</t>
  </si>
  <si>
    <t>Gain/Loss on Derivatives</t>
  </si>
  <si>
    <t>For book, losses on hedging instruments are amortized over the life of the related debt instrument.  For tax, the loss is deductible when paid.</t>
  </si>
  <si>
    <t>This is the deferred tax asset for the operating lease liability as a result of ASU 2016-02, Topic 842.</t>
  </si>
  <si>
    <t>The difference will increase / decrease per the value of the operating leases.</t>
  </si>
  <si>
    <t>For book, a regulatory liability was recorded related to Oncor's capital structure being different than the approved capital structure in Docket 46957.  The reduction in book revenue is not deductible until there is a refund to the customers.</t>
  </si>
  <si>
    <t>For book, a regulatory liability was recorded related to the change in FIT rates not reflected in billed tariffs approved in Docket. 46957.  The reduction in  book revenue is not deductible for tax until there is a refund to customers.</t>
  </si>
  <si>
    <t xml:space="preserve">For book, OPEB costs that are less what is allowed in rates are deferred to a regulatory liability.  The over-collected amounts will be returned to customers upon approval from the PUCT.  For tax, OPEB costs are deductible as qualifying contributions are made.     </t>
  </si>
  <si>
    <t>The difference will reverse as the over-collected amounts are returned to customers.</t>
  </si>
  <si>
    <t>For book, a regulatory liability was set-up to account for the over-billing of intangible software that had been amortized beyond its useful life.  For tax, the refund to customers will be deductible when paid.</t>
  </si>
  <si>
    <t>The difference will reverse as the over-collected amount is returned to customers.</t>
  </si>
  <si>
    <t>The Company expenses supplemental pension costs applicable to a limited number of individuals. These benefits represent unfunded amounts in excess of those allowed by the tax law for qualified retirement plan. Such expenses are not tax deductible until payments are made to the participants of the plan or when payments are made to the plan trust.</t>
  </si>
  <si>
    <t>The balance will reverse when the last payment is made to the participants in this plan.</t>
  </si>
  <si>
    <t>For book, the net periodic costs are expensed and accrued to the liability accounts based on actuarial studies that determine the expected benefit obligation, in accordance with FAS 106 and FAS 112.  For tax, the actual payments to employees or contributions to a qualified plan are deductible.</t>
  </si>
  <si>
    <t>For book, the compensation that is deferred is amortized either over a seven year period or in the year that the employee performs the service. For tax, a deduction is allowed when there are distributions to participants in the plan.</t>
  </si>
  <si>
    <t>The difference will reverse when all of the liabilities for this plan have been paid to the eligible participants in these plans.</t>
  </si>
  <si>
    <t>For book, organizational expenses were incurred and expensed in 2008.  For tax, the expenses are capitalized and amortized over 15 years.</t>
  </si>
  <si>
    <t>This difference for expenses related to partnership formation will be fully reversed in 2023.</t>
  </si>
  <si>
    <t>As allowed per the CARES Act Stimulus Package, the payment of the employer portion of FICA taxes was deferred for periods between March 2020 and December 2020.  For tax, the payments are deductible when paid to the IRS.</t>
  </si>
  <si>
    <t xml:space="preserve">Reg Asset - NTU Transition Costs </t>
  </si>
  <si>
    <t>For book, lease expense on the 777 Main St. office building in Fort Worth is being accrued monthly, but payments, due to a one year rent holiday, are on a one year lag.  For tax, the lease expense will be deductible when the lease payments are made.</t>
  </si>
  <si>
    <t>PAYXAG From Docket 46957</t>
  </si>
  <si>
    <t>Approved in Docket No. 41890</t>
  </si>
  <si>
    <t>The information presented below reflects actual costs related to Docket No. 46957 rate case expenses recorded after the May 31, 2017 cutoff, actual costs related to Docket Nos. 48325, 48231, 49427, 49721, and 51996, 
and an estimate for costs to be incurred for this proceeding.  These numbers will be replaced with actual costs later in the proceeding.</t>
  </si>
  <si>
    <t>Election to adjust the basis of its property pursuant to IRC Sec. 754</t>
  </si>
  <si>
    <t>II-E-3.5</t>
  </si>
  <si>
    <t>Property-related ADFIT Liabilities</t>
  </si>
  <si>
    <t>Non-property-related ADFIT Liabilities</t>
  </si>
  <si>
    <t>Less:  ADFIT Assets</t>
  </si>
  <si>
    <t>Net ADFIT Liabilities (Assets)</t>
  </si>
  <si>
    <t>Accumulated Deferred Federal Income Taxes:</t>
  </si>
  <si>
    <t>Sub-Total ADFIT Liabilities</t>
  </si>
  <si>
    <t>Sub-Total ADFIT Assets</t>
  </si>
  <si>
    <t>Adjustments to ADFIT Liabilities</t>
  </si>
  <si>
    <t>Adjustments to ADFIT Assets</t>
  </si>
  <si>
    <t>Ln 4</t>
  </si>
  <si>
    <t>Ln 5</t>
  </si>
  <si>
    <t>Ln 8</t>
  </si>
  <si>
    <t>Ln 12</t>
  </si>
  <si>
    <t>Ln 13</t>
  </si>
  <si>
    <t>Ln 27</t>
  </si>
  <si>
    <t>Ln 33</t>
  </si>
  <si>
    <t>Ln 38</t>
  </si>
  <si>
    <t>Ln 42</t>
  </si>
  <si>
    <t>Ln 43</t>
  </si>
  <si>
    <t>Ln 47</t>
  </si>
  <si>
    <t>Ln 44</t>
  </si>
  <si>
    <t>Ln 45</t>
  </si>
  <si>
    <t>Ln 51</t>
  </si>
  <si>
    <t>Ln 60</t>
  </si>
  <si>
    <t>Ln 61</t>
  </si>
  <si>
    <t>Ln 68</t>
  </si>
  <si>
    <t>Ln 73</t>
  </si>
  <si>
    <t>Ln 74</t>
  </si>
  <si>
    <t>Ln 77</t>
  </si>
  <si>
    <t>Ln 78</t>
  </si>
  <si>
    <t>Accelerated deductions taken for tax in prior years for losses incurred due to federal disaster declarations.</t>
  </si>
  <si>
    <t>Ln 81</t>
  </si>
  <si>
    <t>WP/II-E-3.19/1</t>
  </si>
  <si>
    <t>WP/II-E-3.9/1</t>
  </si>
  <si>
    <t>II-B-12, II-D-2.2a</t>
  </si>
  <si>
    <t>Pages 11 - 43</t>
  </si>
  <si>
    <t>Functionalization Factor Name</t>
  </si>
  <si>
    <t>Tax Credits:</t>
  </si>
  <si>
    <t>Amortization Period (Years)</t>
  </si>
  <si>
    <t>(4) Reference Schedule II-E-4.5 Rate Case Expenses.</t>
  </si>
  <si>
    <t>Amount approved in Docket 49721 (January 1 through November 26, 2017)</t>
  </si>
  <si>
    <t>Requested Amortization</t>
  </si>
  <si>
    <t>*  For test period amount, net of accounts 410.1 &amp; 411.1; for amount requested, net of amounts shown on Analysis of Federal Income Taxes.</t>
  </si>
  <si>
    <t>** From amounts included in Analysis of Federal Income Taxes.</t>
  </si>
</sst>
</file>

<file path=xl/styles.xml><?xml version="1.0" encoding="utf-8"?>
<styleSheet xmlns="http://schemas.openxmlformats.org/spreadsheetml/2006/main" xmlns:mc="http://schemas.openxmlformats.org/markup-compatibility/2006" xmlns:x14ac="http://schemas.microsoft.com/office/spreadsheetml/2009/9/ac" mc:Ignorable="x14ac">
  <numFmts count="37">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 #,##0.0000_);_(* \(#,##0.0000\);_(* &quot;-&quot;??_);_(@_)"/>
    <numFmt numFmtId="166" formatCode="0.0%"/>
    <numFmt numFmtId="167" formatCode="_(&quot;$&quot;* #,##0_);_(&quot;$&quot;* \(#,##0\);_(&quot;$&quot;* &quot;-&quot;??_);_(@_)"/>
    <numFmt numFmtId="168" formatCode="_(* #,##0.000_);_(* \(#,##0.000\);_(* &quot;-&quot;??_);_(@_)"/>
    <numFmt numFmtId="169" formatCode="_(* #,##0.000000_);_(* \(#,##0.000000\);_(* &quot;-&quot;??_);_(@_)"/>
    <numFmt numFmtId="170" formatCode="0.00000%"/>
    <numFmt numFmtId="171" formatCode="_(* #,##0.000000_);_(* \(#,##0.000000\);_(* &quot;-&quot;??????_);_(@_)"/>
    <numFmt numFmtId="172" formatCode="0.0"/>
    <numFmt numFmtId="173" formatCode="0.000000"/>
    <numFmt numFmtId="174" formatCode="000.0000"/>
    <numFmt numFmtId="175" formatCode="0.0000000%"/>
    <numFmt numFmtId="176" formatCode="0.000000%"/>
    <numFmt numFmtId="177" formatCode="\£\ #,##0_);[Red]\(\£\ #,##0\)"/>
    <numFmt numFmtId="178" formatCode="\¥\ #,##0_);[Red]\(\¥\ #,##0\)"/>
    <numFmt numFmtId="179" formatCode="\•\ \ @"/>
    <numFmt numFmtId="180" formatCode="#,##0,_);[Red]\(#,##0,\)"/>
    <numFmt numFmtId="181" formatCode="\ \ _•\–\ \ \ \ @"/>
    <numFmt numFmtId="182" formatCode="0.000000000%"/>
    <numFmt numFmtId="183" formatCode="0.00000000%"/>
    <numFmt numFmtId="184" formatCode="0.00_)"/>
    <numFmt numFmtId="185" formatCode="[Blue]#,##0,_);[Red]\(#,##0,\)"/>
    <numFmt numFmtId="186" formatCode="_(* #,##0.000000_);_(* \(#,##0.000000\);_(* &quot;-&quot;_);_(@_)"/>
    <numFmt numFmtId="187" formatCode="_(* #,##0.0_);_(* \(#,##0.0\);_(* &quot;-&quot;?_);_(@_)"/>
    <numFmt numFmtId="188" formatCode="_(* #,##0.0_);_(* \(#,##0.0\);_(* &quot;-&quot;??_);_(@_)"/>
    <numFmt numFmtId="189" formatCode="#,##0.00000_);[Red]\(#,##0.00000\)"/>
    <numFmt numFmtId="190" formatCode="_(&quot;$&quot;* #,##0.0_);_(&quot;$&quot;* \(#,##0.0\);_(&quot;$&quot;* &quot;-&quot;_);_(@_)"/>
    <numFmt numFmtId="191" formatCode="_(* #,##0.00000_);_(* \(#,##0.00000\);_(* &quot;-&quot;??_);_(@_)"/>
    <numFmt numFmtId="192" formatCode="_(* #,##0.00000_);_(* \(#,##0.00000\);_(* &quot;-&quot;?????_);_(@_)"/>
    <numFmt numFmtId="193" formatCode="_(&quot;$&quot;* #,##0.0000_);_(&quot;$&quot;* \(#,##0.0000\);_(&quot;$&quot;* &quot;-&quot;??_);_(@_)"/>
  </numFmts>
  <fonts count="67">
    <font>
      <sz val="10"/>
      <name val="Arial"/>
      <family val="2"/>
    </font>
    <font>
      <sz val="10"/>
      <color theme="1"/>
      <name val="Arial"/>
      <family val="2"/>
    </font>
    <font>
      <sz val="11"/>
      <color theme="1"/>
      <name val="Calibri"/>
      <family val="2"/>
      <scheme val="minor"/>
    </font>
    <font>
      <b/>
      <sz val="10"/>
      <name val="Arial"/>
      <family val="2"/>
    </font>
    <font>
      <sz val="8"/>
      <name val="Arial"/>
      <family val="2"/>
    </font>
    <font>
      <u val="single"/>
      <sz val="10"/>
      <name val="Arial"/>
      <family val="2"/>
    </font>
    <font>
      <b/>
      <u val="single"/>
      <sz val="10"/>
      <name val="Arial"/>
      <family val="2"/>
    </font>
    <font>
      <u val="single"/>
      <sz val="10"/>
      <color indexed="12"/>
      <name val="Arial"/>
      <family val="2"/>
    </font>
    <font>
      <sz val="10"/>
      <color indexed="8"/>
      <name val="Arial"/>
      <family val="2"/>
    </font>
    <font>
      <b/>
      <sz val="10"/>
      <color indexed="10"/>
      <name val="Arial"/>
      <family val="2"/>
    </font>
    <font>
      <sz val="12"/>
      <name val="Arial"/>
      <family val="2"/>
    </font>
    <font>
      <b/>
      <sz val="12"/>
      <name val="Arial"/>
      <family val="2"/>
    </font>
    <font>
      <sz val="10"/>
      <color indexed="10"/>
      <name val="Arial"/>
      <family val="2"/>
    </font>
    <font>
      <sz val="10"/>
      <name val="Times New Roman"/>
      <family val="1"/>
    </font>
    <font>
      <sz val="10"/>
      <color indexed="12"/>
      <name val="Arial"/>
      <family val="2"/>
    </font>
    <font>
      <sz val="10"/>
      <color indexed="17"/>
      <name val="Arial"/>
      <family val="2"/>
    </font>
    <font>
      <sz val="10"/>
      <color indexed="14"/>
      <name val="Arial"/>
      <family val="2"/>
    </font>
    <font>
      <b/>
      <u val="single"/>
      <sz val="10"/>
      <name val="Times New Roman"/>
      <family val="1"/>
    </font>
    <font>
      <sz val="12"/>
      <name val="Times New Roman"/>
      <family val="1"/>
    </font>
    <font>
      <b/>
      <u val="single"/>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FF0000"/>
      <name val="Arial"/>
      <family val="2"/>
    </font>
    <font>
      <sz val="10"/>
      <color rgb="FFFF0000"/>
      <name val="Calibri"/>
      <family val="2"/>
      <scheme val="minor"/>
    </font>
    <font>
      <sz val="10"/>
      <name val="Arial Unicode MS"/>
      <family val="2"/>
    </font>
    <font>
      <sz val="10"/>
      <color indexed="9"/>
      <name val="Verdana"/>
      <family val="2"/>
    </font>
    <font>
      <sz val="10"/>
      <color indexed="8"/>
      <name val="Sans serif"/>
      <family val="2"/>
    </font>
    <font>
      <sz val="11"/>
      <color rgb="FF000000"/>
      <name val="Calibri"/>
      <family val="2"/>
    </font>
    <font>
      <sz val="10"/>
      <name val="Calibri"/>
      <family val="2"/>
    </font>
    <font>
      <sz val="10"/>
      <color theme="1"/>
      <name val="Calibri"/>
      <family val="2"/>
      <scheme val="minor"/>
    </font>
    <font>
      <sz val="8"/>
      <color rgb="FFFF0000"/>
      <name val="Arial"/>
      <family val="2"/>
    </font>
    <font>
      <b/>
      <sz val="10"/>
      <color theme="1"/>
      <name val="Arial"/>
      <family val="2"/>
    </font>
    <font>
      <b/>
      <u val="single"/>
      <sz val="10"/>
      <color theme="1"/>
      <name val="Arial"/>
      <family val="2"/>
    </font>
    <font>
      <sz val="8"/>
      <color indexed="10"/>
      <name val="Arial"/>
      <family val="2"/>
    </font>
    <font>
      <sz val="10"/>
      <color indexed="12"/>
      <name val="Tahoma"/>
      <family val="2"/>
    </font>
    <font>
      <b/>
      <sz val="12"/>
      <name val="Times New Roman"/>
      <family val="1"/>
    </font>
    <font>
      <sz val="11"/>
      <color indexed="8"/>
      <name val="Calibri"/>
      <family val="2"/>
    </font>
    <font>
      <sz val="10"/>
      <name val="BERNHARD"/>
      <family val="2"/>
    </font>
    <font>
      <sz val="10"/>
      <name val="Helv"/>
      <family val="2"/>
    </font>
    <font>
      <sz val="1"/>
      <color indexed="8"/>
      <name val="Courier"/>
      <family val="3"/>
    </font>
    <font>
      <b/>
      <sz val="1"/>
      <color indexed="8"/>
      <name val="Courier"/>
      <family val="3"/>
    </font>
    <font>
      <sz val="11"/>
      <name val="Times New Roman"/>
      <family val="1"/>
    </font>
    <font>
      <b/>
      <i/>
      <sz val="16"/>
      <name val="Helv"/>
      <family val="2"/>
    </font>
    <font>
      <sz val="10"/>
      <color indexed="62"/>
      <name val="Arial"/>
      <family val="2"/>
    </font>
    <font>
      <sz val="8"/>
      <color indexed="12"/>
      <name val="Arial"/>
      <family val="2"/>
    </font>
    <font>
      <b/>
      <sz val="10"/>
      <name val="Times New Roman"/>
      <family val="1"/>
    </font>
    <font>
      <sz val="10"/>
      <name val="MS Sans Serif"/>
      <family val="2"/>
    </font>
    <font>
      <b/>
      <sz val="10"/>
      <name val="MS Sans Serif"/>
      <family val="2"/>
    </font>
    <font>
      <sz val="9"/>
      <color rgb="FFFF0000"/>
      <name val="Arial"/>
      <family val="2"/>
    </font>
    <font>
      <sz val="9"/>
      <color indexed="10"/>
      <name val="Arial"/>
      <family val="2"/>
    </font>
    <font>
      <b/>
      <sz val="10"/>
      <color rgb="FFFF0000"/>
      <name val="Arial"/>
      <family val="2"/>
    </font>
    <font>
      <i/>
      <sz val="10"/>
      <name val="Arial"/>
      <family val="2"/>
    </font>
    <font>
      <b/>
      <sz val="9"/>
      <name val="Tahoma"/>
      <family val="2"/>
    </font>
    <font>
      <sz val="9"/>
      <name val="Tahoma"/>
      <family val="2"/>
    </font>
  </fonts>
  <fills count="35">
    <fill>
      <patternFill patternType="none"/>
    </fill>
    <fill>
      <patternFill patternType="gray125"/>
    </fill>
    <fill>
      <patternFill patternType="solid">
        <fgColor indexed="44"/>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2F2F2"/>
        <bgColor indexed="64"/>
      </patternFill>
    </fill>
    <fill>
      <patternFill patternType="solid">
        <fgColor rgb="FFA5A5A5"/>
        <bgColor indexed="64"/>
      </patternFill>
    </fill>
    <fill>
      <patternFill patternType="solid">
        <fgColor theme="4"/>
        <bgColor indexed="64"/>
      </patternFill>
    </fill>
    <fill>
      <patternFill patternType="solid">
        <fgColor theme="4" tint="0.79998"/>
        <bgColor indexed="64"/>
      </patternFill>
    </fill>
    <fill>
      <patternFill patternType="solid">
        <fgColor theme="4" tint="0.59999"/>
        <bgColor indexed="64"/>
      </patternFill>
    </fill>
    <fill>
      <patternFill patternType="solid">
        <fgColor theme="4" tint="0.39998"/>
        <bgColor indexed="64"/>
      </patternFill>
    </fill>
    <fill>
      <patternFill patternType="solid">
        <fgColor theme="5"/>
        <bgColor indexed="64"/>
      </patternFill>
    </fill>
    <fill>
      <patternFill patternType="solid">
        <fgColor theme="5" tint="0.79998"/>
        <bgColor indexed="64"/>
      </patternFill>
    </fill>
    <fill>
      <patternFill patternType="solid">
        <fgColor theme="5" tint="0.59999"/>
        <bgColor indexed="64"/>
      </patternFill>
    </fill>
    <fill>
      <patternFill patternType="solid">
        <fgColor theme="5" tint="0.39998"/>
        <bgColor indexed="64"/>
      </patternFill>
    </fill>
    <fill>
      <patternFill patternType="solid">
        <fgColor theme="6"/>
        <bgColor indexed="64"/>
      </patternFill>
    </fill>
    <fill>
      <patternFill patternType="solid">
        <fgColor theme="6" tint="0.79998"/>
        <bgColor indexed="64"/>
      </patternFill>
    </fill>
    <fill>
      <patternFill patternType="solid">
        <fgColor theme="6" tint="0.59999"/>
        <bgColor indexed="64"/>
      </patternFill>
    </fill>
    <fill>
      <patternFill patternType="solid">
        <fgColor theme="6" tint="0.39998"/>
        <bgColor indexed="64"/>
      </patternFill>
    </fill>
    <fill>
      <patternFill patternType="solid">
        <fgColor theme="7"/>
        <bgColor indexed="64"/>
      </patternFill>
    </fill>
    <fill>
      <patternFill patternType="solid">
        <fgColor theme="7" tint="0.79998"/>
        <bgColor indexed="64"/>
      </patternFill>
    </fill>
    <fill>
      <patternFill patternType="solid">
        <fgColor theme="7" tint="0.59999"/>
        <bgColor indexed="64"/>
      </patternFill>
    </fill>
    <fill>
      <patternFill patternType="solid">
        <fgColor theme="7" tint="0.39998"/>
        <bgColor indexed="64"/>
      </patternFill>
    </fill>
    <fill>
      <patternFill patternType="solid">
        <fgColor theme="8"/>
        <bgColor indexed="64"/>
      </patternFill>
    </fill>
    <fill>
      <patternFill patternType="solid">
        <fgColor theme="8" tint="0.79998"/>
        <bgColor indexed="64"/>
      </patternFill>
    </fill>
    <fill>
      <patternFill patternType="solid">
        <fgColor theme="8" tint="0.59999"/>
        <bgColor indexed="64"/>
      </patternFill>
    </fill>
    <fill>
      <patternFill patternType="solid">
        <fgColor theme="8" tint="0.39998"/>
        <bgColor indexed="64"/>
      </patternFill>
    </fill>
    <fill>
      <patternFill patternType="solid">
        <fgColor theme="9"/>
        <bgColor indexed="64"/>
      </patternFill>
    </fill>
    <fill>
      <patternFill patternType="solid">
        <fgColor theme="9" tint="0.79998"/>
        <bgColor indexed="64"/>
      </patternFill>
    </fill>
    <fill>
      <patternFill patternType="solid">
        <fgColor theme="9" tint="0.59999"/>
        <bgColor indexed="64"/>
      </patternFill>
    </fill>
    <fill>
      <patternFill patternType="solid">
        <fgColor theme="9" tint="0.39998"/>
        <bgColor indexed="64"/>
      </patternFill>
    </fill>
    <fill>
      <patternFill patternType="solid">
        <fgColor indexed="42"/>
        <bgColor indexed="64"/>
      </patternFill>
    </fill>
    <fill>
      <patternFill patternType="solid">
        <fgColor indexed="41"/>
        <bgColor indexed="64"/>
      </patternFill>
    </fill>
    <fill>
      <patternFill patternType="mediumGray">
        <fgColor indexed="22"/>
      </patternFill>
    </fill>
  </fills>
  <borders count="49">
    <border>
      <left/>
      <right/>
      <top/>
      <bottom/>
      <diagonal/>
    </border>
    <border>
      <left/>
      <right/>
      <top/>
      <bottom style="thick">
        <color theme="4"/>
      </bottom>
    </border>
    <border>
      <left/>
      <right/>
      <top/>
      <bottom style="thick">
        <color theme="4" tint="0.49998"/>
      </bottom>
    </border>
    <border>
      <left/>
      <right/>
      <top/>
      <bottom style="medium">
        <color theme="4" tint="0.39998"/>
      </bottom>
    </border>
    <border>
      <left style="thin">
        <color rgb="FF3F3F3F"/>
      </left>
      <right style="thin">
        <color rgb="FF3F3F3F"/>
      </right>
      <top style="thin">
        <color rgb="FF3F3F3F"/>
      </top>
      <bottom style="thin">
        <color rgb="FF3F3F3F"/>
      </bottom>
    </border>
    <border>
      <left style="thin">
        <color rgb="FF7F7F7F"/>
      </left>
      <right style="thin">
        <color rgb="FF7F7F7F"/>
      </right>
      <top style="thin">
        <color rgb="FF7F7F7F"/>
      </top>
      <bottom style="thin">
        <color rgb="FF7F7F7F"/>
      </bottom>
    </border>
    <border>
      <left/>
      <right/>
      <top/>
      <bottom style="double">
        <color rgb="FFFF8001"/>
      </bottom>
    </border>
    <border>
      <left style="double">
        <color rgb="FF3F3F3F"/>
      </left>
      <right style="double">
        <color rgb="FF3F3F3F"/>
      </right>
      <top style="double">
        <color rgb="FF3F3F3F"/>
      </top>
      <bottom style="double">
        <color rgb="FF3F3F3F"/>
      </bottom>
    </border>
    <border>
      <left/>
      <right/>
      <top style="thin">
        <color theme="4"/>
      </top>
      <bottom style="double">
        <color theme="4"/>
      </bottom>
    </border>
    <border>
      <left/>
      <right/>
      <top/>
      <bottom style="thin">
        <color auto="1"/>
      </bottom>
    </border>
    <border>
      <left/>
      <right/>
      <top/>
      <bottom style="medium">
        <color indexed="45"/>
      </bottom>
    </border>
    <border>
      <left style="thin">
        <color auto="1"/>
      </left>
      <right style="thin">
        <color auto="1"/>
      </right>
      <top/>
      <bottom/>
    </border>
    <border>
      <left/>
      <right/>
      <top/>
      <bottom style="thin">
        <color indexed="45"/>
      </bottom>
    </border>
    <border>
      <left/>
      <right/>
      <top style="medium">
        <color indexed="45"/>
      </top>
      <bottom/>
    </border>
    <border>
      <left/>
      <right/>
      <top/>
      <bottom style="double">
        <color indexed="45"/>
      </bottom>
    </border>
    <border>
      <left/>
      <right/>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right/>
      <top style="medium">
        <color auto="1"/>
      </top>
      <bottom/>
    </border>
    <border>
      <left style="thin">
        <color auto="1"/>
      </left>
      <right style="thin">
        <color auto="1"/>
      </right>
      <top style="thin">
        <color auto="1"/>
      </top>
      <bottom/>
    </border>
    <border>
      <left style="thin">
        <color auto="1"/>
      </left>
      <right style="thin">
        <color auto="1"/>
      </right>
      <top/>
      <bottom style="thin">
        <color auto="1"/>
      </bottom>
    </border>
    <border>
      <left/>
      <right/>
      <top style="thin">
        <color auto="1"/>
      </top>
      <bottom/>
    </border>
    <border>
      <left/>
      <right/>
      <top/>
      <bottom style="double">
        <color auto="1"/>
      </bottom>
    </border>
    <border>
      <left/>
      <right/>
      <top style="thin">
        <color auto="1"/>
      </top>
      <bottom style="thin">
        <color auto="1"/>
      </bottom>
    </border>
    <border>
      <left style="medium">
        <color auto="1"/>
      </left>
      <right/>
      <top style="medium">
        <color auto="1"/>
      </top>
      <bottom/>
    </border>
    <border>
      <left style="medium">
        <color auto="1"/>
      </left>
      <right/>
      <top/>
      <bottom/>
    </border>
    <border>
      <left style="medium">
        <color auto="1"/>
      </left>
      <right/>
      <top/>
      <bottom style="medium">
        <color auto="1"/>
      </bottom>
    </border>
    <border>
      <left/>
      <right/>
      <top style="thin">
        <color auto="1"/>
      </top>
      <bottom style="double">
        <color auto="1"/>
      </bottom>
    </border>
    <border>
      <left/>
      <right style="medium">
        <color auto="1"/>
      </right>
      <top style="medium">
        <color auto="1"/>
      </top>
      <bottom/>
    </border>
    <border>
      <left/>
      <right style="medium">
        <color auto="1"/>
      </right>
      <top/>
      <bottom/>
    </border>
    <border>
      <left/>
      <right style="medium">
        <color auto="1"/>
      </right>
      <top/>
      <bottom style="medium">
        <color auto="1"/>
      </bottom>
    </border>
    <border>
      <left style="thick">
        <color auto="1"/>
      </left>
      <right style="thick">
        <color auto="1"/>
      </right>
      <top style="thick">
        <color auto="1"/>
      </top>
      <bottom style="thick">
        <color auto="1"/>
      </bottom>
    </border>
    <border>
      <left/>
      <right/>
      <top style="thin">
        <color auto="1"/>
      </top>
      <bottom style="medium">
        <color auto="1"/>
      </bottom>
    </border>
    <border>
      <left style="thick">
        <color auto="1"/>
      </left>
      <right style="thick">
        <color auto="1"/>
      </right>
      <top style="thick">
        <color auto="1"/>
      </top>
      <bottom/>
    </border>
    <border>
      <left style="thick">
        <color auto="1"/>
      </left>
      <right style="thick">
        <color auto="1"/>
      </right>
      <top/>
      <bottom/>
    </border>
    <border>
      <left style="thick">
        <color auto="1"/>
      </left>
      <right style="thick">
        <color auto="1"/>
      </right>
      <top/>
      <bottom style="thick">
        <color auto="1"/>
      </bottom>
    </border>
    <border>
      <left style="medium">
        <color auto="1"/>
      </left>
      <right style="thin">
        <color auto="1"/>
      </right>
      <top/>
      <bottom style="thin">
        <color auto="1"/>
      </bottom>
    </border>
    <border>
      <left style="thin">
        <color auto="1"/>
      </left>
      <right style="medium">
        <color auto="1"/>
      </right>
      <top/>
      <bottom style="thin">
        <color auto="1"/>
      </bottom>
    </border>
    <border>
      <left style="thin">
        <color auto="1"/>
      </left>
      <right style="thin">
        <color auto="1"/>
      </right>
      <top style="thin">
        <color auto="1"/>
      </top>
      <bottom style="thin">
        <color auto="1"/>
      </bottom>
    </border>
    <border>
      <left style="thin">
        <color auto="1"/>
      </left>
      <right style="medium">
        <color auto="1"/>
      </right>
      <top style="thin">
        <color auto="1"/>
      </top>
      <bottom style="thin">
        <color auto="1"/>
      </bottom>
    </border>
    <border>
      <left style="thin">
        <color auto="1"/>
      </left>
      <right style="thin">
        <color auto="1"/>
      </right>
      <top style="thin">
        <color auto="1"/>
      </top>
      <bottom style="medium">
        <color auto="1"/>
      </bottom>
    </border>
    <border>
      <left style="thin">
        <color auto="1"/>
      </left>
      <right style="thin">
        <color auto="1"/>
      </right>
      <top/>
      <bottom style="medium">
        <color auto="1"/>
      </bottom>
    </border>
    <border>
      <left style="medium">
        <color auto="1"/>
      </left>
      <right style="thin">
        <color auto="1"/>
      </right>
      <top/>
      <bottom style="medium">
        <color auto="1"/>
      </bottom>
    </border>
    <border>
      <left style="thin">
        <color auto="1"/>
      </left>
      <right style="medium">
        <color auto="1"/>
      </right>
      <top/>
      <bottom style="medium">
        <color auto="1"/>
      </bottom>
    </border>
    <border>
      <left style="medium">
        <color auto="1"/>
      </left>
      <right style="thin">
        <color auto="1"/>
      </right>
      <top style="medium">
        <color auto="1"/>
      </top>
      <bottom/>
    </border>
    <border>
      <left style="thin">
        <color auto="1"/>
      </left>
      <right style="thin">
        <color auto="1"/>
      </right>
      <top style="medium">
        <color auto="1"/>
      </top>
      <bottom/>
    </border>
    <border>
      <left style="thin">
        <color auto="1"/>
      </left>
      <right style="medium">
        <color auto="1"/>
      </right>
      <top style="medium">
        <color auto="1"/>
      </top>
      <bottom/>
    </border>
    <border>
      <left style="medium">
        <color auto="1"/>
      </left>
      <right style="medium">
        <color auto="1"/>
      </right>
      <top style="medium">
        <color auto="1"/>
      </top>
      <bottom style="medium">
        <color auto="1"/>
      </bottom>
    </border>
  </borders>
  <cellStyleXfs count="34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1"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172" fontId="0" fillId="0" borderId="0">
      <alignment horizontal="left" wrapText="1"/>
      <protection/>
    </xf>
    <xf numFmtId="0" fontId="7" fillId="0" borderId="0" applyNumberFormat="0" applyFill="0" applyBorder="0">
      <alignment/>
      <protection locked="0"/>
    </xf>
    <xf numFmtId="0" fontId="18" fillId="2" borderId="0" applyNumberFormat="0" applyFont="0" applyBorder="0" applyAlignment="0">
      <protection locked="0"/>
    </xf>
    <xf numFmtId="0" fontId="13" fillId="0" borderId="0">
      <alignment vertical="top"/>
      <protection/>
    </xf>
    <xf numFmtId="0" fontId="20" fillId="0" borderId="0" applyNumberFormat="0" applyFill="0" applyBorder="0" applyAlignment="0" applyProtection="0"/>
    <xf numFmtId="0" fontId="21" fillId="0" borderId="1" applyNumberFormat="0" applyFill="0" applyAlignment="0" applyProtection="0"/>
    <xf numFmtId="0" fontId="22" fillId="0" borderId="2" applyNumberFormat="0" applyFill="0" applyAlignment="0" applyProtection="0"/>
    <xf numFmtId="0" fontId="23" fillId="0" borderId="3" applyNumberFormat="0" applyFill="0" applyAlignment="0" applyProtection="0"/>
    <xf numFmtId="0" fontId="23" fillId="0" borderId="0" applyNumberFormat="0" applyFill="0" applyBorder="0" applyAlignment="0" applyProtection="0"/>
    <xf numFmtId="0" fontId="24" fillId="3" borderId="0" applyNumberFormat="0" applyBorder="0" applyAlignment="0" applyProtection="0"/>
    <xf numFmtId="0" fontId="25" fillId="4" borderId="0" applyNumberFormat="0" applyBorder="0" applyAlignment="0" applyProtection="0"/>
    <xf numFmtId="0" fontId="26" fillId="5" borderId="0" applyNumberFormat="0" applyBorder="0" applyAlignment="0" applyProtection="0"/>
    <xf numFmtId="0" fontId="27" fillId="6" borderId="4" applyNumberFormat="0" applyAlignment="0" applyProtection="0"/>
    <xf numFmtId="0" fontId="28" fillId="6" borderId="5" applyNumberFormat="0" applyAlignment="0" applyProtection="0"/>
    <xf numFmtId="0" fontId="29" fillId="0" borderId="6" applyNumberFormat="0" applyFill="0" applyAlignment="0" applyProtection="0"/>
    <xf numFmtId="0" fontId="30" fillId="7" borderId="7" applyNumberFormat="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3" fillId="0" borderId="8" applyNumberFormat="0" applyFill="0" applyAlignment="0" applyProtection="0"/>
    <xf numFmtId="0" fontId="34"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34" fillId="11" borderId="0" applyNumberFormat="0" applyBorder="0" applyAlignment="0" applyProtection="0"/>
    <xf numFmtId="0" fontId="34"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4" fillId="23" borderId="0" applyNumberFormat="0" applyBorder="0" applyAlignment="0" applyProtection="0"/>
    <xf numFmtId="0" fontId="34"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4" fillId="31"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0" fillId="0" borderId="0">
      <alignment/>
      <protection/>
    </xf>
    <xf numFmtId="0" fontId="2" fillId="0" borderId="0">
      <alignment/>
      <protection/>
    </xf>
    <xf numFmtId="0" fontId="37" fillId="0" borderId="0">
      <alignment/>
      <protection/>
    </xf>
    <xf numFmtId="43" fontId="2" fillId="0" borderId="0" applyFont="0" applyFill="0" applyBorder="0" applyAlignment="0" applyProtection="0"/>
    <xf numFmtId="0" fontId="0" fillId="0" borderId="0">
      <alignment/>
      <protection/>
    </xf>
    <xf numFmtId="0" fontId="2" fillId="0" borderId="0">
      <alignment/>
      <protection/>
    </xf>
    <xf numFmtId="0" fontId="2" fillId="0" borderId="0">
      <alignment/>
      <protection/>
    </xf>
    <xf numFmtId="43" fontId="2" fillId="0" borderId="0" applyFont="0" applyFill="0" applyBorder="0" applyAlignment="0" applyProtection="0"/>
    <xf numFmtId="41" fontId="2" fillId="0" borderId="0" applyFont="0" applyFill="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0" fillId="0" borderId="0">
      <alignment/>
      <protection/>
    </xf>
    <xf numFmtId="43" fontId="0" fillId="0" borderId="0" applyFont="0" applyFill="0" applyBorder="0" applyAlignment="0" applyProtection="0"/>
    <xf numFmtId="44" fontId="0" fillId="0" borderId="0" applyFont="0" applyFill="0" applyBorder="0" applyAlignment="0" applyProtection="0"/>
    <xf numFmtId="0" fontId="18" fillId="2" borderId="0" applyNumberFormat="0" applyFont="0" applyBorder="0" applyAlignment="0">
      <protection locked="0"/>
    </xf>
    <xf numFmtId="9" fontId="0" fillId="0" borderId="0" applyFont="0" applyFill="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0" borderId="0">
      <alignment/>
      <protection/>
    </xf>
    <xf numFmtId="41" fontId="0" fillId="0" borderId="0" applyFont="0" applyFill="0" applyBorder="0" applyAlignment="0" applyProtection="0"/>
    <xf numFmtId="43" fontId="2" fillId="0" borderId="0" applyFont="0" applyFill="0" applyBorder="0" applyAlignment="0" applyProtection="0"/>
    <xf numFmtId="0" fontId="2" fillId="0" borderId="0">
      <alignment/>
      <protection/>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0" fontId="2" fillId="0" borderId="0">
      <alignment/>
      <protection/>
    </xf>
    <xf numFmtId="43" fontId="2" fillId="0" borderId="0" applyFont="0" applyFill="0" applyBorder="0" applyAlignment="0" applyProtection="0"/>
    <xf numFmtId="43" fontId="0" fillId="0" borderId="0" applyFont="0" applyFill="0" applyBorder="0" applyAlignment="0" applyProtection="0"/>
    <xf numFmtId="177" fontId="18" fillId="0" borderId="0" applyFont="0" applyFill="0" applyBorder="0" applyAlignment="0" applyProtection="0"/>
    <xf numFmtId="178" fontId="18" fillId="0" borderId="0" applyFont="0" applyFill="0" applyBorder="0" applyAlignment="0" applyProtection="0"/>
    <xf numFmtId="0" fontId="47" fillId="0" borderId="0" applyNumberFormat="0" applyFill="0" applyBorder="0" applyAlignment="0">
      <protection locked="0"/>
    </xf>
    <xf numFmtId="0" fontId="48" fillId="0" borderId="9" applyNumberFormat="0" applyFill="0" applyAlignment="0" applyProtection="0"/>
    <xf numFmtId="179" fontId="18" fillId="0" borderId="0" applyFont="0" applyFill="0" applyBorder="0" applyAlignment="0" applyProtection="0"/>
    <xf numFmtId="0" fontId="0" fillId="0" borderId="0">
      <alignment/>
      <protection/>
    </xf>
    <xf numFmtId="43" fontId="0" fillId="0" borderId="0" applyFont="0" applyFill="0" applyBorder="0" applyAlignment="0" applyProtection="0"/>
    <xf numFmtId="43" fontId="49" fillId="0" borderId="0" applyFont="0" applyFill="0" applyBorder="0" applyAlignment="0" applyProtection="0"/>
    <xf numFmtId="43" fontId="13" fillId="0" borderId="0" applyFont="0" applyFill="0" applyBorder="0" applyAlignment="0" applyProtection="0"/>
    <xf numFmtId="0" fontId="2" fillId="0" borderId="0">
      <alignment/>
      <protection/>
    </xf>
    <xf numFmtId="0" fontId="50" fillId="0" borderId="0">
      <alignment/>
      <protection/>
    </xf>
    <xf numFmtId="0" fontId="51" fillId="0" borderId="0">
      <alignment/>
      <protection/>
    </xf>
    <xf numFmtId="0" fontId="50" fillId="0" borderId="0">
      <alignment/>
      <protection/>
    </xf>
    <xf numFmtId="0" fontId="51" fillId="0" borderId="0">
      <alignment/>
      <protection/>
    </xf>
    <xf numFmtId="180" fontId="0" fillId="0" borderId="0" applyFont="0" applyFill="0" applyBorder="0" applyAlignment="0" applyProtection="0"/>
    <xf numFmtId="43" fontId="2" fillId="0" borderId="0" applyFont="0" applyFill="0" applyBorder="0" applyAlignment="0" applyProtection="0"/>
    <xf numFmtId="7" fontId="0" fillId="0" borderId="0" applyFont="0" applyFill="0" applyBorder="0" applyAlignment="0" applyProtection="0"/>
    <xf numFmtId="44" fontId="0" fillId="0" borderId="0" applyFont="0" applyFill="0" applyBorder="0" applyAlignment="0" applyProtection="0"/>
    <xf numFmtId="7" fontId="0" fillId="0" borderId="0" applyFont="0" applyFill="0" applyBorder="0" applyAlignment="0" applyProtection="0"/>
    <xf numFmtId="181" fontId="18" fillId="0" borderId="0" applyFont="0" applyFill="0" applyBorder="0" applyAlignment="0" applyProtection="0"/>
    <xf numFmtId="0" fontId="52" fillId="0" borderId="0">
      <alignment/>
      <protection locked="0"/>
    </xf>
    <xf numFmtId="0" fontId="53" fillId="0" borderId="0">
      <alignment/>
      <protection locked="0"/>
    </xf>
    <xf numFmtId="0" fontId="53"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0" fontId="52" fillId="0" borderId="0">
      <alignment/>
      <protection locked="0"/>
    </xf>
    <xf numFmtId="175" fontId="54" fillId="0" borderId="0" applyFont="0" applyFill="0" applyBorder="0" applyAlignment="0" applyProtection="0"/>
    <xf numFmtId="182" fontId="54" fillId="0" borderId="0" applyFont="0" applyFill="0" applyBorder="0" applyAlignment="0" applyProtection="0"/>
    <xf numFmtId="176" fontId="54" fillId="0" borderId="0" applyFont="0" applyFill="0" applyBorder="0" applyAlignment="0" applyProtection="0"/>
    <xf numFmtId="183" fontId="54" fillId="0" borderId="0" applyFont="0" applyFill="0" applyBorder="0" applyAlignment="0" applyProtection="0"/>
    <xf numFmtId="184" fontId="55" fillId="0" borderId="0">
      <alignment/>
      <protection/>
    </xf>
    <xf numFmtId="43" fontId="2" fillId="0" borderId="0" applyFont="0" applyFill="0" applyBorder="0" applyAlignment="0" applyProtection="0"/>
    <xf numFmtId="0" fontId="13" fillId="0" borderId="0">
      <alignment/>
      <protection/>
    </xf>
    <xf numFmtId="0" fontId="0" fillId="0" borderId="0">
      <alignment/>
      <protection/>
    </xf>
    <xf numFmtId="0" fontId="0" fillId="0" borderId="0">
      <alignment/>
      <protection/>
    </xf>
    <xf numFmtId="43" fontId="56" fillId="0" borderId="0">
      <alignment/>
      <protection/>
    </xf>
    <xf numFmtId="185" fontId="57" fillId="0" borderId="0">
      <alignment/>
      <protection/>
    </xf>
    <xf numFmtId="0" fontId="58" fillId="0" borderId="10" applyNumberFormat="0" applyAlignment="0" applyProtection="0"/>
    <xf numFmtId="0" fontId="13" fillId="32" borderId="0" applyNumberFormat="0" applyFont="0" applyBorder="0" applyAlignment="0" applyProtection="0"/>
    <xf numFmtId="0" fontId="4" fillId="33" borderId="11" applyNumberFormat="0" applyFont="0" applyBorder="0" applyProtection="0">
      <alignment/>
    </xf>
    <xf numFmtId="0" fontId="4" fillId="2" borderId="11" applyNumberFormat="0" applyFont="0" applyBorder="0" applyProtection="0">
      <alignment/>
    </xf>
    <xf numFmtId="0" fontId="13" fillId="0" borderId="12" applyNumberFormat="0" applyAlignment="0" applyProtection="0"/>
    <xf numFmtId="0" fontId="13" fillId="0" borderId="13" applyNumberFormat="0" applyAlignment="0" applyProtection="0"/>
    <xf numFmtId="0" fontId="58" fillId="0" borderId="14" applyNumberFormat="0" applyAlignment="0" applyProtection="0"/>
    <xf numFmtId="0" fontId="2" fillId="0" borderId="0">
      <alignment/>
      <protection/>
    </xf>
    <xf numFmtId="9" fontId="13" fillId="0" borderId="0" applyFont="0" applyFill="0" applyBorder="0" applyAlignment="0" applyProtection="0"/>
    <xf numFmtId="9" fontId="0" fillId="0" borderId="0" applyFont="0" applyFill="0" applyBorder="0" applyAlignment="0" applyProtection="0"/>
    <xf numFmtId="0" fontId="59" fillId="0" borderId="0" applyNumberFormat="0" applyFont="0" applyFill="0" applyBorder="0" applyProtection="0">
      <alignment/>
    </xf>
    <xf numFmtId="15" fontId="59" fillId="0" borderId="0" applyFont="0" applyFill="0" applyBorder="0" applyAlignment="0" applyProtection="0"/>
    <xf numFmtId="4" fontId="59" fillId="0" borderId="0" applyFont="0" applyFill="0" applyBorder="0" applyAlignment="0" applyProtection="0"/>
    <xf numFmtId="0" fontId="60" fillId="0" borderId="15">
      <alignment horizontal="center"/>
      <protection/>
    </xf>
    <xf numFmtId="3" fontId="59" fillId="0" borderId="0" applyFont="0" applyFill="0" applyBorder="0" applyAlignment="0" applyProtection="0"/>
    <xf numFmtId="0" fontId="59" fillId="34" borderId="0" applyNumberFormat="0" applyFont="0" applyBorder="0" applyAlignment="0" applyProtection="0"/>
    <xf numFmtId="0" fontId="0" fillId="0" borderId="0">
      <alignment/>
      <protection/>
    </xf>
    <xf numFmtId="0" fontId="37" fillId="0" borderId="0">
      <alignment/>
      <protection/>
    </xf>
    <xf numFmtId="0" fontId="23" fillId="0" borderId="3" applyNumberFormat="0" applyFill="0" applyAlignment="0" applyProtection="0"/>
    <xf numFmtId="0" fontId="23" fillId="0" borderId="0" applyNumberFormat="0" applyFill="0" applyBorder="0" applyAlignment="0" applyProtection="0"/>
    <xf numFmtId="0" fontId="0" fillId="0" borderId="0">
      <alignment/>
      <protection/>
    </xf>
    <xf numFmtId="41" fontId="0" fillId="0" borderId="0" applyFont="0" applyFill="0" applyBorder="0" applyAlignment="0" applyProtection="0"/>
    <xf numFmtId="0" fontId="2" fillId="0" borderId="0">
      <alignment/>
      <protection/>
    </xf>
    <xf numFmtId="0" fontId="2" fillId="0" borderId="0">
      <alignment/>
      <protection/>
    </xf>
    <xf numFmtId="0" fontId="2" fillId="0" borderId="0">
      <alignment/>
      <protection/>
    </xf>
    <xf numFmtId="0" fontId="2" fillId="0" borderId="0">
      <alignment/>
      <protection/>
    </xf>
    <xf numFmtId="43" fontId="4" fillId="0" borderId="0" applyFont="0" applyFill="0" applyBorder="0" applyAlignment="0" applyProtection="0"/>
    <xf numFmtId="0" fontId="2" fillId="0" borderId="0">
      <alignment/>
      <protection/>
    </xf>
    <xf numFmtId="2" fontId="59" fillId="0" borderId="0" applyFont="0" applyFill="0" applyBorder="0" applyAlignment="0" applyProtection="0"/>
    <xf numFmtId="2" fontId="59" fillId="0" borderId="0" applyFont="0" applyFill="0" applyBorder="0" applyAlignment="0" applyProtection="0"/>
    <xf numFmtId="2" fontId="59" fillId="0" borderId="0" applyFont="0" applyFill="0" applyBorder="0" applyAlignment="0" applyProtection="0"/>
    <xf numFmtId="43" fontId="0"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0" fillId="0" borderId="0">
      <alignment/>
      <protection/>
    </xf>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41"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0" fillId="0" borderId="0">
      <alignment/>
      <protection/>
    </xf>
    <xf numFmtId="0" fontId="2" fillId="0" borderId="0">
      <alignment/>
      <protection/>
    </xf>
    <xf numFmtId="0" fontId="2" fillId="0" borderId="0">
      <alignment/>
      <protection/>
    </xf>
    <xf numFmtId="43" fontId="2" fillId="0" borderId="0" applyFont="0" applyFill="0" applyBorder="0" applyAlignment="0" applyProtection="0"/>
    <xf numFmtId="0" fontId="37" fillId="0" borderId="0">
      <alignment/>
      <protection/>
    </xf>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cellStyleXfs>
  <cellXfs count="844">
    <xf numFmtId="0" fontId="0" fillId="0" borderId="0" xfId="0"/>
    <xf numFmtId="9" fontId="0" fillId="0" borderId="0" xfId="15" applyFont="1" applyAlignment="1">
      <alignment horizontal="center"/>
    </xf>
    <xf numFmtId="41" fontId="0" fillId="0" borderId="0" xfId="18" applyNumberFormat="1" applyFont="1" applyAlignment="1">
      <alignment horizontal="center"/>
    </xf>
    <xf numFmtId="164" fontId="0" fillId="0" borderId="0" xfId="18" applyNumberFormat="1" applyFont="1" applyAlignment="1">
      <alignment horizontal="center"/>
    </xf>
    <xf numFmtId="0" fontId="38" fillId="0" borderId="0" xfId="0" applyFont="1"/>
    <xf numFmtId="164" fontId="3" fillId="0" borderId="0" xfId="18" applyNumberFormat="1" applyFont="1" applyBorder="1"/>
    <xf numFmtId="0" fontId="0" fillId="0" borderId="9" xfId="0" applyFont="1" applyBorder="1" applyAlignment="1">
      <alignment horizontal="center"/>
    </xf>
    <xf numFmtId="10" fontId="0" fillId="0" borderId="9" xfId="0" applyNumberFormat="1" applyFont="1" applyFill="1" applyBorder="1" applyAlignment="1">
      <alignment horizontal="right"/>
    </xf>
    <xf numFmtId="174" fontId="0" fillId="0" borderId="0" xfId="0" applyNumberFormat="1" applyFont="1" applyAlignment="1">
      <alignment horizontal="center" vertical="top"/>
    </xf>
    <xf numFmtId="0" fontId="3" fillId="0" borderId="0" xfId="0" applyFont="1" applyFill="1" applyBorder="1" applyAlignment="1">
      <alignment/>
    </xf>
    <xf numFmtId="41" fontId="0" fillId="0" borderId="0" xfId="0" applyNumberFormat="1" applyFont="1" applyAlignment="1">
      <alignment horizontal="center"/>
    </xf>
    <xf numFmtId="41" fontId="0" fillId="0" borderId="0" xfId="18" applyNumberFormat="1" applyFont="1" applyAlignment="1">
      <alignment/>
    </xf>
    <xf numFmtId="0" fontId="0" fillId="0" borderId="0" xfId="0" applyFont="1" applyFill="1" applyBorder="1" applyAlignment="1">
      <alignment/>
    </xf>
    <xf numFmtId="0" fontId="12" fillId="0" borderId="0" xfId="0" applyFont="1" applyAlignment="1">
      <alignment/>
    </xf>
    <xf numFmtId="0" fontId="39" fillId="0" borderId="0" xfId="0" applyFont="1" applyAlignment="1">
      <alignment/>
    </xf>
    <xf numFmtId="41" fontId="0" fillId="0" borderId="0" xfId="18" applyNumberFormat="1" applyFont="1"/>
    <xf numFmtId="41" fontId="0" fillId="0" borderId="0" xfId="18" applyNumberFormat="1" applyFont="1" applyBorder="1"/>
    <xf numFmtId="0" fontId="0" fillId="0" borderId="0" xfId="0" applyNumberFormat="1" applyFont="1"/>
    <xf numFmtId="0" fontId="6" fillId="0" borderId="0" xfId="0" applyFont="1" applyFill="1" applyBorder="1" applyAlignment="1">
      <alignment horizontal="center"/>
    </xf>
    <xf numFmtId="164" fontId="3" fillId="0" borderId="0" xfId="18" applyNumberFormat="1" applyFont="1" applyFill="1" applyBorder="1" applyAlignment="1">
      <alignment horizontal="center"/>
    </xf>
    <xf numFmtId="0" fontId="3" fillId="0" borderId="0" xfId="0" applyFont="1" applyFill="1" applyBorder="1" applyAlignment="1" applyProtection="1">
      <alignment horizontal="right"/>
      <protection locked="0"/>
    </xf>
    <xf numFmtId="164" fontId="3" fillId="0" borderId="0" xfId="18" applyNumberFormat="1" applyFont="1" applyFill="1" applyBorder="1" applyProtection="1">
      <protection locked="0"/>
    </xf>
    <xf numFmtId="0" fontId="3" fillId="0" borderId="0" xfId="0" applyFont="1" applyFill="1" applyBorder="1" applyAlignment="1" applyProtection="1">
      <alignment horizontal="center"/>
      <protection locked="0"/>
    </xf>
    <xf numFmtId="0" fontId="0" fillId="0" borderId="0" xfId="0" applyFont="1" applyFill="1" applyBorder="1" applyAlignment="1" applyProtection="1">
      <alignment horizontal="right"/>
      <protection locked="0"/>
    </xf>
    <xf numFmtId="0" fontId="3" fillId="0" borderId="0" xfId="0" applyFont="1" applyFill="1" applyBorder="1" applyAlignment="1" applyProtection="1">
      <alignment horizontal="left"/>
      <protection locked="0"/>
    </xf>
    <xf numFmtId="164" fontId="3" fillId="0" borderId="0" xfId="18" applyNumberFormat="1" applyFont="1" applyFill="1" applyBorder="1" applyAlignment="1" applyProtection="1" quotePrefix="1">
      <alignment horizontal="center"/>
      <protection locked="0"/>
    </xf>
    <xf numFmtId="0" fontId="3" fillId="0" borderId="0" xfId="0" applyFont="1" applyFill="1" applyBorder="1" applyAlignment="1" applyProtection="1" quotePrefix="1">
      <alignment horizontal="left"/>
      <protection locked="0"/>
    </xf>
    <xf numFmtId="0" fontId="0" fillId="0" borderId="0" xfId="0" applyAlignment="1">
      <alignment horizontal="center"/>
    </xf>
    <xf numFmtId="0" fontId="0" fillId="0" borderId="0" xfId="0" applyBorder="1"/>
    <xf numFmtId="0" fontId="0" fillId="0" borderId="0" xfId="0" applyFont="1" applyBorder="1" applyAlignment="1">
      <alignment horizontal="center"/>
    </xf>
    <xf numFmtId="0" fontId="0" fillId="0" borderId="0" xfId="0" applyFont="1" applyFill="1" applyBorder="1"/>
    <xf numFmtId="0" fontId="3" fillId="0" borderId="0" xfId="0" applyFont="1"/>
    <xf numFmtId="0" fontId="0" fillId="0" borderId="0" xfId="0" applyFont="1" applyBorder="1"/>
    <xf numFmtId="0" fontId="3" fillId="0" borderId="0" xfId="0" applyFont="1" applyFill="1" applyBorder="1" applyAlignment="1">
      <alignment horizontal="left"/>
    </xf>
    <xf numFmtId="0" fontId="3" fillId="0" borderId="0" xfId="0" applyFont="1" applyFill="1" applyBorder="1"/>
    <xf numFmtId="0" fontId="3" fillId="0" borderId="16" xfId="0" applyFont="1" applyFill="1" applyBorder="1"/>
    <xf numFmtId="0" fontId="3" fillId="0" borderId="16"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0" fillId="0" borderId="0" xfId="0" applyFont="1" applyFill="1" applyBorder="1" quotePrefix="1"/>
    <xf numFmtId="164" fontId="0" fillId="0" borderId="0" xfId="18" applyNumberFormat="1" applyFont="1" applyFill="1" applyBorder="1"/>
    <xf numFmtId="0" fontId="0" fillId="0" borderId="19" xfId="0" applyFont="1" applyFill="1" applyBorder="1"/>
    <xf numFmtId="0" fontId="0" fillId="0" borderId="19" xfId="0" applyFont="1" applyFill="1" applyBorder="1" applyAlignment="1">
      <alignment horizontal="center"/>
    </xf>
    <xf numFmtId="0" fontId="6" fillId="0" borderId="0" xfId="0" applyFont="1" applyFill="1" applyBorder="1"/>
    <xf numFmtId="0" fontId="0" fillId="0" borderId="0" xfId="0" applyFont="1" applyFill="1" applyBorder="1" applyAlignment="1">
      <alignment horizontal="center"/>
    </xf>
    <xf numFmtId="0" fontId="3" fillId="0" borderId="0" xfId="0" applyFont="1" applyFill="1" applyBorder="1" applyAlignment="1">
      <alignment horizontal="center"/>
    </xf>
    <xf numFmtId="164" fontId="3" fillId="0" borderId="0" xfId="18" applyNumberFormat="1" applyFont="1" applyFill="1" applyBorder="1"/>
    <xf numFmtId="164" fontId="0" fillId="0" borderId="0" xfId="0" applyNumberFormat="1" applyFont="1" applyFill="1" applyBorder="1"/>
    <xf numFmtId="0" fontId="3" fillId="0" borderId="0" xfId="0" applyFont="1" applyFill="1" applyBorder="1" applyAlignment="1">
      <alignment horizontal="right"/>
    </xf>
    <xf numFmtId="0" fontId="0" fillId="0" borderId="0" xfId="0" applyFont="1" applyFill="1" applyBorder="1" applyAlignment="1" quotePrefix="1">
      <alignment horizontal="left"/>
    </xf>
    <xf numFmtId="0" fontId="0" fillId="0" borderId="0" xfId="0" applyFont="1" applyFill="1" applyBorder="1" applyAlignment="1" quotePrefix="1">
      <alignment horizontal="center"/>
    </xf>
    <xf numFmtId="0" fontId="3" fillId="0" borderId="0" xfId="0" applyFont="1" applyFill="1" applyBorder="1" applyAlignment="1" quotePrefix="1">
      <alignment horizontal="left"/>
    </xf>
    <xf numFmtId="164" fontId="3" fillId="0" borderId="0" xfId="18" applyNumberFormat="1" applyFont="1" applyFill="1" applyBorder="1" applyAlignment="1">
      <alignment horizontal="center"/>
    </xf>
    <xf numFmtId="0" fontId="3" fillId="0" borderId="17" xfId="0" applyFont="1" applyFill="1" applyBorder="1" applyAlignment="1" quotePrefix="1">
      <alignment horizontal="center"/>
    </xf>
    <xf numFmtId="0" fontId="0" fillId="0" borderId="0" xfId="0" applyFont="1" applyFill="1"/>
    <xf numFmtId="37" fontId="0" fillId="0" borderId="0" xfId="0" applyNumberFormat="1" applyFont="1" applyFill="1" applyBorder="1" applyAlignment="1" quotePrefix="1">
      <alignment horizontal="center"/>
    </xf>
    <xf numFmtId="0" fontId="0" fillId="0" borderId="18" xfId="0" applyFont="1" applyFill="1" applyBorder="1" applyAlignment="1">
      <alignment horizontal="center"/>
    </xf>
    <xf numFmtId="0" fontId="0" fillId="0" borderId="0" xfId="0" applyFont="1" applyFill="1" applyBorder="1" applyAlignment="1">
      <alignment horizontal="left"/>
    </xf>
    <xf numFmtId="0" fontId="0" fillId="0" borderId="0" xfId="0" applyFont="1" applyFill="1" applyBorder="1" applyProtection="1">
      <protection locked="0"/>
    </xf>
    <xf numFmtId="0" fontId="0" fillId="0" borderId="0" xfId="0" applyFont="1" applyFill="1" applyBorder="1" applyAlignment="1" applyProtection="1">
      <alignment horizontal="center"/>
      <protection locked="0"/>
    </xf>
    <xf numFmtId="0" fontId="0" fillId="0" borderId="0" xfId="0" applyFont="1" applyBorder="1" applyProtection="1">
      <protection locked="0"/>
    </xf>
    <xf numFmtId="0" fontId="0" fillId="0" borderId="0" xfId="0" applyFont="1" applyFill="1" applyBorder="1" applyProtection="1" quotePrefix="1">
      <protection locked="0"/>
    </xf>
    <xf numFmtId="0" fontId="3" fillId="0" borderId="0" xfId="0" applyFont="1" applyFill="1" applyBorder="1" applyProtection="1">
      <protection locked="0"/>
    </xf>
    <xf numFmtId="0" fontId="0" fillId="0" borderId="0" xfId="0" applyFont="1" applyFill="1" applyBorder="1" applyAlignment="1" applyProtection="1" quotePrefix="1">
      <alignment horizontal="center"/>
      <protection locked="0"/>
    </xf>
    <xf numFmtId="37" fontId="0" fillId="0" borderId="0" xfId="0" applyNumberFormat="1" applyFont="1" applyFill="1" applyBorder="1" applyAlignment="1" applyProtection="1" quotePrefix="1">
      <alignment horizontal="center"/>
      <protection locked="0"/>
    </xf>
    <xf numFmtId="0" fontId="0" fillId="0" borderId="0" xfId="0" applyFont="1" applyBorder="1" applyAlignment="1" applyProtection="1">
      <alignment horizontal="center"/>
      <protection locked="0"/>
    </xf>
    <xf numFmtId="0" fontId="0" fillId="0" borderId="19" xfId="0" applyFont="1" applyFill="1" applyBorder="1" applyProtection="1">
      <protection locked="0"/>
    </xf>
    <xf numFmtId="0" fontId="0" fillId="0" borderId="19" xfId="0" applyFont="1" applyFill="1" applyBorder="1" applyAlignment="1" applyProtection="1">
      <alignment horizontal="center"/>
      <protection locked="0"/>
    </xf>
    <xf numFmtId="0" fontId="3" fillId="0" borderId="0" xfId="0" applyFont="1" applyFill="1" applyBorder="1" applyAlignment="1" applyProtection="1" quotePrefix="1">
      <alignment horizontal="left"/>
      <protection locked="0"/>
    </xf>
    <xf numFmtId="164" fontId="3" fillId="0" borderId="0" xfId="18" applyNumberFormat="1" applyFont="1" applyFill="1" applyBorder="1" applyAlignment="1" applyProtection="1">
      <alignment horizontal="center"/>
      <protection locked="0"/>
    </xf>
    <xf numFmtId="164" fontId="3" fillId="0" borderId="0" xfId="18" applyNumberFormat="1" applyFont="1" applyFill="1" applyBorder="1" applyProtection="1">
      <protection locked="0"/>
    </xf>
    <xf numFmtId="0" fontId="3" fillId="0" borderId="0" xfId="0" applyFont="1" applyFill="1" applyBorder="1" applyAlignment="1" applyProtection="1">
      <alignment horizontal="center"/>
      <protection locked="0"/>
    </xf>
    <xf numFmtId="164" fontId="0" fillId="0" borderId="0" xfId="18" applyNumberFormat="1" applyFont="1" applyFill="1" applyBorder="1" applyProtection="1">
      <protection locked="0"/>
    </xf>
    <xf numFmtId="0" fontId="3" fillId="0" borderId="0" xfId="0" applyFont="1" applyFill="1" applyBorder="1" applyAlignment="1" applyProtection="1">
      <alignment horizontal="right"/>
      <protection locked="0"/>
    </xf>
    <xf numFmtId="0" fontId="0" fillId="0" borderId="0" xfId="0" applyFont="1" applyFill="1" applyBorder="1" applyAlignment="1" applyProtection="1">
      <alignment horizontal="right"/>
      <protection locked="0"/>
    </xf>
    <xf numFmtId="164" fontId="0" fillId="0" borderId="0" xfId="18" applyNumberFormat="1" applyFont="1" applyFill="1" applyBorder="1" applyAlignment="1" applyProtection="1" quotePrefix="1">
      <alignment horizontal="center"/>
      <protection locked="0"/>
    </xf>
    <xf numFmtId="0" fontId="6" fillId="0" borderId="0" xfId="0" applyFont="1" applyFill="1" applyBorder="1" applyAlignment="1" applyProtection="1" quotePrefix="1">
      <alignment horizontal="left"/>
      <protection locked="0"/>
    </xf>
    <xf numFmtId="0" fontId="0" fillId="0" borderId="0" xfId="0" applyFont="1" applyFill="1" applyBorder="1" applyAlignment="1" applyProtection="1" quotePrefix="1">
      <alignment horizontal="left"/>
      <protection locked="0"/>
    </xf>
    <xf numFmtId="0" fontId="3" fillId="0" borderId="0" xfId="0" applyFont="1" applyFill="1" applyBorder="1" applyAlignment="1" applyProtection="1" quotePrefix="1">
      <alignment horizontal="center"/>
      <protection locked="0"/>
    </xf>
    <xf numFmtId="0" fontId="6" fillId="0" borderId="0" xfId="0" applyFont="1" applyFill="1" applyBorder="1" applyProtection="1">
      <protection locked="0"/>
    </xf>
    <xf numFmtId="164" fontId="6" fillId="0" borderId="0" xfId="18" applyNumberFormat="1" applyFont="1" applyFill="1" applyBorder="1" applyProtection="1">
      <protection locked="0"/>
    </xf>
    <xf numFmtId="0" fontId="6" fillId="0" borderId="0" xfId="0" applyFont="1" applyFill="1" applyBorder="1" applyAlignment="1" applyProtection="1">
      <alignment horizontal="center"/>
      <protection locked="0"/>
    </xf>
    <xf numFmtId="164" fontId="5" fillId="0" borderId="0" xfId="18" applyNumberFormat="1" applyFont="1" applyFill="1" applyBorder="1" applyProtection="1">
      <protection locked="0"/>
    </xf>
    <xf numFmtId="0" fontId="5" fillId="0" borderId="0" xfId="0" applyFont="1" applyFill="1" applyBorder="1" applyAlignment="1" applyProtection="1">
      <alignment horizontal="center"/>
      <protection locked="0"/>
    </xf>
    <xf numFmtId="0" fontId="3" fillId="0" borderId="0" xfId="0" applyFont="1" applyFill="1" applyBorder="1" applyAlignment="1" applyProtection="1">
      <alignment horizontal="left"/>
      <protection locked="0"/>
    </xf>
    <xf numFmtId="164" fontId="3" fillId="0" borderId="0" xfId="18" applyNumberFormat="1" applyFont="1" applyFill="1" applyBorder="1" applyAlignment="1" applyProtection="1" quotePrefix="1">
      <alignment horizontal="center"/>
      <protection locked="0"/>
    </xf>
    <xf numFmtId="0" fontId="5" fillId="0" borderId="0" xfId="0" applyFont="1" applyFill="1" applyBorder="1" applyProtection="1">
      <protection locked="0"/>
    </xf>
    <xf numFmtId="0" fontId="0" fillId="0" borderId="0" xfId="0" applyFont="1" applyFill="1" applyBorder="1" applyAlignment="1" applyProtection="1">
      <alignment horizontal="left"/>
      <protection locked="0"/>
    </xf>
    <xf numFmtId="0" fontId="7" fillId="0" borderId="0" xfId="21" applyFont="1" applyFill="1" applyBorder="1" applyAlignment="1" applyProtection="1">
      <alignment/>
      <protection locked="0"/>
    </xf>
    <xf numFmtId="0" fontId="7" fillId="0" borderId="0" xfId="21" applyFont="1" applyFill="1" applyBorder="1" applyAlignment="1" applyProtection="1">
      <alignment/>
      <protection/>
    </xf>
    <xf numFmtId="0" fontId="0" fillId="0" borderId="19" xfId="0" applyFont="1" applyFill="1" applyBorder="1" applyAlignment="1" quotePrefix="1">
      <alignment horizontal="center"/>
    </xf>
    <xf numFmtId="164" fontId="3" fillId="0" borderId="0" xfId="18" applyNumberFormat="1" applyFont="1" applyFill="1" applyBorder="1" applyAlignment="1">
      <alignment horizontal="right"/>
    </xf>
    <xf numFmtId="14" fontId="3" fillId="0" borderId="0" xfId="0" applyNumberFormat="1" applyFont="1" applyFill="1" applyBorder="1" applyAlignment="1">
      <alignment horizontal="left"/>
    </xf>
    <xf numFmtId="169" fontId="0" fillId="0" borderId="0" xfId="18" applyNumberFormat="1" applyFont="1" applyFill="1" applyBorder="1"/>
    <xf numFmtId="164" fontId="0" fillId="0" borderId="0" xfId="18" applyNumberFormat="1" applyFont="1" applyFill="1" applyBorder="1" applyAlignment="1">
      <alignment/>
    </xf>
    <xf numFmtId="37" fontId="0" fillId="0" borderId="0" xfId="0" applyNumberFormat="1"/>
    <xf numFmtId="0" fontId="0" fillId="0" borderId="0" xfId="0" applyFont="1" applyAlignment="1">
      <alignment horizontal="center"/>
    </xf>
    <xf numFmtId="43" fontId="0" fillId="0" borderId="0" xfId="0" applyNumberFormat="1" applyFont="1" applyFill="1" applyBorder="1" applyProtection="1">
      <protection locked="0"/>
    </xf>
    <xf numFmtId="0" fontId="9" fillId="0" borderId="0" xfId="0" applyFont="1" applyFill="1" applyBorder="1" applyProtection="1">
      <protection locked="0"/>
    </xf>
    <xf numFmtId="0" fontId="3" fillId="0" borderId="0" xfId="0" applyFont="1" applyAlignment="1">
      <alignment horizontal="center"/>
    </xf>
    <xf numFmtId="0" fontId="3" fillId="0" borderId="9" xfId="0" applyFont="1" applyBorder="1" applyAlignment="1">
      <alignment horizontal="center"/>
    </xf>
    <xf numFmtId="0" fontId="0" fillId="0" borderId="0" xfId="0" applyFont="1" applyAlignment="1">
      <alignment horizontal="center"/>
    </xf>
    <xf numFmtId="164" fontId="0" fillId="0" borderId="0" xfId="18" applyNumberFormat="1" applyFont="1"/>
    <xf numFmtId="164" fontId="0" fillId="0" borderId="0" xfId="0" applyNumberFormat="1"/>
    <xf numFmtId="0" fontId="6" fillId="0" borderId="0" xfId="0" applyFont="1"/>
    <xf numFmtId="164" fontId="0" fillId="0" borderId="0" xfId="18" applyNumberFormat="1" applyFont="1" applyFill="1"/>
    <xf numFmtId="0" fontId="0" fillId="0" borderId="0" xfId="0" applyAlignment="1">
      <alignment horizontal="left"/>
    </xf>
    <xf numFmtId="0" fontId="3" fillId="0" borderId="0" xfId="0" applyFont="1" applyBorder="1" applyAlignment="1">
      <alignment horizontal="center"/>
    </xf>
    <xf numFmtId="0" fontId="3" fillId="0" borderId="0" xfId="0" applyFont="1"/>
    <xf numFmtId="0" fontId="3" fillId="0" borderId="20" xfId="0" applyFont="1" applyBorder="1" applyAlignment="1">
      <alignment horizontal="center" wrapText="1"/>
    </xf>
    <xf numFmtId="0" fontId="3" fillId="0" borderId="0" xfId="0" applyFont="1" applyBorder="1" applyAlignment="1">
      <alignment horizontal="center" wrapText="1"/>
    </xf>
    <xf numFmtId="0" fontId="0" fillId="0" borderId="21" xfId="0" applyBorder="1" applyAlignment="1">
      <alignment horizontal="center"/>
    </xf>
    <xf numFmtId="0" fontId="0" fillId="0" borderId="0" xfId="0" applyAlignment="1" quotePrefix="1">
      <alignment horizontal="center"/>
    </xf>
    <xf numFmtId="0" fontId="3" fillId="0" borderId="11" xfId="0" applyFont="1" applyBorder="1" applyAlignment="1">
      <alignment horizontal="center" wrapText="1"/>
    </xf>
    <xf numFmtId="164" fontId="0" fillId="0" borderId="0" xfId="18" applyNumberFormat="1" applyFont="1"/>
    <xf numFmtId="0" fontId="0" fillId="0" borderId="0" xfId="0" applyFont="1"/>
    <xf numFmtId="43" fontId="0" fillId="0" borderId="0" xfId="18" applyFont="1" applyFill="1" applyBorder="1"/>
    <xf numFmtId="43" fontId="3" fillId="0" borderId="0" xfId="18" applyFont="1" applyFill="1" applyBorder="1"/>
    <xf numFmtId="173" fontId="0" fillId="0" borderId="0" xfId="0" applyNumberFormat="1" applyAlignment="1">
      <alignment horizontal="center"/>
    </xf>
    <xf numFmtId="0" fontId="3" fillId="0" borderId="0" xfId="0" applyFont="1" applyAlignment="1">
      <alignment horizontal="center" wrapText="1"/>
    </xf>
    <xf numFmtId="43" fontId="0" fillId="0" borderId="0" xfId="18" applyFont="1"/>
    <xf numFmtId="164" fontId="0" fillId="0" borderId="0" xfId="18" applyNumberFormat="1" applyFill="1"/>
    <xf numFmtId="164" fontId="0" fillId="0" borderId="22" xfId="18" applyNumberFormat="1" applyFont="1" applyFill="1" applyBorder="1"/>
    <xf numFmtId="164" fontId="0" fillId="0" borderId="22" xfId="18" applyNumberFormat="1" applyFont="1" applyFill="1" applyBorder="1" applyAlignment="1" quotePrefix="1">
      <alignment horizontal="center"/>
    </xf>
    <xf numFmtId="0" fontId="0" fillId="0" borderId="22" xfId="0" applyFont="1" applyFill="1" applyBorder="1" applyAlignment="1">
      <alignment horizontal="center"/>
    </xf>
    <xf numFmtId="164" fontId="0" fillId="0" borderId="22" xfId="18" applyNumberFormat="1" applyFont="1" applyFill="1" applyBorder="1" applyAlignment="1">
      <alignment horizontal="center"/>
    </xf>
    <xf numFmtId="43" fontId="3" fillId="0" borderId="0" xfId="18" applyFont="1"/>
    <xf numFmtId="0" fontId="12" fillId="0" borderId="0" xfId="0" applyFont="1"/>
    <xf numFmtId="0" fontId="14" fillId="0" borderId="0" xfId="0" applyFont="1"/>
    <xf numFmtId="0" fontId="15" fillId="0" borderId="0" xfId="0" applyFont="1"/>
    <xf numFmtId="0" fontId="16" fillId="0" borderId="0" xfId="0" applyFont="1"/>
    <xf numFmtId="164" fontId="0" fillId="0" borderId="0" xfId="0" applyNumberFormat="1" applyFont="1" applyBorder="1"/>
    <xf numFmtId="167" fontId="0" fillId="0" borderId="0" xfId="16" applyNumberFormat="1" applyFont="1"/>
    <xf numFmtId="164" fontId="0" fillId="0" borderId="22" xfId="18" applyNumberFormat="1" applyFont="1" applyBorder="1"/>
    <xf numFmtId="167" fontId="3" fillId="0" borderId="23" xfId="16" applyNumberFormat="1" applyFont="1" applyBorder="1"/>
    <xf numFmtId="167" fontId="3" fillId="0" borderId="24" xfId="16" applyNumberFormat="1" applyFont="1" applyBorder="1"/>
    <xf numFmtId="164" fontId="0" fillId="0" borderId="0" xfId="0" applyNumberFormat="1" applyFont="1" applyFill="1" applyBorder="1" applyProtection="1">
      <protection locked="0"/>
    </xf>
    <xf numFmtId="168" fontId="0" fillId="0" borderId="0" xfId="0" applyNumberFormat="1"/>
    <xf numFmtId="165" fontId="3" fillId="0" borderId="0" xfId="18" applyNumberFormat="1" applyFont="1" applyFill="1" applyBorder="1"/>
    <xf numFmtId="43" fontId="0" fillId="0" borderId="0" xfId="0" applyNumberFormat="1" applyFont="1" applyFill="1" applyBorder="1"/>
    <xf numFmtId="9" fontId="0" fillId="0" borderId="0" xfId="15" applyFont="1" applyFill="1" applyBorder="1" applyAlignment="1">
      <alignment horizontal="center"/>
    </xf>
    <xf numFmtId="9" fontId="0" fillId="0" borderId="0" xfId="15" applyFont="1" applyAlignment="1">
      <alignment horizontal="center"/>
    </xf>
    <xf numFmtId="9" fontId="3" fillId="0" borderId="0" xfId="15" applyFont="1" applyFill="1" applyBorder="1" applyAlignment="1">
      <alignment horizontal="center"/>
    </xf>
    <xf numFmtId="0" fontId="0" fillId="0" borderId="0" xfId="0" applyFont="1" applyFill="1" applyBorder="1"/>
    <xf numFmtId="164" fontId="0" fillId="0" borderId="0" xfId="18" applyNumberFormat="1" applyFont="1" applyFill="1" applyBorder="1"/>
    <xf numFmtId="0" fontId="0" fillId="0" borderId="0" xfId="0" applyAlignment="1">
      <alignment horizontal="center"/>
    </xf>
    <xf numFmtId="0" fontId="0" fillId="0" borderId="0" xfId="0" applyFont="1" applyFill="1" applyBorder="1"/>
    <xf numFmtId="0" fontId="0" fillId="0" borderId="0" xfId="0" applyFont="1" applyFill="1"/>
    <xf numFmtId="0" fontId="0" fillId="0" borderId="0" xfId="0" applyFont="1"/>
    <xf numFmtId="164" fontId="0" fillId="0" borderId="0" xfId="18" applyNumberFormat="1" applyFont="1" applyBorder="1"/>
    <xf numFmtId="0" fontId="13" fillId="0" borderId="0" xfId="0" applyNumberFormat="1" applyFont="1"/>
    <xf numFmtId="0" fontId="13" fillId="0" borderId="0" xfId="0" applyFont="1"/>
    <xf numFmtId="0" fontId="0" fillId="0" borderId="0" xfId="0" applyFont="1" applyAlignment="1">
      <alignment horizontal="center"/>
    </xf>
    <xf numFmtId="0" fontId="10" fillId="0" borderId="0" xfId="0" applyFont="1" applyAlignment="1">
      <alignment horizontal="center"/>
    </xf>
    <xf numFmtId="0" fontId="11" fillId="0" borderId="0" xfId="0" applyFont="1"/>
    <xf numFmtId="0" fontId="10" fillId="0" borderId="0" xfId="0" applyFont="1"/>
    <xf numFmtId="0" fontId="11" fillId="0" borderId="0" xfId="0" applyFont="1" applyFill="1" applyBorder="1"/>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0" fillId="0" borderId="0" xfId="0" applyFont="1" applyAlignment="1">
      <alignment horizontal="left"/>
    </xf>
    <xf numFmtId="43" fontId="10" fillId="0" borderId="0" xfId="0" applyNumberFormat="1" applyFont="1"/>
    <xf numFmtId="0" fontId="19" fillId="0" borderId="0" xfId="0" applyFont="1" applyAlignment="1">
      <alignment horizontal="center"/>
    </xf>
    <xf numFmtId="37" fontId="10" fillId="0" borderId="0" xfId="0" applyNumberFormat="1" applyFont="1"/>
    <xf numFmtId="0" fontId="10" fillId="0" borderId="0" xfId="0" applyFont="1" applyAlignment="1">
      <alignment horizontal="left" indent="1"/>
    </xf>
    <xf numFmtId="167" fontId="0" fillId="0" borderId="0" xfId="16" applyNumberFormat="1" applyFont="1" applyFill="1" applyBorder="1"/>
    <xf numFmtId="167" fontId="3" fillId="0" borderId="0" xfId="16" applyNumberFormat="1" applyFont="1" applyFill="1" applyBorder="1"/>
    <xf numFmtId="0" fontId="3" fillId="0" borderId="0" xfId="0" applyFont="1" applyFill="1" applyBorder="1" applyAlignment="1">
      <alignment horizontal="left"/>
    </xf>
    <xf numFmtId="0" fontId="3" fillId="0" borderId="0" xfId="0" applyFont="1" applyFill="1" applyBorder="1"/>
    <xf numFmtId="14" fontId="3" fillId="0" borderId="0" xfId="0" applyNumberFormat="1" applyFont="1" applyFill="1" applyBorder="1" applyAlignment="1">
      <alignment horizontal="left"/>
    </xf>
    <xf numFmtId="0" fontId="3" fillId="0" borderId="17" xfId="0" applyFont="1" applyFill="1" applyBorder="1" applyAlignment="1">
      <alignment horizontal="center"/>
    </xf>
    <xf numFmtId="0" fontId="3" fillId="0" borderId="0" xfId="0" applyFont="1" applyFill="1" applyBorder="1" applyAlignment="1">
      <alignment horizontal="center"/>
    </xf>
    <xf numFmtId="0" fontId="3" fillId="0" borderId="9" xfId="0" applyFont="1" applyBorder="1" applyAlignment="1">
      <alignment horizontal="center"/>
    </xf>
    <xf numFmtId="0" fontId="3" fillId="0" borderId="0" xfId="0" applyFont="1" applyAlignment="1">
      <alignment horizontal="center"/>
    </xf>
    <xf numFmtId="0" fontId="0" fillId="0" borderId="0" xfId="0" applyFont="1" applyFill="1" applyBorder="1" applyProtection="1">
      <protection locked="0"/>
    </xf>
    <xf numFmtId="0" fontId="0" fillId="0" borderId="0" xfId="0" applyAlignment="1">
      <alignment/>
    </xf>
    <xf numFmtId="0" fontId="0" fillId="0" borderId="0" xfId="0" applyFont="1" applyAlignment="1">
      <alignment wrapText="1"/>
    </xf>
    <xf numFmtId="0" fontId="0" fillId="0" borderId="0" xfId="0" applyFont="1" applyBorder="1" applyAlignment="1">
      <alignment wrapText="1"/>
    </xf>
    <xf numFmtId="0" fontId="3" fillId="0" borderId="0" xfId="0" applyFont="1" applyAlignment="1">
      <alignment horizontal="center"/>
    </xf>
    <xf numFmtId="164" fontId="0" fillId="0" borderId="0" xfId="0" applyNumberFormat="1" applyFont="1"/>
    <xf numFmtId="0" fontId="0" fillId="0" borderId="0" xfId="0" applyFont="1"/>
    <xf numFmtId="0" fontId="1" fillId="0" borderId="0" xfId="0" applyFont="1" applyFill="1"/>
    <xf numFmtId="0" fontId="0" fillId="0" borderId="0" xfId="0" applyFont="1" applyAlignment="1">
      <alignment horizontal="center"/>
    </xf>
    <xf numFmtId="0" fontId="3" fillId="0" borderId="9" xfId="0" applyFont="1" applyBorder="1" applyAlignment="1">
      <alignment horizontal="center"/>
    </xf>
    <xf numFmtId="0" fontId="3" fillId="0" borderId="0" xfId="0" applyFont="1" applyAlignment="1">
      <alignment/>
    </xf>
    <xf numFmtId="0" fontId="0" fillId="0" borderId="0" xfId="0" applyFill="1"/>
    <xf numFmtId="0" fontId="0" fillId="0" borderId="0" xfId="0" applyFill="1" applyAlignment="1">
      <alignment horizontal="center"/>
    </xf>
    <xf numFmtId="0" fontId="0" fillId="0" borderId="0" xfId="0" applyFill="1" applyBorder="1"/>
    <xf numFmtId="0" fontId="0" fillId="0" borderId="0" xfId="0" applyFont="1" applyBorder="1"/>
    <xf numFmtId="0" fontId="0" fillId="0" borderId="0" xfId="0" applyFill="1" applyAlignment="1">
      <alignment horizontal="left"/>
    </xf>
    <xf numFmtId="0" fontId="3" fillId="0" borderId="0" xfId="0" applyFont="1" applyBorder="1" applyAlignment="1">
      <alignment horizontal="center"/>
    </xf>
    <xf numFmtId="0" fontId="3" fillId="0" borderId="0" xfId="0" applyFont="1" applyFill="1" applyBorder="1" applyAlignment="1">
      <alignment horizontal="left"/>
    </xf>
    <xf numFmtId="0" fontId="3" fillId="0" borderId="0" xfId="0" applyFont="1" applyFill="1" applyAlignment="1">
      <alignment horizontal="center"/>
    </xf>
    <xf numFmtId="14" fontId="3" fillId="0" borderId="0" xfId="0" applyNumberFormat="1" applyFont="1" applyFill="1" applyBorder="1" applyAlignment="1">
      <alignment horizontal="left"/>
    </xf>
    <xf numFmtId="0" fontId="3" fillId="0" borderId="0" xfId="0" applyFont="1" applyFill="1" applyBorder="1"/>
    <xf numFmtId="0" fontId="3" fillId="0" borderId="0" xfId="0" applyFont="1"/>
    <xf numFmtId="0" fontId="0" fillId="0" borderId="0" xfId="0" applyFont="1" applyFill="1" applyAlignment="1">
      <alignment horizontal="center"/>
    </xf>
    <xf numFmtId="164" fontId="0" fillId="0" borderId="0" xfId="0" applyNumberFormat="1" applyFont="1" applyFill="1" applyBorder="1"/>
    <xf numFmtId="0" fontId="0" fillId="0" borderId="0" xfId="0" applyFont="1" applyFill="1"/>
    <xf numFmtId="164" fontId="0" fillId="0" borderId="0" xfId="18" applyNumberFormat="1" applyFont="1" applyFill="1"/>
    <xf numFmtId="0" fontId="3" fillId="0" borderId="0" xfId="0" applyFont="1" applyFill="1"/>
    <xf numFmtId="164" fontId="3" fillId="0" borderId="0" xfId="18" applyNumberFormat="1" applyFont="1" applyFill="1" applyBorder="1"/>
    <xf numFmtId="0" fontId="3" fillId="0" borderId="0" xfId="0" applyFont="1" applyFill="1" applyAlignment="1">
      <alignment/>
    </xf>
    <xf numFmtId="0" fontId="35" fillId="0" borderId="0" xfId="0" applyFont="1" applyFill="1"/>
    <xf numFmtId="164" fontId="35" fillId="0" borderId="0" xfId="18" applyNumberFormat="1" applyFont="1" applyFill="1"/>
    <xf numFmtId="0" fontId="3" fillId="0" borderId="0" xfId="0" applyFont="1" applyFill="1" applyBorder="1" applyProtection="1">
      <protection locked="0"/>
    </xf>
    <xf numFmtId="0" fontId="0" fillId="0" borderId="0" xfId="0" applyFont="1" applyBorder="1" applyProtection="1">
      <protection locked="0"/>
    </xf>
    <xf numFmtId="0" fontId="3" fillId="0" borderId="0" xfId="0" applyFont="1" applyBorder="1" applyProtection="1">
      <protection locked="0"/>
    </xf>
    <xf numFmtId="0" fontId="0" fillId="0" borderId="0" xfId="0" applyFont="1" applyBorder="1" applyAlignment="1" applyProtection="1">
      <alignment horizontal="center"/>
      <protection locked="0"/>
    </xf>
    <xf numFmtId="0" fontId="12" fillId="0" borderId="0" xfId="0" applyFont="1" applyBorder="1" applyProtection="1">
      <protection locked="0"/>
    </xf>
    <xf numFmtId="43" fontId="12" fillId="0" borderId="0" xfId="18" applyFont="1" applyBorder="1" applyProtection="1">
      <protection locked="0"/>
    </xf>
    <xf numFmtId="0" fontId="7" fillId="0" borderId="0" xfId="21" applyFont="1" applyFill="1" applyBorder="1" applyAlignment="1" applyProtection="1">
      <alignment/>
      <protection locked="0"/>
    </xf>
    <xf numFmtId="0" fontId="0" fillId="0" borderId="0" xfId="0" applyFont="1" applyFill="1" applyBorder="1" applyAlignment="1" applyProtection="1">
      <alignment horizontal="center"/>
      <protection locked="0"/>
    </xf>
    <xf numFmtId="164" fontId="0" fillId="0" borderId="0" xfId="0" applyNumberFormat="1" applyFont="1" applyFill="1" applyBorder="1" applyProtection="1">
      <protection locked="0"/>
    </xf>
    <xf numFmtId="0" fontId="0" fillId="0" borderId="0" xfId="0" applyFont="1" applyFill="1" applyBorder="1" applyProtection="1" quotePrefix="1">
      <protection locked="0"/>
    </xf>
    <xf numFmtId="0" fontId="36" fillId="0" borderId="0" xfId="36" applyFont="1" applyFill="1"/>
    <xf numFmtId="0" fontId="0" fillId="0" borderId="0" xfId="0" applyFont="1" applyFill="1" applyBorder="1" applyAlignment="1" applyProtection="1" quotePrefix="1">
      <alignment horizontal="center"/>
      <protection locked="0"/>
    </xf>
    <xf numFmtId="0" fontId="3" fillId="0" borderId="16" xfId="0" applyFont="1" applyFill="1" applyBorder="1"/>
    <xf numFmtId="0" fontId="3" fillId="0" borderId="16" xfId="0" applyFont="1" applyFill="1" applyBorder="1" applyAlignment="1">
      <alignment horizontal="center"/>
    </xf>
    <xf numFmtId="0" fontId="3" fillId="0" borderId="17" xfId="0" applyFont="1" applyFill="1" applyBorder="1" applyAlignment="1" quotePrefix="1">
      <alignment horizontal="center"/>
    </xf>
    <xf numFmtId="0" fontId="3" fillId="0" borderId="18" xfId="0" applyFont="1" applyFill="1" applyBorder="1" applyAlignment="1">
      <alignment horizontal="center"/>
    </xf>
    <xf numFmtId="0" fontId="0" fillId="0" borderId="18" xfId="0" applyFont="1" applyFill="1" applyBorder="1" applyAlignment="1">
      <alignment horizontal="center"/>
    </xf>
    <xf numFmtId="0" fontId="0" fillId="0" borderId="19" xfId="0" applyFont="1" applyFill="1" applyBorder="1" applyProtection="1">
      <protection locked="0"/>
    </xf>
    <xf numFmtId="0" fontId="3" fillId="0" borderId="19" xfId="0" applyFont="1" applyFill="1" applyBorder="1" applyProtection="1">
      <protection locked="0"/>
    </xf>
    <xf numFmtId="0" fontId="0" fillId="0" borderId="19" xfId="0" applyFont="1" applyFill="1" applyBorder="1" applyAlignment="1" applyProtection="1">
      <alignment horizontal="center"/>
      <protection locked="0"/>
    </xf>
    <xf numFmtId="0" fontId="12" fillId="0" borderId="0" xfId="0" applyFont="1" applyFill="1" applyBorder="1" applyProtection="1">
      <protection locked="0"/>
    </xf>
    <xf numFmtId="43" fontId="12" fillId="0" borderId="0" xfId="18" applyFont="1" applyFill="1" applyBorder="1" applyProtection="1">
      <protection locked="0"/>
    </xf>
    <xf numFmtId="0" fontId="0" fillId="0" borderId="0" xfId="0" applyFont="1" applyFill="1" applyBorder="1" applyAlignment="1">
      <alignment horizontal="center"/>
    </xf>
    <xf numFmtId="0" fontId="9" fillId="0" borderId="0" xfId="0" applyFont="1" applyFill="1" applyBorder="1"/>
    <xf numFmtId="43" fontId="9" fillId="0" borderId="0" xfId="18" applyFont="1" applyFill="1" applyBorder="1"/>
    <xf numFmtId="0" fontId="12" fillId="0" borderId="0" xfId="0" applyFont="1" applyFill="1" applyBorder="1"/>
    <xf numFmtId="43" fontId="12" fillId="0" borderId="0" xfId="18" applyFont="1" applyFill="1" applyBorder="1"/>
    <xf numFmtId="0" fontId="3" fillId="0" borderId="0" xfId="0" applyFont="1" applyFill="1" applyBorder="1" applyAlignment="1" quotePrefix="1">
      <alignment horizontal="left"/>
    </xf>
    <xf numFmtId="9" fontId="0" fillId="0" borderId="0" xfId="15" applyFont="1" applyFill="1" applyBorder="1" applyAlignment="1">
      <alignment horizontal="center"/>
    </xf>
    <xf numFmtId="164" fontId="0" fillId="0" borderId="0" xfId="18" applyNumberFormat="1" applyFont="1" applyFill="1" applyBorder="1" applyAlignment="1">
      <alignment/>
    </xf>
    <xf numFmtId="0" fontId="3" fillId="0" borderId="0" xfId="0" applyFont="1" applyFill="1" applyBorder="1" applyAlignment="1" quotePrefix="1">
      <alignment horizontal="center"/>
    </xf>
    <xf numFmtId="164" fontId="12" fillId="0" borderId="0" xfId="0" applyNumberFormat="1" applyFont="1" applyFill="1" applyBorder="1"/>
    <xf numFmtId="0" fontId="3" fillId="0" borderId="0" xfId="0" applyFont="1" applyAlignment="1">
      <alignment horizontal="right"/>
    </xf>
    <xf numFmtId="9" fontId="0" fillId="0" borderId="0" xfId="15" applyFont="1" applyBorder="1" applyAlignment="1">
      <alignment horizontal="center"/>
    </xf>
    <xf numFmtId="164" fontId="0" fillId="0" borderId="22" xfId="18" applyNumberFormat="1" applyFont="1" applyFill="1" applyBorder="1"/>
    <xf numFmtId="0" fontId="3" fillId="0" borderId="0" xfId="0" applyFont="1" applyFill="1" applyBorder="1" applyAlignment="1">
      <alignment horizontal="right"/>
    </xf>
    <xf numFmtId="9" fontId="3" fillId="0" borderId="0" xfId="15" applyFont="1" applyFill="1" applyBorder="1" applyAlignment="1">
      <alignment horizontal="center"/>
    </xf>
    <xf numFmtId="0" fontId="0" fillId="0" borderId="0" xfId="0" applyFont="1" applyFill="1" applyBorder="1" applyAlignment="1">
      <alignment horizontal="left"/>
    </xf>
    <xf numFmtId="0" fontId="0" fillId="0" borderId="0" xfId="0" applyFont="1" applyFill="1" applyBorder="1" applyAlignment="1">
      <alignment horizontal="right"/>
    </xf>
    <xf numFmtId="43" fontId="0" fillId="0" borderId="22" xfId="18" applyNumberFormat="1" applyFont="1" applyFill="1" applyBorder="1"/>
    <xf numFmtId="170" fontId="8" fillId="0" borderId="0" xfId="15" applyNumberFormat="1" applyFont="1" applyFill="1" applyBorder="1" applyProtection="1">
      <protection/>
    </xf>
    <xf numFmtId="9" fontId="8" fillId="0" borderId="0" xfId="15" applyFont="1" applyFill="1" applyBorder="1" applyAlignment="1" applyProtection="1">
      <alignment horizontal="center"/>
      <protection/>
    </xf>
    <xf numFmtId="10" fontId="3" fillId="0" borderId="0" xfId="15" applyNumberFormat="1" applyFont="1" applyFill="1" applyBorder="1"/>
    <xf numFmtId="43" fontId="0" fillId="0" borderId="0" xfId="18" applyNumberFormat="1" applyFont="1" applyFill="1" applyBorder="1"/>
    <xf numFmtId="0" fontId="0" fillId="0" borderId="0" xfId="0" applyFont="1" applyFill="1" applyBorder="1" applyAlignment="1" applyProtection="1">
      <alignment horizontal="left"/>
      <protection locked="0"/>
    </xf>
    <xf numFmtId="164" fontId="0" fillId="0" borderId="0" xfId="18" applyNumberFormat="1" applyFont="1" applyFill="1" applyBorder="1" applyProtection="1">
      <protection locked="0"/>
    </xf>
    <xf numFmtId="164" fontId="0" fillId="0" borderId="0" xfId="18" applyNumberFormat="1" applyFont="1" applyFill="1" applyBorder="1" applyAlignment="1" applyProtection="1" quotePrefix="1">
      <alignment horizontal="center"/>
      <protection locked="0"/>
    </xf>
    <xf numFmtId="43" fontId="0" fillId="0" borderId="0" xfId="0" applyNumberFormat="1" applyFont="1" applyFill="1" applyBorder="1" applyProtection="1">
      <protection locked="0"/>
    </xf>
    <xf numFmtId="164" fontId="12" fillId="0" borderId="0" xfId="0" applyNumberFormat="1" applyFont="1" applyBorder="1"/>
    <xf numFmtId="43" fontId="0" fillId="0" borderId="0" xfId="18" applyFont="1" applyFill="1" applyBorder="1" applyProtection="1">
      <protection locked="0"/>
    </xf>
    <xf numFmtId="0" fontId="7" fillId="0" borderId="0" xfId="21" applyFont="1" applyAlignment="1" applyProtection="1">
      <alignment/>
      <protection/>
    </xf>
    <xf numFmtId="0" fontId="0" fillId="0" borderId="0" xfId="0" applyFont="1" applyAlignment="1">
      <alignment horizontal="right"/>
    </xf>
    <xf numFmtId="0" fontId="0" fillId="0" borderId="0" xfId="0" applyFont="1" applyAlignment="1">
      <alignment/>
    </xf>
    <xf numFmtId="0" fontId="3" fillId="0" borderId="16" xfId="0" applyFont="1" applyBorder="1"/>
    <xf numFmtId="0" fontId="3" fillId="0" borderId="0" xfId="0" applyFont="1" applyBorder="1"/>
    <xf numFmtId="0" fontId="0" fillId="0" borderId="0" xfId="0" applyFont="1" applyBorder="1" applyAlignment="1">
      <alignment horizontal="center"/>
    </xf>
    <xf numFmtId="170" fontId="8" fillId="0" borderId="0" xfId="15" applyNumberFormat="1" applyFont="1" applyFill="1" applyProtection="1">
      <protection/>
    </xf>
    <xf numFmtId="164" fontId="0" fillId="0" borderId="0" xfId="0" applyNumberFormat="1" applyFont="1"/>
    <xf numFmtId="164" fontId="12" fillId="0" borderId="0" xfId="18" applyNumberFormat="1" applyFont="1"/>
    <xf numFmtId="0" fontId="35" fillId="0" borderId="0" xfId="0" applyFont="1"/>
    <xf numFmtId="164" fontId="12" fillId="0" borderId="0" xfId="0" applyNumberFormat="1" applyFont="1"/>
    <xf numFmtId="0" fontId="3" fillId="0" borderId="16" xfId="0" applyFont="1" applyBorder="1" applyAlignment="1">
      <alignment horizontal="center"/>
    </xf>
    <xf numFmtId="0" fontId="3" fillId="0" borderId="17" xfId="0" applyFont="1" applyBorder="1" applyAlignment="1">
      <alignment horizontal="center"/>
    </xf>
    <xf numFmtId="0" fontId="0" fillId="0" borderId="18" xfId="0" applyFont="1" applyBorder="1" applyAlignment="1">
      <alignment horizontal="center"/>
    </xf>
    <xf numFmtId="164" fontId="0" fillId="0" borderId="0" xfId="18" applyNumberFormat="1" applyFont="1" applyBorder="1" applyAlignment="1">
      <alignment horizontal="center"/>
    </xf>
    <xf numFmtId="0" fontId="35" fillId="0" borderId="0" xfId="0" applyFont="1" applyAlignment="1">
      <alignment horizontal="right"/>
    </xf>
    <xf numFmtId="164" fontId="35" fillId="0" borderId="0" xfId="0" applyNumberFormat="1" applyFont="1"/>
    <xf numFmtId="0" fontId="3" fillId="0" borderId="25" xfId="0" applyFont="1" applyBorder="1" applyAlignment="1">
      <alignment horizontal="center"/>
    </xf>
    <xf numFmtId="0" fontId="3" fillId="0" borderId="19" xfId="0" applyFont="1" applyBorder="1" applyAlignment="1">
      <alignment horizontal="center"/>
    </xf>
    <xf numFmtId="164" fontId="3" fillId="0" borderId="19" xfId="18" applyNumberFormat="1" applyFont="1" applyBorder="1" applyAlignment="1" quotePrefix="1">
      <alignment horizontal="center"/>
    </xf>
    <xf numFmtId="0" fontId="3" fillId="0" borderId="26" xfId="0" applyFont="1" applyBorder="1" applyAlignment="1">
      <alignment horizontal="center"/>
    </xf>
    <xf numFmtId="0" fontId="3" fillId="0" borderId="0" xfId="0" applyFont="1" applyBorder="1" applyAlignment="1">
      <alignment horizontal="center"/>
    </xf>
    <xf numFmtId="164" fontId="3" fillId="0" borderId="0" xfId="18" applyNumberFormat="1" applyFont="1" applyBorder="1" applyAlignment="1" quotePrefix="1">
      <alignment horizontal="center"/>
    </xf>
    <xf numFmtId="0" fontId="0" fillId="0" borderId="27" xfId="0" applyFont="1" applyBorder="1"/>
    <xf numFmtId="0" fontId="0" fillId="0" borderId="15" xfId="0" applyFont="1" applyBorder="1" applyAlignment="1">
      <alignment horizontal="center"/>
    </xf>
    <xf numFmtId="164" fontId="0" fillId="0" borderId="15" xfId="18" applyNumberFormat="1" applyFont="1" applyBorder="1" applyAlignment="1">
      <alignment horizontal="center"/>
    </xf>
    <xf numFmtId="40" fontId="0" fillId="0" borderId="0" xfId="0" applyNumberFormat="1" applyFont="1" applyFill="1"/>
    <xf numFmtId="41" fontId="12" fillId="0" borderId="0" xfId="0" applyNumberFormat="1" applyFont="1"/>
    <xf numFmtId="40" fontId="3" fillId="0" borderId="0" xfId="0" applyNumberFormat="1" applyFont="1" applyFill="1"/>
    <xf numFmtId="43" fontId="0" fillId="0" borderId="0" xfId="18" applyFont="1"/>
    <xf numFmtId="8" fontId="0" fillId="0" borderId="0" xfId="0" applyNumberFormat="1" applyFont="1"/>
    <xf numFmtId="40" fontId="0" fillId="0" borderId="0" xfId="0" applyNumberFormat="1" applyFont="1" applyFill="1" applyAlignment="1">
      <alignment horizontal="left"/>
    </xf>
    <xf numFmtId="0" fontId="37" fillId="0" borderId="0" xfId="0" applyFont="1" applyFill="1" applyBorder="1" applyAlignment="1">
      <alignment horizontal="left" wrapText="1"/>
    </xf>
    <xf numFmtId="0" fontId="37" fillId="0" borderId="0" xfId="0" applyFont="1" applyFill="1" applyBorder="1" applyAlignment="1">
      <alignment wrapText="1"/>
    </xf>
    <xf numFmtId="0" fontId="7" fillId="0" borderId="0" xfId="21" applyFont="1" applyFill="1" applyAlignment="1" applyProtection="1">
      <alignment/>
      <protection/>
    </xf>
    <xf numFmtId="0" fontId="0" fillId="0" borderId="0" xfId="0" applyFont="1" applyFill="1" applyAlignment="1">
      <alignment/>
    </xf>
    <xf numFmtId="0" fontId="0" fillId="0" borderId="26" xfId="0" applyFont="1" applyFill="1" applyBorder="1" applyAlignment="1">
      <alignment horizontal="center"/>
    </xf>
    <xf numFmtId="164" fontId="0" fillId="0" borderId="0" xfId="0" applyNumberFormat="1" applyFont="1" applyFill="1"/>
    <xf numFmtId="0" fontId="3" fillId="0" borderId="23" xfId="0" applyFont="1" applyFill="1" applyBorder="1"/>
    <xf numFmtId="164" fontId="3" fillId="0" borderId="23" xfId="18" applyNumberFormat="1" applyFont="1" applyFill="1" applyBorder="1"/>
    <xf numFmtId="164" fontId="3" fillId="0" borderId="23" xfId="18" applyNumberFormat="1" applyFont="1" applyFill="1" applyBorder="1" applyAlignment="1">
      <alignment horizontal="center"/>
    </xf>
    <xf numFmtId="0" fontId="12" fillId="0" borderId="0" xfId="0" applyFont="1" applyFill="1"/>
    <xf numFmtId="164" fontId="12" fillId="0" borderId="0" xfId="18" applyNumberFormat="1" applyFont="1" applyFill="1"/>
    <xf numFmtId="164" fontId="12" fillId="0" borderId="0" xfId="0" applyNumberFormat="1" applyFont="1" applyFill="1"/>
    <xf numFmtId="164" fontId="12" fillId="0" borderId="0" xfId="0" applyNumberFormat="1" applyFont="1" applyFill="1" applyAlignment="1">
      <alignment/>
    </xf>
    <xf numFmtId="0" fontId="12" fillId="0" borderId="0" xfId="0" applyFont="1" applyFill="1" applyAlignment="1">
      <alignment/>
    </xf>
    <xf numFmtId="0" fontId="0" fillId="0" borderId="0" xfId="0" applyFont="1" applyBorder="1"/>
    <xf numFmtId="43" fontId="12" fillId="0" borderId="0" xfId="18" applyFont="1" applyFill="1"/>
    <xf numFmtId="43" fontId="12" fillId="0" borderId="0" xfId="0" applyNumberFormat="1" applyFont="1" applyFill="1"/>
    <xf numFmtId="164" fontId="0" fillId="0" borderId="0" xfId="0" applyNumberFormat="1" applyFont="1" applyAlignment="1">
      <alignment/>
    </xf>
    <xf numFmtId="164" fontId="0" fillId="0" borderId="0" xfId="0" applyNumberFormat="1" applyFont="1" applyFill="1" applyAlignment="1">
      <alignment/>
    </xf>
    <xf numFmtId="43" fontId="12" fillId="0" borderId="0" xfId="18" applyFont="1"/>
    <xf numFmtId="164" fontId="0" fillId="0" borderId="0" xfId="18" applyNumberFormat="1" applyFont="1" applyFill="1" applyAlignment="1">
      <alignment/>
    </xf>
    <xf numFmtId="43" fontId="0" fillId="0" borderId="0" xfId="18" applyFont="1" applyAlignment="1">
      <alignment/>
    </xf>
    <xf numFmtId="164" fontId="35" fillId="0" borderId="0" xfId="0" applyNumberFormat="1" applyFont="1" applyFill="1" applyBorder="1"/>
    <xf numFmtId="164" fontId="0" fillId="0" borderId="0" xfId="0" applyNumberFormat="1" applyFont="1" applyBorder="1"/>
    <xf numFmtId="9" fontId="0" fillId="0" borderId="0" xfId="15" applyFont="1" applyFill="1" applyBorder="1"/>
    <xf numFmtId="164" fontId="0" fillId="0" borderId="0" xfId="18" applyNumberFormat="1" applyFont="1" applyFill="1" applyBorder="1" applyAlignment="1">
      <alignment horizontal="center"/>
    </xf>
    <xf numFmtId="0" fontId="0" fillId="0" borderId="16" xfId="0" applyFont="1" applyBorder="1"/>
    <xf numFmtId="164" fontId="3" fillId="0" borderId="17" xfId="18" applyNumberFormat="1" applyFont="1" applyBorder="1" applyAlignment="1">
      <alignment horizontal="center"/>
    </xf>
    <xf numFmtId="0" fontId="0" fillId="0" borderId="18" xfId="0" applyFont="1" applyBorder="1"/>
    <xf numFmtId="0" fontId="0" fillId="0" borderId="18" xfId="0" applyFont="1" applyBorder="1" applyAlignment="1" quotePrefix="1">
      <alignment horizontal="center"/>
    </xf>
    <xf numFmtId="166" fontId="0" fillId="0" borderId="0" xfId="15" applyNumberFormat="1" applyFont="1"/>
    <xf numFmtId="0" fontId="3" fillId="0" borderId="18" xfId="0" applyFont="1" applyBorder="1" applyAlignment="1">
      <alignment horizontal="center"/>
    </xf>
    <xf numFmtId="164" fontId="0" fillId="0" borderId="18" xfId="18" applyNumberFormat="1" applyFont="1" applyBorder="1" applyAlignment="1">
      <alignment horizontal="center"/>
    </xf>
    <xf numFmtId="164" fontId="3" fillId="0" borderId="0" xfId="18" applyNumberFormat="1" applyFont="1" applyBorder="1" applyAlignment="1">
      <alignment horizontal="center"/>
    </xf>
    <xf numFmtId="43" fontId="0" fillId="0" borderId="0" xfId="0" applyNumberFormat="1" applyFont="1" applyFill="1"/>
    <xf numFmtId="10" fontId="0" fillId="0" borderId="0" xfId="15" applyNumberFormat="1" applyFont="1"/>
    <xf numFmtId="37" fontId="0" fillId="0" borderId="0" xfId="0" applyNumberFormat="1" applyFont="1" applyFill="1"/>
    <xf numFmtId="0" fontId="0" fillId="0" borderId="0" xfId="0" applyFont="1" applyFill="1" applyAlignment="1">
      <alignment horizontal="left"/>
    </xf>
    <xf numFmtId="37" fontId="0" fillId="0" borderId="0" xfId="0" applyNumberFormat="1" applyFont="1" applyFill="1" applyAlignment="1">
      <alignment/>
    </xf>
    <xf numFmtId="37" fontId="3" fillId="0" borderId="16" xfId="0" applyNumberFormat="1" applyFont="1" applyFill="1" applyBorder="1"/>
    <xf numFmtId="37" fontId="3" fillId="0" borderId="17" xfId="0" applyNumberFormat="1" applyFont="1" applyFill="1" applyBorder="1" applyAlignment="1" quotePrefix="1">
      <alignment horizontal="center"/>
    </xf>
    <xf numFmtId="37" fontId="0" fillId="0" borderId="18" xfId="0" applyNumberFormat="1" applyFont="1" applyFill="1" applyBorder="1" applyAlignment="1">
      <alignment horizontal="center"/>
    </xf>
    <xf numFmtId="164" fontId="0" fillId="0" borderId="0" xfId="0" applyNumberFormat="1" applyFont="1" applyFill="1" applyAlignment="1">
      <alignment horizontal="left"/>
    </xf>
    <xf numFmtId="49" fontId="0" fillId="0" borderId="0" xfId="0" applyNumberFormat="1" applyFont="1" applyFill="1" applyAlignment="1">
      <alignment horizontal="center"/>
    </xf>
    <xf numFmtId="37" fontId="0" fillId="0" borderId="0" xfId="0" applyNumberFormat="1" applyFont="1" applyFill="1" applyBorder="1" applyAlignment="1">
      <alignment horizontal="left"/>
    </xf>
    <xf numFmtId="164" fontId="0" fillId="0" borderId="0" xfId="0" applyNumberFormat="1" applyFont="1" applyFill="1" applyBorder="1" applyAlignment="1">
      <alignment horizontal="left"/>
    </xf>
    <xf numFmtId="10" fontId="0" fillId="0" borderId="0" xfId="0" applyNumberFormat="1" applyFont="1" applyFill="1" applyBorder="1"/>
    <xf numFmtId="0" fontId="0" fillId="0" borderId="0" xfId="0" applyNumberFormat="1" applyFont="1" applyFill="1" applyAlignment="1">
      <alignment horizontal="center"/>
    </xf>
    <xf numFmtId="0" fontId="0" fillId="0" borderId="0" xfId="0" applyNumberFormat="1" applyFont="1" applyFill="1"/>
    <xf numFmtId="164" fontId="3" fillId="0" borderId="0" xfId="0" applyNumberFormat="1" applyFont="1" applyFill="1"/>
    <xf numFmtId="0" fontId="0" fillId="0" borderId="0" xfId="0" applyFont="1" applyFill="1" applyAlignment="1">
      <alignment horizontal="center" wrapText="1"/>
    </xf>
    <xf numFmtId="0" fontId="1" fillId="0" borderId="0" xfId="0" applyFont="1"/>
    <xf numFmtId="0" fontId="0" fillId="0" borderId="0" xfId="0" applyFont="1" applyFill="1" applyAlignment="1">
      <alignment wrapText="1"/>
    </xf>
    <xf numFmtId="164" fontId="3" fillId="0" borderId="0" xfId="0" applyNumberFormat="1" applyFont="1" applyFill="1" applyAlignment="1">
      <alignment horizontal="left"/>
    </xf>
    <xf numFmtId="0" fontId="3" fillId="0" borderId="0" xfId="0" applyFont="1" applyFill="1" applyAlignment="1">
      <alignment horizontal="left"/>
    </xf>
    <xf numFmtId="43" fontId="0" fillId="0" borderId="0" xfId="0" applyNumberFormat="1" applyFont="1" applyFill="1" applyAlignment="1">
      <alignment horizontal="left"/>
    </xf>
    <xf numFmtId="43" fontId="0" fillId="0" borderId="0" xfId="18" applyFont="1" applyFill="1" applyAlignment="1">
      <alignment horizontal="left"/>
    </xf>
    <xf numFmtId="0" fontId="3" fillId="0" borderId="9" xfId="0" applyFont="1" applyFill="1" applyBorder="1" applyAlignment="1">
      <alignment horizontal="center"/>
    </xf>
    <xf numFmtId="0" fontId="0" fillId="0" borderId="0" xfId="0" applyFont="1" applyAlignment="1">
      <alignment horizontal="left"/>
    </xf>
    <xf numFmtId="0" fontId="3" fillId="0" borderId="0" xfId="0" applyFont="1" applyAlignment="1">
      <alignment horizontal="left"/>
    </xf>
    <xf numFmtId="164" fontId="0" fillId="0" borderId="0" xfId="0" applyNumberFormat="1" applyFont="1" applyFill="1" applyAlignment="1">
      <alignment horizontal="right"/>
    </xf>
    <xf numFmtId="0" fontId="0" fillId="0" borderId="0" xfId="0"/>
    <xf numFmtId="0" fontId="0" fillId="0" borderId="0" xfId="0" applyFont="1" applyAlignment="1" quotePrefix="1">
      <alignment horizontal="center"/>
    </xf>
    <xf numFmtId="164" fontId="0" fillId="0" borderId="22" xfId="0" applyNumberFormat="1" applyFont="1" applyBorder="1"/>
    <xf numFmtId="0" fontId="0" fillId="0" borderId="22" xfId="0" applyFont="1" applyBorder="1"/>
    <xf numFmtId="167" fontId="0" fillId="0" borderId="0" xfId="0" applyNumberFormat="1" applyFont="1"/>
    <xf numFmtId="0" fontId="0" fillId="0" borderId="0" xfId="0" applyFont="1"/>
    <xf numFmtId="0" fontId="0" fillId="0" borderId="0" xfId="0" applyFont="1" applyAlignment="1">
      <alignment horizontal="center"/>
    </xf>
    <xf numFmtId="0" fontId="6" fillId="0" borderId="0" xfId="0" applyFont="1"/>
    <xf numFmtId="0" fontId="0" fillId="0" borderId="0" xfId="0" applyFont="1" applyAlignment="1">
      <alignment horizontal="left"/>
    </xf>
    <xf numFmtId="0" fontId="6" fillId="0" borderId="0" xfId="0" applyFont="1" applyAlignment="1">
      <alignment horizontal="center"/>
    </xf>
    <xf numFmtId="0" fontId="0" fillId="0" borderId="0" xfId="0" applyFont="1" applyAlignment="1">
      <alignment wrapText="1"/>
    </xf>
    <xf numFmtId="0" fontId="0" fillId="0" borderId="21" xfId="0" applyFont="1" applyBorder="1" applyAlignment="1">
      <alignment horizontal="center"/>
    </xf>
    <xf numFmtId="164" fontId="0" fillId="0" borderId="22" xfId="18" applyNumberFormat="1" applyFont="1" applyBorder="1"/>
    <xf numFmtId="43" fontId="3" fillId="0" borderId="0" xfId="18" applyFont="1" applyAlignment="1">
      <alignment horizontal="center"/>
    </xf>
    <xf numFmtId="164" fontId="36" fillId="0" borderId="0" xfId="0" applyNumberFormat="1" applyFont="1"/>
    <xf numFmtId="43" fontId="0" fillId="0" borderId="0" xfId="18" applyFont="1" applyFill="1"/>
    <xf numFmtId="43" fontId="35" fillId="0" borderId="0" xfId="0" applyNumberFormat="1" applyFont="1"/>
    <xf numFmtId="0" fontId="35" fillId="0" borderId="0" xfId="0" applyFont="1" applyFill="1" applyAlignment="1">
      <alignment horizontal="left"/>
    </xf>
    <xf numFmtId="37" fontId="35" fillId="0" borderId="0" xfId="0" applyNumberFormat="1" applyFont="1" applyFill="1"/>
    <xf numFmtId="164" fontId="35" fillId="0" borderId="0" xfId="18" applyNumberFormat="1" applyFont="1" applyFill="1" applyAlignment="1">
      <alignment horizontal="left"/>
    </xf>
    <xf numFmtId="43" fontId="35" fillId="0" borderId="0" xfId="18" applyFont="1" applyFill="1" applyAlignment="1">
      <alignment horizontal="left"/>
    </xf>
    <xf numFmtId="37" fontId="35" fillId="0" borderId="24" xfId="0" applyNumberFormat="1" applyFont="1" applyFill="1" applyBorder="1"/>
    <xf numFmtId="43" fontId="42" fillId="0" borderId="0" xfId="18" applyFont="1" applyFill="1"/>
    <xf numFmtId="8" fontId="0" fillId="0" borderId="0" xfId="0" applyNumberFormat="1" applyFont="1" applyFill="1"/>
    <xf numFmtId="0" fontId="0" fillId="0" borderId="0" xfId="0" applyNumberFormat="1" applyFont="1" applyAlignment="1">
      <alignment horizontal="center"/>
    </xf>
    <xf numFmtId="17" fontId="0" fillId="0" borderId="0" xfId="0" applyNumberFormat="1" applyFont="1" applyAlignment="1" quotePrefix="1">
      <alignment horizontal="center"/>
    </xf>
    <xf numFmtId="0" fontId="43" fillId="0" borderId="0" xfId="0" applyFont="1"/>
    <xf numFmtId="0" fontId="0" fillId="0" borderId="0" xfId="0"/>
    <xf numFmtId="164" fontId="35" fillId="0" borderId="0" xfId="0" applyNumberFormat="1" applyFont="1" applyFill="1" applyAlignment="1">
      <alignment horizontal="left"/>
    </xf>
    <xf numFmtId="164" fontId="0" fillId="0" borderId="0" xfId="18" applyNumberFormat="1" applyFont="1" applyFill="1" applyBorder="1"/>
    <xf numFmtId="167" fontId="0" fillId="0" borderId="0" xfId="16" applyNumberFormat="1" applyFont="1" applyFill="1" applyBorder="1"/>
    <xf numFmtId="164" fontId="0" fillId="0" borderId="0" xfId="18" applyNumberFormat="1" applyFont="1" applyFill="1" applyBorder="1"/>
    <xf numFmtId="167" fontId="0" fillId="0" borderId="0" xfId="16" applyNumberFormat="1" applyFont="1" applyFill="1" applyBorder="1"/>
    <xf numFmtId="164" fontId="0" fillId="0" borderId="0" xfId="18" applyNumberFormat="1" applyFont="1" applyFill="1" applyBorder="1"/>
    <xf numFmtId="167" fontId="0" fillId="0" borderId="0" xfId="16" applyNumberFormat="1" applyFont="1" applyFill="1" applyBorder="1"/>
    <xf numFmtId="164" fontId="0" fillId="0" borderId="0" xfId="18" applyNumberFormat="1" applyFont="1" applyFill="1" applyBorder="1"/>
    <xf numFmtId="167" fontId="0" fillId="0" borderId="0" xfId="16" applyNumberFormat="1" applyFont="1" applyFill="1" applyBorder="1"/>
    <xf numFmtId="164" fontId="0" fillId="0" borderId="0" xfId="18" applyNumberFormat="1" applyFont="1" applyFill="1" applyBorder="1"/>
    <xf numFmtId="167" fontId="0" fillId="0" borderId="0" xfId="16" applyNumberFormat="1" applyFont="1" applyFill="1" applyBorder="1"/>
    <xf numFmtId="43" fontId="3" fillId="0" borderId="28" xfId="0" applyNumberFormat="1" applyFont="1" applyBorder="1"/>
    <xf numFmtId="42" fontId="0" fillId="0" borderId="0" xfId="18" applyNumberFormat="1" applyFont="1"/>
    <xf numFmtId="42" fontId="3" fillId="0" borderId="0" xfId="0" applyNumberFormat="1" applyFont="1" applyBorder="1"/>
    <xf numFmtId="41" fontId="0" fillId="0" borderId="0" xfId="18" applyNumberFormat="1" applyFont="1"/>
    <xf numFmtId="41" fontId="3" fillId="0" borderId="0" xfId="0" applyNumberFormat="1" applyFont="1" applyBorder="1"/>
    <xf numFmtId="42" fontId="3" fillId="0" borderId="24" xfId="0" applyNumberFormat="1" applyFont="1" applyBorder="1"/>
    <xf numFmtId="0" fontId="0" fillId="0" borderId="0" xfId="0" applyFont="1" applyFill="1" applyBorder="1" applyAlignment="1">
      <alignment horizontal="left" indent="3"/>
    </xf>
    <xf numFmtId="0" fontId="0" fillId="0" borderId="0" xfId="0" applyFont="1" applyFill="1" applyBorder="1" applyAlignment="1">
      <alignment horizontal="left" indent="3"/>
    </xf>
    <xf numFmtId="42" fontId="0" fillId="0" borderId="0" xfId="0" applyNumberFormat="1"/>
    <xf numFmtId="42" fontId="3" fillId="0" borderId="0" xfId="18" applyNumberFormat="1" applyFont="1" applyFill="1" applyBorder="1"/>
    <xf numFmtId="42" fontId="0" fillId="0" borderId="0" xfId="18" applyNumberFormat="1" applyFont="1" applyFill="1" applyBorder="1"/>
    <xf numFmtId="41" fontId="35" fillId="0" borderId="0" xfId="19" applyFont="1" applyFill="1" applyAlignment="1">
      <alignment horizontal="left"/>
    </xf>
    <xf numFmtId="0" fontId="10" fillId="0" borderId="0" xfId="75" applyFont="1">
      <alignment/>
      <protection/>
    </xf>
    <xf numFmtId="0" fontId="10" fillId="0" borderId="0" xfId="75" applyFont="1" applyAlignment="1">
      <alignment horizontal="center"/>
      <protection/>
    </xf>
    <xf numFmtId="0" fontId="3" fillId="0" borderId="0" xfId="80" applyFont="1" applyBorder="1" applyAlignment="1">
      <alignment horizontal="center"/>
      <protection/>
    </xf>
    <xf numFmtId="0" fontId="0" fillId="0" borderId="0" xfId="80" applyFont="1" applyBorder="1">
      <alignment/>
      <protection/>
    </xf>
    <xf numFmtId="0" fontId="3" fillId="0" borderId="9" xfId="80" applyFont="1" applyBorder="1" applyAlignment="1">
      <alignment horizontal="center" wrapText="1"/>
      <protection/>
    </xf>
    <xf numFmtId="0" fontId="0" fillId="0" borderId="9" xfId="80" applyFont="1" applyBorder="1" applyAlignment="1">
      <alignment wrapText="1"/>
      <protection/>
    </xf>
    <xf numFmtId="0" fontId="3" fillId="0" borderId="0" xfId="80" applyFont="1">
      <alignment/>
      <protection/>
    </xf>
    <xf numFmtId="0" fontId="42" fillId="0" borderId="0" xfId="80" applyFont="1">
      <alignment/>
      <protection/>
    </xf>
    <xf numFmtId="0" fontId="0" fillId="0" borderId="0" xfId="80" applyFont="1" applyAlignment="1">
      <alignment horizontal="center"/>
      <protection/>
    </xf>
    <xf numFmtId="0" fontId="8" fillId="0" borderId="0" xfId="80" applyFont="1" applyAlignment="1">
      <alignment vertical="center"/>
      <protection/>
    </xf>
    <xf numFmtId="164" fontId="0" fillId="0" borderId="0" xfId="78" applyNumberFormat="1" applyFont="1"/>
    <xf numFmtId="10" fontId="0" fillId="0" borderId="0" xfId="80" applyNumberFormat="1" applyFont="1">
      <alignment/>
      <protection/>
    </xf>
    <xf numFmtId="41" fontId="0" fillId="0" borderId="0" xfId="19" applyFont="1"/>
    <xf numFmtId="41" fontId="0" fillId="0" borderId="0" xfId="19" applyNumberFormat="1" applyFont="1"/>
    <xf numFmtId="0" fontId="3" fillId="0" borderId="0" xfId="80" applyFont="1" applyBorder="1" applyAlignment="1">
      <alignment horizontal="center" wrapText="1"/>
      <protection/>
    </xf>
    <xf numFmtId="41" fontId="42" fillId="0" borderId="0" xfId="19" applyFont="1"/>
    <xf numFmtId="0" fontId="3" fillId="0" borderId="0" xfId="79" applyFont="1" applyFill="1" applyBorder="1" applyAlignment="1">
      <alignment horizontal="center" wrapText="1"/>
      <protection/>
    </xf>
    <xf numFmtId="164" fontId="0" fillId="0" borderId="22" xfId="0" applyNumberFormat="1" applyBorder="1"/>
    <xf numFmtId="164" fontId="3" fillId="0" borderId="22" xfId="18" applyNumberFormat="1" applyFont="1" applyBorder="1"/>
    <xf numFmtId="6" fontId="44" fillId="0" borderId="0" xfId="81" applyNumberFormat="1" applyFont="1" applyFill="1">
      <alignment/>
      <protection/>
    </xf>
    <xf numFmtId="41" fontId="44" fillId="0" borderId="0" xfId="83" applyFont="1" applyFill="1" applyAlignment="1">
      <alignment horizontal="center"/>
    </xf>
    <xf numFmtId="6" fontId="44" fillId="0" borderId="0" xfId="81" applyNumberFormat="1" applyFont="1" applyFill="1" applyAlignment="1">
      <alignment horizontal="center"/>
      <protection/>
    </xf>
    <xf numFmtId="0" fontId="0" fillId="0" borderId="0" xfId="75" applyNumberFormat="1" applyFont="1" applyFill="1" applyAlignment="1">
      <alignment horizontal="center"/>
      <protection/>
    </xf>
    <xf numFmtId="6" fontId="1" fillId="0" borderId="0" xfId="0" applyNumberFormat="1" applyFont="1"/>
    <xf numFmtId="6" fontId="45" fillId="0" borderId="0" xfId="0" applyNumberFormat="1" applyFont="1"/>
    <xf numFmtId="6" fontId="1" fillId="0" borderId="0" xfId="0" applyNumberFormat="1" applyFont="1" applyFill="1"/>
    <xf numFmtId="6" fontId="1" fillId="0" borderId="0" xfId="0" applyNumberFormat="1" applyFont="1" applyFill="1" applyAlignment="1">
      <alignment horizontal="center"/>
    </xf>
    <xf numFmtId="0" fontId="1" fillId="0" borderId="0" xfId="0" applyFont="1" applyAlignment="1">
      <alignment horizontal="center"/>
    </xf>
    <xf numFmtId="41" fontId="0" fillId="0" borderId="0" xfId="18" applyNumberFormat="1" applyFont="1" applyFill="1" applyBorder="1"/>
    <xf numFmtId="41" fontId="0" fillId="0" borderId="22" xfId="18" applyNumberFormat="1" applyFont="1" applyFill="1" applyBorder="1"/>
    <xf numFmtId="41" fontId="3" fillId="0" borderId="0" xfId="18" applyNumberFormat="1" applyFont="1" applyFill="1" applyBorder="1"/>
    <xf numFmtId="43" fontId="43" fillId="0" borderId="0" xfId="0" applyNumberFormat="1" applyFont="1" applyFill="1" applyBorder="1" applyProtection="1">
      <protection locked="0"/>
    </xf>
    <xf numFmtId="164" fontId="43" fillId="0" borderId="0" xfId="0" applyNumberFormat="1" applyFont="1" applyFill="1" applyBorder="1" applyProtection="1">
      <protection locked="0"/>
    </xf>
    <xf numFmtId="41" fontId="43" fillId="0" borderId="0" xfId="19" applyFont="1" applyFill="1" applyBorder="1" applyProtection="1">
      <protection locked="0"/>
    </xf>
    <xf numFmtId="0" fontId="4" fillId="0" borderId="0" xfId="0" applyFont="1" applyFill="1" applyBorder="1" applyProtection="1">
      <protection locked="0"/>
    </xf>
    <xf numFmtId="0" fontId="3" fillId="0" borderId="29" xfId="0" applyFont="1" applyFill="1" applyBorder="1"/>
    <xf numFmtId="0" fontId="3" fillId="0" borderId="30" xfId="0" applyFont="1" applyFill="1" applyBorder="1"/>
    <xf numFmtId="0" fontId="0" fillId="0" borderId="31" xfId="0" applyFont="1" applyFill="1" applyBorder="1"/>
    <xf numFmtId="0" fontId="3" fillId="0" borderId="25" xfId="0" applyFont="1" applyFill="1" applyBorder="1" applyAlignment="1">
      <alignment horizontal="center"/>
    </xf>
    <xf numFmtId="0" fontId="3" fillId="0" borderId="26" xfId="0" applyFont="1" applyFill="1" applyBorder="1" applyAlignment="1">
      <alignment horizontal="center"/>
    </xf>
    <xf numFmtId="0" fontId="0" fillId="0" borderId="27" xfId="0" applyFont="1" applyFill="1" applyBorder="1" applyAlignment="1">
      <alignment horizontal="center"/>
    </xf>
    <xf numFmtId="0" fontId="3" fillId="0" borderId="0" xfId="0" applyFont="1" applyAlignment="1">
      <alignment horizontal="center" vertical="center"/>
    </xf>
    <xf numFmtId="0" fontId="0" fillId="0" borderId="0" xfId="0" applyFont="1" applyAlignment="1">
      <alignment horizontal="center" vertical="center"/>
    </xf>
    <xf numFmtId="0" fontId="0" fillId="0" borderId="0" xfId="0" applyFont="1" applyFill="1" applyBorder="1" applyAlignment="1">
      <alignment vertical="center" wrapText="1"/>
    </xf>
    <xf numFmtId="0" fontId="0" fillId="0" borderId="0" xfId="0" applyFont="1" applyAlignment="1">
      <alignment vertical="center"/>
    </xf>
    <xf numFmtId="0" fontId="0" fillId="0" borderId="0" xfId="0" applyFont="1" applyFill="1" applyAlignment="1">
      <alignment vertical="center"/>
    </xf>
    <xf numFmtId="0" fontId="0" fillId="0" borderId="0" xfId="0" applyFont="1" applyAlignment="1">
      <alignment vertical="center" wrapText="1"/>
    </xf>
    <xf numFmtId="0" fontId="0" fillId="0" borderId="0" xfId="0" applyFont="1" applyAlignment="1">
      <alignment horizontal="center" vertical="top"/>
    </xf>
    <xf numFmtId="164" fontId="35" fillId="0" borderId="0" xfId="0" applyNumberFormat="1" applyFont="1" applyFill="1" applyBorder="1" applyAlignment="1" applyProtection="1">
      <alignment horizontal="center"/>
      <protection locked="0"/>
    </xf>
    <xf numFmtId="0" fontId="1" fillId="0" borderId="0" xfId="131" applyFont="1" applyAlignment="1">
      <alignment horizontal="center"/>
      <protection/>
    </xf>
    <xf numFmtId="186" fontId="0" fillId="0" borderId="0" xfId="0" applyNumberFormat="1"/>
    <xf numFmtId="41" fontId="0" fillId="0" borderId="0" xfId="0" applyNumberFormat="1"/>
    <xf numFmtId="41" fontId="1" fillId="0" borderId="0" xfId="210" applyNumberFormat="1" applyFont="1" applyFill="1"/>
    <xf numFmtId="0" fontId="1" fillId="0" borderId="0" xfId="184" applyFont="1" applyFill="1" applyAlignment="1">
      <alignment horizontal="center"/>
      <protection/>
    </xf>
    <xf numFmtId="0" fontId="1" fillId="0" borderId="0" xfId="131" applyFont="1" applyFill="1" applyAlignment="1">
      <alignment horizontal="center"/>
      <protection/>
    </xf>
    <xf numFmtId="41" fontId="1" fillId="0" borderId="0" xfId="219" applyNumberFormat="1" applyFont="1" applyFill="1"/>
    <xf numFmtId="41" fontId="1" fillId="0" borderId="0" xfId="149" applyNumberFormat="1" applyFont="1" applyFill="1"/>
    <xf numFmtId="41" fontId="0" fillId="0" borderId="0" xfId="18" applyNumberFormat="1" applyFont="1" applyFill="1"/>
    <xf numFmtId="9" fontId="0" fillId="0" borderId="0" xfId="15" applyFont="1" applyFill="1" applyAlignment="1">
      <alignment horizontal="center"/>
    </xf>
    <xf numFmtId="41" fontId="0" fillId="0" borderId="0" xfId="0" applyNumberFormat="1" applyFill="1"/>
    <xf numFmtId="186" fontId="0" fillId="0" borderId="0" xfId="0" applyNumberFormat="1" applyFill="1"/>
    <xf numFmtId="0" fontId="3" fillId="0" borderId="0" xfId="0" applyFont="1" applyAlignment="1">
      <alignment horizontal="center" wrapText="1"/>
    </xf>
    <xf numFmtId="42" fontId="3" fillId="0" borderId="28" xfId="18" applyNumberFormat="1" applyFont="1" applyBorder="1"/>
    <xf numFmtId="0" fontId="0" fillId="0" borderId="0" xfId="0" applyFont="1" applyAlignment="1">
      <alignment horizontal="center" wrapText="1"/>
    </xf>
    <xf numFmtId="0" fontId="3" fillId="0" borderId="32" xfId="0" applyFont="1" applyBorder="1" applyAlignment="1">
      <alignment horizontal="center" wrapText="1"/>
    </xf>
    <xf numFmtId="164" fontId="3" fillId="0" borderId="16" xfId="18" applyNumberFormat="1" applyFont="1" applyBorder="1" applyAlignment="1" quotePrefix="1">
      <alignment horizontal="center"/>
    </xf>
    <xf numFmtId="164" fontId="3" fillId="0" borderId="17" xfId="18" applyNumberFormat="1" applyFont="1" applyBorder="1" applyAlignment="1" quotePrefix="1">
      <alignment horizontal="center"/>
    </xf>
    <xf numFmtId="164" fontId="42" fillId="0" borderId="0" xfId="18" applyNumberFormat="1" applyFont="1"/>
    <xf numFmtId="0" fontId="0" fillId="0" borderId="0" xfId="80" applyFont="1" applyAlignment="1">
      <alignment horizontal="left"/>
      <protection/>
    </xf>
    <xf numFmtId="0" fontId="39" fillId="0" borderId="0" xfId="0" applyFont="1" applyAlignment="1">
      <alignment wrapText="1"/>
    </xf>
    <xf numFmtId="0" fontId="3" fillId="0" borderId="19" xfId="0" applyFont="1" applyFill="1" applyBorder="1" applyAlignment="1">
      <alignment horizontal="center"/>
    </xf>
    <xf numFmtId="43" fontId="46" fillId="0" borderId="0" xfId="0" applyNumberFormat="1" applyFont="1" applyFill="1"/>
    <xf numFmtId="42" fontId="0" fillId="0" borderId="0" xfId="18" applyNumberFormat="1" applyFont="1" applyFill="1" applyBorder="1"/>
    <xf numFmtId="42" fontId="3" fillId="0" borderId="0" xfId="18" applyNumberFormat="1" applyFont="1" applyFill="1" applyBorder="1"/>
    <xf numFmtId="42" fontId="0" fillId="0" borderId="0" xfId="0" applyNumberFormat="1" applyFont="1" applyFill="1" applyAlignment="1">
      <alignment horizontal="left"/>
    </xf>
    <xf numFmtId="41" fontId="0" fillId="0" borderId="0" xfId="0" applyNumberFormat="1" applyFont="1" applyFill="1" applyAlignment="1">
      <alignment horizontal="left"/>
    </xf>
    <xf numFmtId="41" fontId="0" fillId="0" borderId="0" xfId="0" applyNumberFormat="1" applyFont="1" applyFill="1"/>
    <xf numFmtId="41" fontId="3" fillId="0" borderId="0" xfId="0" applyNumberFormat="1" applyFont="1" applyFill="1"/>
    <xf numFmtId="42" fontId="3" fillId="0" borderId="0" xfId="0" applyNumberFormat="1" applyFont="1" applyFill="1" applyAlignment="1">
      <alignment horizontal="left"/>
    </xf>
    <xf numFmtId="42" fontId="3" fillId="0" borderId="0" xfId="18" applyNumberFormat="1" applyFont="1"/>
    <xf numFmtId="41" fontId="3" fillId="0" borderId="0" xfId="18" applyNumberFormat="1" applyFont="1"/>
    <xf numFmtId="41" fontId="3" fillId="0" borderId="0" xfId="18" applyNumberFormat="1" applyFont="1" applyFill="1"/>
    <xf numFmtId="41" fontId="3" fillId="0" borderId="0" xfId="0" applyNumberFormat="1" applyFont="1"/>
    <xf numFmtId="167" fontId="3" fillId="0" borderId="0" xfId="16" applyNumberFormat="1" applyFont="1"/>
    <xf numFmtId="164" fontId="3" fillId="0" borderId="0" xfId="18" applyNumberFormat="1" applyFont="1"/>
    <xf numFmtId="42" fontId="0" fillId="0" borderId="0" xfId="18" applyNumberFormat="1" applyFont="1"/>
    <xf numFmtId="41" fontId="0" fillId="0" borderId="0" xfId="0" applyNumberFormat="1" applyFont="1"/>
    <xf numFmtId="41" fontId="0" fillId="0" borderId="0" xfId="18" applyNumberFormat="1" applyFont="1" applyFill="1"/>
    <xf numFmtId="41" fontId="0" fillId="0" borderId="9" xfId="18" applyNumberFormat="1" applyFont="1" applyBorder="1"/>
    <xf numFmtId="42" fontId="0" fillId="0" borderId="0" xfId="0" applyNumberFormat="1" applyFont="1"/>
    <xf numFmtId="42" fontId="0" fillId="0" borderId="24" xfId="18" applyNumberFormat="1" applyFont="1" applyBorder="1"/>
    <xf numFmtId="42" fontId="0" fillId="0" borderId="28" xfId="0" applyNumberFormat="1" applyFont="1" applyBorder="1"/>
    <xf numFmtId="42" fontId="12" fillId="0" borderId="0" xfId="0" applyNumberFormat="1" applyFont="1"/>
    <xf numFmtId="42" fontId="1" fillId="0" borderId="33" xfId="19" applyNumberFormat="1" applyFont="1" applyFill="1" applyBorder="1"/>
    <xf numFmtId="41" fontId="0" fillId="0" borderId="0" xfId="0" applyNumberFormat="1" applyFont="1" applyFill="1" applyAlignment="1">
      <alignment horizontal="right"/>
    </xf>
    <xf numFmtId="42" fontId="0" fillId="0" borderId="0" xfId="78" applyNumberFormat="1" applyFont="1"/>
    <xf numFmtId="41" fontId="0" fillId="0" borderId="0" xfId="78" applyNumberFormat="1" applyFont="1"/>
    <xf numFmtId="42" fontId="0" fillId="0" borderId="24" xfId="78" applyNumberFormat="1" applyFont="1" applyBorder="1"/>
    <xf numFmtId="42" fontId="0" fillId="0" borderId="9" xfId="18" applyNumberFormat="1" applyFont="1" applyBorder="1"/>
    <xf numFmtId="41" fontId="0" fillId="0" borderId="0" xfId="0" applyNumberFormat="1" applyFont="1" applyBorder="1"/>
    <xf numFmtId="41" fontId="0" fillId="0" borderId="0" xfId="15" applyNumberFormat="1" applyFont="1"/>
    <xf numFmtId="41" fontId="0" fillId="0" borderId="9" xfId="0" applyNumberFormat="1" applyFont="1" applyBorder="1" applyAlignment="1">
      <alignment horizontal="right"/>
    </xf>
    <xf numFmtId="42" fontId="0" fillId="0" borderId="0" xfId="0" applyNumberFormat="1" applyFont="1" applyBorder="1"/>
    <xf numFmtId="42" fontId="0" fillId="0" borderId="23" xfId="0" applyNumberFormat="1" applyFont="1" applyBorder="1"/>
    <xf numFmtId="42" fontId="0" fillId="0" borderId="0" xfId="18" applyNumberFormat="1" applyFont="1" applyBorder="1"/>
    <xf numFmtId="42" fontId="3" fillId="0" borderId="23" xfId="18" applyNumberFormat="1" applyFont="1" applyBorder="1"/>
    <xf numFmtId="42" fontId="0" fillId="0" borderId="0" xfId="0" applyNumberFormat="1" applyFont="1" applyFill="1" applyBorder="1"/>
    <xf numFmtId="42" fontId="0" fillId="0" borderId="0" xfId="0" applyNumberFormat="1" applyFont="1" applyBorder="1" applyAlignment="1">
      <alignment horizontal="center"/>
    </xf>
    <xf numFmtId="41" fontId="0" fillId="0" borderId="0" xfId="0" applyNumberFormat="1" applyFont="1" applyFill="1" applyBorder="1"/>
    <xf numFmtId="41" fontId="0" fillId="0" borderId="0" xfId="0" applyNumberFormat="1" applyFont="1" applyBorder="1" applyAlignment="1">
      <alignment horizontal="center"/>
    </xf>
    <xf numFmtId="41" fontId="0" fillId="0" borderId="0" xfId="0" applyNumberFormat="1" applyFont="1" applyFill="1" applyBorder="1" applyAlignment="1">
      <alignment horizontal="center"/>
    </xf>
    <xf numFmtId="42" fontId="0" fillId="0" borderId="28" xfId="0" applyNumberFormat="1" applyFont="1" applyFill="1" applyBorder="1"/>
    <xf numFmtId="42" fontId="0" fillId="0" borderId="23" xfId="0" applyNumberFormat="1" applyFont="1" applyFill="1" applyBorder="1"/>
    <xf numFmtId="42" fontId="0" fillId="0" borderId="0" xfId="18" applyNumberFormat="1" applyFont="1" applyFill="1"/>
    <xf numFmtId="42" fontId="0" fillId="0" borderId="0" xfId="0" applyNumberFormat="1" applyFont="1" applyFill="1"/>
    <xf numFmtId="42" fontId="3" fillId="0" borderId="22" xfId="18" applyNumberFormat="1" applyFont="1" applyFill="1" applyBorder="1"/>
    <xf numFmtId="42" fontId="0" fillId="0" borderId="0" xfId="0" applyNumberFormat="1" applyFont="1" applyAlignment="1">
      <alignment horizontal="center"/>
    </xf>
    <xf numFmtId="42" fontId="0" fillId="0" borderId="28" xfId="0" applyNumberFormat="1" applyFont="1" applyBorder="1" applyAlignment="1">
      <alignment horizontal="center"/>
    </xf>
    <xf numFmtId="9" fontId="0" fillId="0" borderId="22" xfId="15" applyFont="1" applyBorder="1" applyAlignment="1">
      <alignment horizontal="center"/>
    </xf>
    <xf numFmtId="41" fontId="0" fillId="0" borderId="22" xfId="0" applyNumberFormat="1" applyFont="1" applyBorder="1" applyAlignment="1">
      <alignment horizontal="center"/>
    </xf>
    <xf numFmtId="41" fontId="0" fillId="0" borderId="0" xfId="0" applyNumberFormat="1" applyFont="1" applyBorder="1" applyAlignment="1">
      <alignment horizontal="center"/>
    </xf>
    <xf numFmtId="42" fontId="0" fillId="0" borderId="0" xfId="16" applyNumberFormat="1" applyFont="1"/>
    <xf numFmtId="42" fontId="3" fillId="0" borderId="0" xfId="16" applyNumberFormat="1" applyFont="1"/>
    <xf numFmtId="41" fontId="3" fillId="0" borderId="0" xfId="18" applyNumberFormat="1" applyFont="1"/>
    <xf numFmtId="42" fontId="3" fillId="0" borderId="23" xfId="16" applyNumberFormat="1" applyFont="1" applyBorder="1"/>
    <xf numFmtId="41" fontId="0" fillId="0" borderId="0" xfId="18" applyNumberFormat="1" applyFont="1" applyFill="1" applyBorder="1"/>
    <xf numFmtId="0" fontId="1" fillId="0" borderId="0" xfId="0" applyNumberFormat="1" applyFont="1" applyFill="1" applyAlignment="1">
      <alignment horizontal="center"/>
    </xf>
    <xf numFmtId="42" fontId="0" fillId="0" borderId="0" xfId="0" applyNumberFormat="1" applyFill="1"/>
    <xf numFmtId="0" fontId="0" fillId="0" borderId="0" xfId="0" applyFill="1" applyAlignment="1">
      <alignment horizontal="right"/>
    </xf>
    <xf numFmtId="0" fontId="0" fillId="0" borderId="0" xfId="222" applyFont="1">
      <alignment/>
      <protection/>
    </xf>
    <xf numFmtId="0" fontId="0" fillId="0" borderId="0" xfId="0" applyFont="1" applyAlignment="1">
      <alignment/>
    </xf>
    <xf numFmtId="37" fontId="3" fillId="0" borderId="0" xfId="0" applyNumberFormat="1" applyFont="1" applyFill="1"/>
    <xf numFmtId="0" fontId="3" fillId="0" borderId="11" xfId="0" applyFont="1" applyBorder="1" applyAlignment="1">
      <alignment horizontal="center" wrapText="1"/>
    </xf>
    <xf numFmtId="42" fontId="3" fillId="0" borderId="0" xfId="0" applyNumberFormat="1" applyFont="1"/>
    <xf numFmtId="43" fontId="9" fillId="0" borderId="0" xfId="18" applyFont="1" applyFill="1" applyBorder="1" applyProtection="1">
      <protection locked="0"/>
    </xf>
    <xf numFmtId="0" fontId="2" fillId="0" borderId="0" xfId="81" applyFill="1">
      <alignment/>
      <protection/>
    </xf>
    <xf numFmtId="0" fontId="44" fillId="0" borderId="9" xfId="81" applyNumberFormat="1" applyFont="1" applyFill="1" applyBorder="1" applyAlignment="1">
      <alignment horizontal="center"/>
      <protection/>
    </xf>
    <xf numFmtId="6" fontId="44" fillId="0" borderId="9" xfId="81" applyNumberFormat="1" applyFont="1" applyFill="1" applyBorder="1" applyAlignment="1" quotePrefix="1">
      <alignment horizontal="center"/>
      <protection/>
    </xf>
    <xf numFmtId="14" fontId="44" fillId="0" borderId="9" xfId="81" applyNumberFormat="1" applyFont="1" applyFill="1" applyBorder="1" applyAlignment="1" quotePrefix="1">
      <alignment horizontal="center"/>
      <protection/>
    </xf>
    <xf numFmtId="0" fontId="1" fillId="0" borderId="0" xfId="81" applyNumberFormat="1" applyFont="1" applyFill="1" applyAlignment="1">
      <alignment horizontal="center"/>
      <protection/>
    </xf>
    <xf numFmtId="6" fontId="1" fillId="0" borderId="0" xfId="81" applyNumberFormat="1" applyFont="1" applyFill="1" applyAlignment="1" quotePrefix="1">
      <alignment horizontal="center"/>
      <protection/>
    </xf>
    <xf numFmtId="6" fontId="1" fillId="0" borderId="0" xfId="81" applyNumberFormat="1" applyFont="1" applyFill="1" applyBorder="1" applyAlignment="1" quotePrefix="1">
      <alignment horizontal="center"/>
      <protection/>
    </xf>
    <xf numFmtId="14" fontId="1" fillId="0" borderId="0" xfId="81" applyNumberFormat="1" applyFont="1" applyFill="1" applyBorder="1" applyAlignment="1" quotePrefix="1">
      <alignment horizontal="center"/>
      <protection/>
    </xf>
    <xf numFmtId="6" fontId="45" fillId="0" borderId="0" xfId="0" applyNumberFormat="1" applyFont="1" applyFill="1" quotePrefix="1"/>
    <xf numFmtId="6" fontId="45" fillId="0" borderId="0" xfId="0" applyNumberFormat="1" applyFont="1" applyFill="1" applyAlignment="1" quotePrefix="1">
      <alignment horizontal="center"/>
    </xf>
    <xf numFmtId="41" fontId="44" fillId="0" borderId="0" xfId="19" applyFont="1" applyFill="1" applyAlignment="1">
      <alignment horizontal="center"/>
    </xf>
    <xf numFmtId="42" fontId="1" fillId="0" borderId="0" xfId="19" applyNumberFormat="1" applyFont="1" applyFill="1"/>
    <xf numFmtId="0" fontId="3" fillId="0" borderId="25" xfId="0" applyFont="1" applyFill="1" applyBorder="1" applyAlignment="1">
      <alignment horizontal="center" wrapText="1"/>
    </xf>
    <xf numFmtId="0" fontId="3" fillId="0" borderId="16" xfId="0" applyFont="1" applyFill="1" applyBorder="1" applyAlignment="1">
      <alignment horizontal="center" wrapText="1"/>
    </xf>
    <xf numFmtId="0" fontId="3" fillId="0" borderId="0" xfId="0" applyFont="1" applyFill="1" applyBorder="1" applyAlignment="1">
      <alignment horizontal="center" wrapText="1"/>
    </xf>
    <xf numFmtId="0" fontId="0" fillId="0" borderId="18" xfId="0" applyFont="1" applyFill="1" applyBorder="1" applyAlignment="1" quotePrefix="1">
      <alignment horizontal="center"/>
    </xf>
    <xf numFmtId="0" fontId="0" fillId="0" borderId="31" xfId="0" applyFont="1" applyFill="1" applyBorder="1" applyAlignment="1">
      <alignment horizontal="center"/>
    </xf>
    <xf numFmtId="0" fontId="3" fillId="0" borderId="29" xfId="0" applyFont="1" applyFill="1" applyBorder="1" applyAlignment="1">
      <alignment horizontal="center"/>
    </xf>
    <xf numFmtId="0" fontId="3" fillId="0" borderId="19" xfId="0" applyFont="1" applyFill="1" applyBorder="1" applyAlignment="1">
      <alignment horizontal="center" wrapText="1"/>
    </xf>
    <xf numFmtId="0" fontId="3" fillId="0" borderId="30" xfId="0" applyFont="1" applyFill="1" applyBorder="1" applyAlignment="1">
      <alignment horizontal="center"/>
    </xf>
    <xf numFmtId="0" fontId="0" fillId="0" borderId="27" xfId="0" applyFont="1" applyFill="1" applyBorder="1" applyAlignment="1" quotePrefix="1">
      <alignment horizontal="center"/>
    </xf>
    <xf numFmtId="0" fontId="0" fillId="0" borderId="15" xfId="0" applyFont="1" applyFill="1" applyBorder="1" applyAlignment="1">
      <alignment horizontal="center"/>
    </xf>
    <xf numFmtId="0" fontId="0" fillId="0" borderId="0" xfId="0" applyFont="1" applyFill="1" applyBorder="1" applyAlignment="1" quotePrefix="1">
      <alignment horizontal="center"/>
    </xf>
    <xf numFmtId="41" fontId="0" fillId="0" borderId="0" xfId="0" applyNumberFormat="1" applyFont="1" applyFill="1" applyAlignment="1">
      <alignment horizontal="center"/>
    </xf>
    <xf numFmtId="41" fontId="0" fillId="0" borderId="0" xfId="18" applyNumberFormat="1" applyFont="1" applyFill="1" applyAlignment="1">
      <alignment horizontal="center"/>
    </xf>
    <xf numFmtId="41" fontId="0" fillId="0" borderId="0" xfId="18" applyNumberFormat="1" applyFont="1" applyFill="1" applyAlignment="1">
      <alignment/>
    </xf>
    <xf numFmtId="171" fontId="0" fillId="0" borderId="0" xfId="18" applyNumberFormat="1" applyFont="1" applyFill="1" applyAlignment="1">
      <alignment/>
    </xf>
    <xf numFmtId="42" fontId="0" fillId="0" borderId="0" xfId="0" applyNumberFormat="1" applyFont="1" applyFill="1" applyAlignment="1">
      <alignment horizontal="center"/>
    </xf>
    <xf numFmtId="42" fontId="0" fillId="0" borderId="0" xfId="18" applyNumberFormat="1" applyFont="1" applyFill="1" applyAlignment="1">
      <alignment horizontal="center"/>
    </xf>
    <xf numFmtId="42" fontId="0" fillId="0" borderId="0" xfId="18" applyNumberFormat="1" applyFont="1" applyFill="1" applyAlignment="1">
      <alignment/>
    </xf>
    <xf numFmtId="41" fontId="0" fillId="0" borderId="0" xfId="18" applyNumberFormat="1" applyFont="1" applyFill="1" applyBorder="1" applyAlignment="1">
      <alignment/>
    </xf>
    <xf numFmtId="0" fontId="1" fillId="0" borderId="0" xfId="0" applyFont="1" applyFill="1" applyAlignment="1">
      <alignment horizontal="center"/>
    </xf>
    <xf numFmtId="41" fontId="0" fillId="0" borderId="0" xfId="18" applyNumberFormat="1" applyFont="1" applyFill="1" applyBorder="1" applyAlignment="1">
      <alignment horizontal="center"/>
    </xf>
    <xf numFmtId="0" fontId="3" fillId="0" borderId="16" xfId="0" applyFont="1" applyFill="1" applyBorder="1" applyAlignment="1">
      <alignment horizontal="center" wrapText="1"/>
    </xf>
    <xf numFmtId="0" fontId="3" fillId="0" borderId="17" xfId="0" applyFont="1" applyFill="1" applyBorder="1" applyAlignment="1">
      <alignment horizontal="center" wrapText="1"/>
    </xf>
    <xf numFmtId="0" fontId="3" fillId="0" borderId="34" xfId="0" applyFont="1" applyFill="1" applyBorder="1"/>
    <xf numFmtId="0" fontId="3" fillId="0" borderId="34" xfId="0" applyFont="1" applyFill="1" applyBorder="1" applyAlignment="1">
      <alignment horizontal="center"/>
    </xf>
    <xf numFmtId="0" fontId="3" fillId="0" borderId="0" xfId="0" applyFont="1" applyFill="1"/>
    <xf numFmtId="0" fontId="3" fillId="0" borderId="35" xfId="0" applyFont="1" applyFill="1" applyBorder="1" applyAlignment="1">
      <alignment horizontal="center"/>
    </xf>
    <xf numFmtId="0" fontId="3" fillId="0" borderId="35" xfId="0" applyFont="1" applyFill="1" applyBorder="1"/>
    <xf numFmtId="0" fontId="3" fillId="0" borderId="35" xfId="0" applyFont="1" applyFill="1" applyBorder="1" applyAlignment="1">
      <alignment horizontal="center"/>
    </xf>
    <xf numFmtId="0" fontId="3" fillId="0" borderId="36" xfId="0" applyFont="1" applyFill="1" applyBorder="1" applyAlignment="1">
      <alignment horizontal="center"/>
    </xf>
    <xf numFmtId="0" fontId="5" fillId="0" borderId="0" xfId="0" applyFont="1" applyFill="1"/>
    <xf numFmtId="173" fontId="0" fillId="0" borderId="0" xfId="0" applyNumberFormat="1" applyFill="1" applyAlignment="1">
      <alignment horizontal="center"/>
    </xf>
    <xf numFmtId="0" fontId="3" fillId="0" borderId="0" xfId="0" applyFont="1" applyFill="1" applyAlignment="1">
      <alignment horizontal="center"/>
    </xf>
    <xf numFmtId="0" fontId="3" fillId="0" borderId="9" xfId="0" applyFont="1" applyFill="1" applyBorder="1" applyAlignment="1">
      <alignment horizontal="center"/>
    </xf>
    <xf numFmtId="0" fontId="0" fillId="0" borderId="22" xfId="0" applyFill="1" applyBorder="1" applyAlignment="1">
      <alignment horizontal="center"/>
    </xf>
    <xf numFmtId="0" fontId="0" fillId="0" borderId="22" xfId="0" applyFont="1" applyFill="1" applyBorder="1" applyAlignment="1">
      <alignment horizontal="center"/>
    </xf>
    <xf numFmtId="0" fontId="0" fillId="0" borderId="0" xfId="293" applyFont="1" applyFill="1" applyAlignment="1">
      <alignment/>
      <protection/>
    </xf>
    <xf numFmtId="0" fontId="0" fillId="0" borderId="0" xfId="300" applyFont="1">
      <alignment/>
      <protection/>
    </xf>
    <xf numFmtId="0" fontId="0" fillId="0" borderId="0" xfId="307" applyFont="1">
      <alignment/>
      <protection/>
    </xf>
    <xf numFmtId="0" fontId="1" fillId="0" borderId="0" xfId="296" applyFont="1">
      <alignment/>
      <protection/>
    </xf>
    <xf numFmtId="164" fontId="43" fillId="0" borderId="0" xfId="18" applyNumberFormat="1" applyFont="1"/>
    <xf numFmtId="0" fontId="61" fillId="0" borderId="20" xfId="0" applyFont="1" applyBorder="1"/>
    <xf numFmtId="164" fontId="43" fillId="0" borderId="11" xfId="18" applyNumberFormat="1" applyFont="1" applyBorder="1"/>
    <xf numFmtId="164" fontId="43" fillId="0" borderId="21" xfId="18" applyNumberFormat="1" applyFont="1" applyBorder="1"/>
    <xf numFmtId="164" fontId="62" fillId="0" borderId="0" xfId="0" applyNumberFormat="1" applyFont="1"/>
    <xf numFmtId="0" fontId="0" fillId="0" borderId="0" xfId="303" applyFont="1">
      <alignment/>
      <protection/>
    </xf>
    <xf numFmtId="0" fontId="0" fillId="0" borderId="0" xfId="310" applyFont="1">
      <alignment/>
      <protection/>
    </xf>
    <xf numFmtId="37" fontId="35" fillId="0" borderId="0" xfId="31" applyNumberFormat="1" applyFont="1" applyFill="1"/>
    <xf numFmtId="0" fontId="35" fillId="0" borderId="0" xfId="42" applyFont="1" applyFill="1" applyAlignment="1">
      <alignment horizontal="left"/>
    </xf>
    <xf numFmtId="0" fontId="1" fillId="0" borderId="0" xfId="294" applyFont="1">
      <alignment/>
      <protection/>
    </xf>
    <xf numFmtId="43" fontId="12" fillId="0" borderId="0" xfId="0" applyNumberFormat="1" applyFont="1"/>
    <xf numFmtId="0" fontId="0" fillId="0" borderId="0" xfId="0" applyFont="1" applyAlignment="1">
      <alignment/>
    </xf>
    <xf numFmtId="0" fontId="0" fillId="0" borderId="0" xfId="0" applyFont="1" applyFill="1" applyAlignment="1">
      <alignment/>
    </xf>
    <xf numFmtId="42" fontId="0" fillId="0" borderId="24" xfId="0" applyNumberFormat="1" applyFont="1" applyBorder="1" applyAlignment="1">
      <alignment horizontal="center"/>
    </xf>
    <xf numFmtId="0" fontId="0" fillId="0" borderId="0" xfId="0" applyFont="1" applyAlignment="1">
      <alignment horizontal="left"/>
    </xf>
    <xf numFmtId="0" fontId="0" fillId="0" borderId="0" xfId="0" applyFont="1" applyFill="1" applyBorder="1" applyAlignment="1">
      <alignment/>
    </xf>
    <xf numFmtId="41" fontId="43" fillId="0" borderId="0" xfId="0" applyNumberFormat="1" applyFont="1" applyAlignment="1">
      <alignment/>
    </xf>
    <xf numFmtId="0" fontId="43" fillId="0" borderId="0" xfId="0" applyFont="1" applyAlignment="1">
      <alignment horizontal="right"/>
    </xf>
    <xf numFmtId="17" fontId="0" fillId="0" borderId="0" xfId="0" applyNumberFormat="1" applyFill="1" quotePrefix="1"/>
    <xf numFmtId="41" fontId="0" fillId="0" borderId="0" xfId="16" applyNumberFormat="1" applyFont="1" applyFill="1" applyAlignment="1">
      <alignment horizontal="left"/>
    </xf>
    <xf numFmtId="41" fontId="64" fillId="0" borderId="0" xfId="0" applyNumberFormat="1" applyFont="1" applyFill="1"/>
    <xf numFmtId="0" fontId="5" fillId="0" borderId="0" xfId="0" applyFont="1" applyFill="1" applyAlignment="1">
      <alignment/>
    </xf>
    <xf numFmtId="0" fontId="5" fillId="0" borderId="0" xfId="0" applyFont="1" applyAlignment="1">
      <alignment horizontal="left"/>
    </xf>
    <xf numFmtId="0" fontId="1" fillId="0" borderId="0" xfId="184" applyFont="1">
      <alignment/>
      <protection/>
    </xf>
    <xf numFmtId="42" fontId="0" fillId="0" borderId="24" xfId="0" applyNumberFormat="1" applyFont="1" applyFill="1" applyBorder="1" applyAlignment="1">
      <alignment horizontal="center"/>
    </xf>
    <xf numFmtId="42" fontId="0" fillId="0" borderId="0" xfId="0" applyNumberFormat="1" applyFont="1" applyFill="1" applyBorder="1" applyAlignment="1">
      <alignment horizontal="center"/>
    </xf>
    <xf numFmtId="164" fontId="1" fillId="0" borderId="0" xfId="0" applyNumberFormat="1" applyFont="1" applyFill="1"/>
    <xf numFmtId="167" fontId="3" fillId="0" borderId="28" xfId="16" applyNumberFormat="1" applyFont="1" applyFill="1" applyBorder="1" applyAlignment="1">
      <alignment horizontal="center"/>
    </xf>
    <xf numFmtId="167" fontId="0" fillId="0" borderId="28" xfId="16" applyNumberFormat="1" applyFont="1" applyFill="1" applyBorder="1" applyAlignment="1">
      <alignment horizontal="center"/>
    </xf>
    <xf numFmtId="0" fontId="6" fillId="0" borderId="0" xfId="0" applyFont="1" applyFill="1" applyAlignment="1">
      <alignment/>
    </xf>
    <xf numFmtId="0" fontId="6" fillId="0" borderId="0" xfId="0" applyFont="1" applyAlignment="1">
      <alignment horizontal="left"/>
    </xf>
    <xf numFmtId="41" fontId="3" fillId="0" borderId="0" xfId="18" applyNumberFormat="1" applyFont="1" applyAlignment="1">
      <alignment horizontal="center"/>
    </xf>
    <xf numFmtId="0" fontId="63" fillId="0" borderId="0" xfId="0" applyFont="1" applyFill="1" applyBorder="1" applyAlignment="1">
      <alignment horizontal="center" wrapText="1"/>
    </xf>
    <xf numFmtId="0" fontId="35" fillId="0" borderId="0" xfId="0" applyFont="1" applyFill="1" applyAlignment="1">
      <alignment horizontal="center"/>
    </xf>
    <xf numFmtId="0" fontId="1" fillId="0" borderId="0" xfId="184" applyFont="1" applyFill="1">
      <alignment/>
      <protection/>
    </xf>
    <xf numFmtId="167" fontId="43" fillId="0" borderId="0" xfId="0" applyNumberFormat="1" applyFont="1" applyFill="1"/>
    <xf numFmtId="42" fontId="0" fillId="0" borderId="0" xfId="18" applyNumberFormat="1" applyFont="1" applyAlignment="1">
      <alignment/>
    </xf>
    <xf numFmtId="42" fontId="0" fillId="0" borderId="0" xfId="0" applyNumberFormat="1" applyFont="1" applyAlignment="1">
      <alignment/>
    </xf>
    <xf numFmtId="0" fontId="43" fillId="0" borderId="0" xfId="0" applyFont="1" applyAlignment="1">
      <alignment horizontal="left"/>
    </xf>
    <xf numFmtId="0" fontId="63" fillId="0" borderId="0" xfId="0" applyFont="1" applyFill="1" applyAlignment="1">
      <alignment/>
    </xf>
    <xf numFmtId="6" fontId="36" fillId="0" borderId="0" xfId="0" applyNumberFormat="1" applyFont="1"/>
    <xf numFmtId="0" fontId="0" fillId="0" borderId="0" xfId="80" applyFont="1" applyFill="1" applyAlignment="1">
      <alignment horizontal="left"/>
      <protection/>
    </xf>
    <xf numFmtId="10" fontId="0" fillId="0" borderId="0" xfId="80" applyNumberFormat="1" applyFont="1" applyBorder="1">
      <alignment/>
      <protection/>
    </xf>
    <xf numFmtId="10" fontId="0" fillId="0" borderId="0" xfId="0" applyNumberFormat="1" applyFont="1"/>
    <xf numFmtId="10" fontId="0" fillId="0" borderId="9" xfId="0" applyNumberFormat="1" applyFont="1" applyBorder="1"/>
    <xf numFmtId="0" fontId="0" fillId="0" borderId="0" xfId="0" applyFont="1" applyAlignment="1">
      <alignment wrapText="1"/>
    </xf>
    <xf numFmtId="164" fontId="61" fillId="0" borderId="0" xfId="18" applyNumberFormat="1" applyFont="1" applyFill="1" applyBorder="1" applyProtection="1">
      <protection locked="0"/>
    </xf>
    <xf numFmtId="0" fontId="61" fillId="0" borderId="0" xfId="0" applyFont="1" applyFill="1" applyBorder="1" applyProtection="1">
      <protection locked="0"/>
    </xf>
    <xf numFmtId="164" fontId="62" fillId="0" borderId="0" xfId="0" applyNumberFormat="1" applyFont="1" applyBorder="1"/>
    <xf numFmtId="0" fontId="43" fillId="0" borderId="0" xfId="0" applyFont="1" applyFill="1" applyBorder="1" applyAlignment="1" applyProtection="1">
      <alignment horizontal="right"/>
      <protection locked="0"/>
    </xf>
    <xf numFmtId="0" fontId="61" fillId="0" borderId="0" xfId="0" applyFont="1" applyFill="1" applyBorder="1" applyAlignment="1" applyProtection="1">
      <alignment horizontal="right"/>
      <protection locked="0"/>
    </xf>
    <xf numFmtId="164" fontId="61" fillId="0" borderId="0" xfId="0" applyNumberFormat="1" applyFont="1" applyFill="1" applyBorder="1" applyAlignment="1" applyProtection="1">
      <alignment horizontal="center"/>
      <protection locked="0"/>
    </xf>
    <xf numFmtId="44" fontId="61" fillId="0" borderId="0" xfId="0" applyNumberFormat="1" applyFont="1" applyFill="1" applyBorder="1" applyAlignment="1" applyProtection="1">
      <alignment horizontal="center"/>
      <protection locked="0"/>
    </xf>
    <xf numFmtId="164" fontId="35" fillId="0" borderId="0" xfId="18" applyNumberFormat="1" applyFont="1"/>
    <xf numFmtId="164" fontId="35" fillId="0" borderId="28" xfId="18" applyNumberFormat="1" applyFont="1" applyFill="1" applyBorder="1"/>
    <xf numFmtId="164" fontId="35" fillId="0" borderId="0" xfId="18" applyNumberFormat="1" applyFont="1" applyFill="1" applyBorder="1"/>
    <xf numFmtId="167" fontId="0" fillId="0" borderId="0" xfId="18" applyNumberFormat="1" applyFont="1"/>
    <xf numFmtId="0" fontId="63" fillId="0" borderId="0" xfId="0" applyFont="1" applyFill="1"/>
    <xf numFmtId="0" fontId="44" fillId="0" borderId="9" xfId="0" applyFont="1" applyBorder="1"/>
    <xf numFmtId="0" fontId="3" fillId="0" borderId="9" xfId="79" applyFont="1" applyFill="1" applyBorder="1" applyAlignment="1">
      <alignment horizontal="center" wrapText="1"/>
      <protection/>
    </xf>
    <xf numFmtId="0" fontId="3" fillId="0" borderId="0" xfId="79" applyFont="1" applyFill="1" applyBorder="1" applyAlignment="1">
      <alignment horizontal="center"/>
      <protection/>
    </xf>
    <xf numFmtId="0" fontId="6" fillId="0" borderId="0" xfId="79" applyFont="1" applyFill="1" applyBorder="1" applyAlignment="1">
      <alignment horizontal="left"/>
      <protection/>
    </xf>
    <xf numFmtId="10" fontId="0" fillId="0" borderId="0" xfId="79" applyNumberFormat="1" applyFont="1" applyFill="1" applyBorder="1" applyAlignment="1">
      <alignment horizontal="center"/>
      <protection/>
    </xf>
    <xf numFmtId="0" fontId="61" fillId="0" borderId="0" xfId="0" applyFont="1"/>
    <xf numFmtId="0" fontId="63" fillId="0" borderId="0" xfId="0" applyFont="1" applyFill="1" applyBorder="1" applyProtection="1">
      <protection locked="0"/>
    </xf>
    <xf numFmtId="0" fontId="35" fillId="0" borderId="0" xfId="0" applyFont="1" applyFill="1" applyBorder="1"/>
    <xf numFmtId="171" fontId="35" fillId="0" borderId="0" xfId="0" applyNumberFormat="1" applyFont="1" applyFill="1"/>
    <xf numFmtId="10" fontId="0" fillId="0" borderId="24" xfId="80" applyNumberFormat="1" applyFont="1" applyBorder="1">
      <alignment/>
      <protection/>
    </xf>
    <xf numFmtId="9" fontId="3" fillId="0" borderId="9" xfId="15" applyFont="1" applyFill="1" applyBorder="1" applyAlignment="1">
      <alignment horizontal="center"/>
    </xf>
    <xf numFmtId="43" fontId="0" fillId="0" borderId="0" xfId="0" applyNumberFormat="1" applyFont="1"/>
    <xf numFmtId="0" fontId="35" fillId="0" borderId="0" xfId="0" applyFont="1" applyAlignment="1">
      <alignment/>
    </xf>
    <xf numFmtId="0" fontId="63" fillId="0" borderId="0" xfId="0" applyFont="1" applyFill="1" applyBorder="1" applyAlignment="1">
      <alignment horizontal="center"/>
    </xf>
    <xf numFmtId="0" fontId="35" fillId="0" borderId="0" xfId="0" applyFont="1" applyFill="1" applyBorder="1" applyAlignment="1">
      <alignment horizontal="center"/>
    </xf>
    <xf numFmtId="0" fontId="35" fillId="0" borderId="0" xfId="0" applyFont="1" applyFill="1" applyAlignment="1">
      <alignment/>
    </xf>
    <xf numFmtId="171" fontId="35" fillId="0" borderId="0" xfId="0" applyNumberFormat="1" applyFont="1" applyFill="1" applyAlignment="1">
      <alignment/>
    </xf>
    <xf numFmtId="0" fontId="0" fillId="0" borderId="0" xfId="0" applyFont="1"/>
    <xf numFmtId="37" fontId="0" fillId="0" borderId="0" xfId="0" applyNumberFormat="1" applyFont="1" applyFill="1" applyBorder="1"/>
    <xf numFmtId="41" fontId="44" fillId="0" borderId="0" xfId="83" applyFont="1" applyFill="1" applyBorder="1" applyAlignment="1">
      <alignment horizontal="center"/>
    </xf>
    <xf numFmtId="6" fontId="44" fillId="0" borderId="0" xfId="81" applyNumberFormat="1" applyFont="1" applyFill="1" applyBorder="1" applyAlignment="1" quotePrefix="1">
      <alignment horizontal="center"/>
      <protection/>
    </xf>
    <xf numFmtId="41" fontId="44" fillId="0" borderId="0" xfId="19" applyFont="1" applyFill="1" applyBorder="1" applyAlignment="1">
      <alignment horizontal="center"/>
    </xf>
    <xf numFmtId="42" fontId="1" fillId="0" borderId="0" xfId="19" applyNumberFormat="1" applyFont="1" applyFill="1" applyBorder="1"/>
    <xf numFmtId="41" fontId="1" fillId="0" borderId="0" xfId="0" applyNumberFormat="1" applyFont="1"/>
    <xf numFmtId="14" fontId="3" fillId="0" borderId="9" xfId="0" applyNumberFormat="1" applyFont="1" applyFill="1" applyBorder="1" applyAlignment="1">
      <alignment horizontal="center"/>
    </xf>
    <xf numFmtId="41" fontId="1" fillId="0" borderId="0" xfId="19" applyFont="1" applyFill="1"/>
    <xf numFmtId="41" fontId="1" fillId="0" borderId="0" xfId="19" applyFont="1" applyFill="1" applyBorder="1"/>
    <xf numFmtId="0" fontId="0" fillId="0" borderId="0" xfId="75" applyFont="1" applyFill="1" applyBorder="1" applyAlignment="1">
      <alignment horizontal="center"/>
      <protection/>
    </xf>
    <xf numFmtId="42" fontId="1" fillId="0" borderId="24" xfId="19" applyNumberFormat="1" applyFont="1" applyFill="1" applyBorder="1"/>
    <xf numFmtId="6" fontId="45" fillId="0" borderId="0" xfId="0" applyNumberFormat="1" applyFont="1" applyFill="1" applyAlignment="1">
      <alignment horizontal="center"/>
    </xf>
    <xf numFmtId="41" fontId="1" fillId="0" borderId="0" xfId="0" applyNumberFormat="1" applyFont="1" applyFill="1"/>
    <xf numFmtId="41" fontId="1" fillId="0" borderId="0" xfId="19" applyNumberFormat="1" applyFont="1" applyFill="1"/>
    <xf numFmtId="41" fontId="1" fillId="0" borderId="0" xfId="19" applyNumberFormat="1" applyFont="1" applyFill="1" applyBorder="1"/>
    <xf numFmtId="164" fontId="0" fillId="0" borderId="0" xfId="0" applyNumberFormat="1" applyFill="1"/>
    <xf numFmtId="41" fontId="43" fillId="0" borderId="0" xfId="83" applyFont="1" applyFill="1"/>
    <xf numFmtId="41" fontId="43" fillId="0" borderId="0" xfId="83" applyFont="1" applyFill="1" applyBorder="1"/>
    <xf numFmtId="41" fontId="0" fillId="0" borderId="0" xfId="0" applyNumberFormat="1" applyFill="1" applyBorder="1"/>
    <xf numFmtId="42" fontId="43" fillId="0" borderId="0" xfId="0" applyNumberFormat="1" applyFont="1" applyFill="1"/>
    <xf numFmtId="14" fontId="1" fillId="0" borderId="0" xfId="83" applyNumberFormat="1" applyFont="1" applyBorder="1" applyAlignment="1">
      <alignment horizontal="center"/>
    </xf>
    <xf numFmtId="14" fontId="1" fillId="0" borderId="0" xfId="83" applyNumberFormat="1" applyFont="1" applyFill="1" applyBorder="1" applyAlignment="1">
      <alignment horizontal="center"/>
    </xf>
    <xf numFmtId="6" fontId="1" fillId="0" borderId="0" xfId="81" applyNumberFormat="1" applyFont="1" applyAlignment="1" quotePrefix="1">
      <alignment horizontal="center"/>
      <protection/>
    </xf>
    <xf numFmtId="6" fontId="1" fillId="0" borderId="0" xfId="81" applyNumberFormat="1" applyFont="1" applyBorder="1" applyAlignment="1" quotePrefix="1">
      <alignment horizontal="center"/>
      <protection/>
    </xf>
    <xf numFmtId="14" fontId="1" fillId="0" borderId="0" xfId="81" applyNumberFormat="1" applyFont="1" applyBorder="1" applyAlignment="1" quotePrefix="1">
      <alignment horizontal="center"/>
      <protection/>
    </xf>
    <xf numFmtId="6" fontId="1" fillId="0" borderId="0" xfId="81" applyNumberFormat="1" applyFont="1" applyAlignment="1">
      <alignment horizontal="center"/>
      <protection/>
    </xf>
    <xf numFmtId="6" fontId="1" fillId="0" borderId="0" xfId="81" applyNumberFormat="1" applyFont="1" applyFill="1" applyBorder="1" applyAlignment="1">
      <alignment horizontal="center"/>
      <protection/>
    </xf>
    <xf numFmtId="165" fontId="35" fillId="0" borderId="0" xfId="18" applyNumberFormat="1" applyFont="1" applyFill="1"/>
    <xf numFmtId="0" fontId="0" fillId="0" borderId="37" xfId="0" applyFont="1" applyBorder="1" applyAlignment="1">
      <alignment horizontal="center" vertical="center"/>
    </xf>
    <xf numFmtId="0" fontId="6" fillId="0" borderId="21" xfId="0" applyFont="1" applyFill="1" applyBorder="1" applyAlignment="1">
      <alignment vertical="center"/>
    </xf>
    <xf numFmtId="0" fontId="1" fillId="0" borderId="21" xfId="0" applyFont="1" applyFill="1" applyBorder="1" applyAlignment="1">
      <alignment vertical="center" wrapText="1"/>
    </xf>
    <xf numFmtId="0" fontId="0" fillId="0" borderId="38" xfId="0" applyFont="1" applyFill="1" applyBorder="1" applyAlignment="1">
      <alignment vertical="center" wrapText="1"/>
    </xf>
    <xf numFmtId="0" fontId="0" fillId="0" borderId="37" xfId="0" applyFont="1" applyFill="1" applyBorder="1" applyAlignment="1">
      <alignment horizontal="center" vertical="center"/>
    </xf>
    <xf numFmtId="0" fontId="0" fillId="0" borderId="38" xfId="0" applyFont="1" applyFill="1" applyBorder="1" applyAlignment="1">
      <alignment horizontal="left" vertical="center" wrapText="1"/>
    </xf>
    <xf numFmtId="0" fontId="1" fillId="0" borderId="39" xfId="0" applyFont="1" applyFill="1" applyBorder="1" applyAlignment="1">
      <alignment vertical="center" wrapText="1"/>
    </xf>
    <xf numFmtId="0" fontId="1" fillId="0" borderId="40" xfId="0" applyFont="1" applyFill="1" applyBorder="1" applyAlignment="1">
      <alignment vertical="center" wrapText="1"/>
    </xf>
    <xf numFmtId="0" fontId="0" fillId="0" borderId="39" xfId="0" applyFont="1" applyFill="1" applyBorder="1" applyAlignment="1">
      <alignment vertical="center" wrapText="1"/>
    </xf>
    <xf numFmtId="0" fontId="1" fillId="0" borderId="40" xfId="0" applyFont="1" applyFill="1" applyBorder="1" applyAlignment="1">
      <alignment horizontal="left" vertical="center" wrapText="1"/>
    </xf>
    <xf numFmtId="0" fontId="0" fillId="0" borderId="39" xfId="0" applyFont="1" applyFill="1" applyBorder="1" applyAlignment="1">
      <alignment vertical="center"/>
    </xf>
    <xf numFmtId="0" fontId="0" fillId="0" borderId="40" xfId="0" applyFont="1" applyFill="1" applyBorder="1" applyAlignment="1">
      <alignment vertical="center" wrapText="1"/>
    </xf>
    <xf numFmtId="0" fontId="6" fillId="0" borderId="39" xfId="0" applyFont="1" applyFill="1" applyBorder="1" applyAlignment="1">
      <alignment vertical="center"/>
    </xf>
    <xf numFmtId="0" fontId="1" fillId="0" borderId="39" xfId="0" applyFont="1" applyFill="1" applyBorder="1" applyAlignment="1">
      <alignment vertical="center"/>
    </xf>
    <xf numFmtId="0" fontId="1" fillId="0" borderId="39" xfId="0" applyFont="1" applyBorder="1" applyAlignment="1">
      <alignment vertical="center" wrapText="1"/>
    </xf>
    <xf numFmtId="0" fontId="1" fillId="0" borderId="40" xfId="0" applyFont="1" applyBorder="1" applyAlignment="1">
      <alignment vertical="center" wrapText="1"/>
    </xf>
    <xf numFmtId="174" fontId="0" fillId="0" borderId="39" xfId="0" applyNumberFormat="1" applyFont="1" applyBorder="1" applyAlignment="1">
      <alignment horizontal="center" vertical="center"/>
    </xf>
    <xf numFmtId="0" fontId="0" fillId="0" borderId="40" xfId="0" applyFont="1" applyBorder="1" applyAlignment="1">
      <alignment vertical="center" wrapText="1"/>
    </xf>
    <xf numFmtId="0" fontId="0" fillId="0" borderId="39" xfId="0" applyFont="1" applyBorder="1" applyAlignment="1">
      <alignment vertical="center" wrapText="1"/>
    </xf>
    <xf numFmtId="0" fontId="1" fillId="0" borderId="39" xfId="0" applyFont="1" applyFill="1" applyBorder="1" applyAlignment="1">
      <alignment horizontal="left" vertical="center" wrapText="1"/>
    </xf>
    <xf numFmtId="0" fontId="1" fillId="0" borderId="41" xfId="0" applyFont="1" applyFill="1" applyBorder="1" applyAlignment="1">
      <alignment vertical="center"/>
    </xf>
    <xf numFmtId="0" fontId="1" fillId="0" borderId="42" xfId="0" applyFont="1" applyFill="1" applyBorder="1" applyAlignment="1">
      <alignment vertical="center" wrapText="1"/>
    </xf>
    <xf numFmtId="0" fontId="1" fillId="0" borderId="31" xfId="0" applyFont="1" applyFill="1" applyBorder="1" applyAlignment="1">
      <alignment vertical="center" wrapText="1"/>
    </xf>
    <xf numFmtId="0" fontId="0" fillId="0" borderId="43" xfId="0" applyFont="1" applyBorder="1" applyAlignment="1">
      <alignment horizontal="center" vertical="center"/>
    </xf>
    <xf numFmtId="0" fontId="1" fillId="0" borderId="42" xfId="0" applyFont="1" applyFill="1" applyBorder="1" applyAlignment="1">
      <alignment horizontal="center" vertical="top"/>
    </xf>
    <xf numFmtId="0" fontId="1" fillId="0" borderId="42" xfId="0" applyFont="1" applyBorder="1" applyAlignment="1">
      <alignment horizontal="center" vertical="center" wrapText="1"/>
    </xf>
    <xf numFmtId="0" fontId="1" fillId="0" borderId="44" xfId="0" applyFont="1" applyBorder="1" applyAlignment="1">
      <alignment horizontal="center" vertical="center" wrapText="1"/>
    </xf>
    <xf numFmtId="43" fontId="3" fillId="0" borderId="0" xfId="18" applyNumberFormat="1" applyFont="1" applyFill="1" applyBorder="1" applyProtection="1">
      <protection locked="0"/>
    </xf>
    <xf numFmtId="43" fontId="0" fillId="0" borderId="0" xfId="18" applyNumberFormat="1" applyFont="1" applyFill="1" applyBorder="1" applyProtection="1">
      <protection locked="0"/>
    </xf>
    <xf numFmtId="187" fontId="0" fillId="0" borderId="0" xfId="0" applyNumberFormat="1" applyFill="1"/>
    <xf numFmtId="164" fontId="0" fillId="0" borderId="0" xfId="18" applyNumberFormat="1" applyFont="1" applyFill="1" applyAlignment="1">
      <alignment horizontal="right"/>
    </xf>
    <xf numFmtId="0" fontId="3" fillId="0" borderId="32" xfId="0" applyFont="1" applyFill="1" applyBorder="1" applyAlignment="1">
      <alignment horizontal="center" wrapText="1"/>
    </xf>
    <xf numFmtId="42" fontId="3" fillId="0" borderId="28" xfId="0" applyNumberFormat="1" applyFont="1" applyFill="1" applyBorder="1"/>
    <xf numFmtId="0" fontId="0" fillId="0" borderId="0" xfId="0" applyAlignment="1">
      <alignment horizontal="left" indent="1"/>
    </xf>
    <xf numFmtId="0" fontId="0" fillId="0" borderId="0" xfId="0" applyFill="1" applyBorder="1" applyAlignment="1">
      <alignment horizontal="center"/>
    </xf>
    <xf numFmtId="41" fontId="0" fillId="0" borderId="0" xfId="0" applyNumberFormat="1" applyFont="1" applyFill="1" applyBorder="1" applyProtection="1">
      <protection locked="0"/>
    </xf>
    <xf numFmtId="43" fontId="0" fillId="0" borderId="0" xfId="18" applyFont="1" applyBorder="1"/>
    <xf numFmtId="164" fontId="1" fillId="0" borderId="0" xfId="18" applyNumberFormat="1" applyFont="1"/>
    <xf numFmtId="42" fontId="35" fillId="0" borderId="0" xfId="0" applyNumberFormat="1" applyFont="1"/>
    <xf numFmtId="164" fontId="2" fillId="0" borderId="0" xfId="318" applyNumberFormat="1" applyFont="1"/>
    <xf numFmtId="0" fontId="0" fillId="0" borderId="0" xfId="75" applyFont="1" applyFill="1">
      <alignment/>
      <protection/>
    </xf>
    <xf numFmtId="0" fontId="0" fillId="0" borderId="0" xfId="75" applyFill="1">
      <alignment/>
      <protection/>
    </xf>
    <xf numFmtId="0" fontId="0" fillId="0" borderId="0" xfId="75" applyFill="1" applyAlignment="1">
      <alignment horizontal="left" indent="1"/>
      <protection/>
    </xf>
    <xf numFmtId="0" fontId="0" fillId="0" borderId="0" xfId="75" applyFont="1" applyFill="1" applyAlignment="1">
      <alignment horizontal="left" indent="1"/>
      <protection/>
    </xf>
    <xf numFmtId="0" fontId="0" fillId="0" borderId="0" xfId="75" applyFont="1" applyFill="1" applyAlignment="1">
      <alignment/>
      <protection/>
    </xf>
    <xf numFmtId="42" fontId="3" fillId="0" borderId="22" xfId="75" applyNumberFormat="1" applyFont="1" applyFill="1" applyBorder="1">
      <alignment/>
      <protection/>
    </xf>
    <xf numFmtId="44" fontId="0" fillId="0" borderId="0" xfId="75" applyNumberFormat="1" applyFill="1">
      <alignment/>
      <protection/>
    </xf>
    <xf numFmtId="0" fontId="0" fillId="0" borderId="9" xfId="75" applyFill="1" applyBorder="1" applyAlignment="1">
      <alignment horizontal="center" wrapText="1"/>
      <protection/>
    </xf>
    <xf numFmtId="42" fontId="0" fillId="0" borderId="0" xfId="75" applyNumberFormat="1" applyFill="1">
      <alignment/>
      <protection/>
    </xf>
    <xf numFmtId="41" fontId="0" fillId="0" borderId="0" xfId="98" applyNumberFormat="1" applyFont="1" applyFill="1"/>
    <xf numFmtId="187" fontId="0" fillId="0" borderId="0" xfId="0" applyNumberFormat="1" applyFill="1" applyAlignment="1">
      <alignment horizontal="left"/>
    </xf>
    <xf numFmtId="188" fontId="0" fillId="0" borderId="0" xfId="18" applyNumberFormat="1" applyFont="1" applyFill="1"/>
    <xf numFmtId="164" fontId="0" fillId="0" borderId="9" xfId="18" applyNumberFormat="1" applyFont="1" applyBorder="1"/>
    <xf numFmtId="0" fontId="0" fillId="0" borderId="0" xfId="301" applyFont="1">
      <alignment/>
      <protection/>
    </xf>
    <xf numFmtId="6" fontId="2" fillId="0" borderId="0" xfId="312" applyNumberFormat="1">
      <alignment/>
      <protection/>
    </xf>
    <xf numFmtId="10" fontId="0" fillId="0" borderId="0" xfId="15" applyNumberFormat="1" applyFont="1"/>
    <xf numFmtId="0" fontId="0" fillId="0" borderId="0" xfId="0" applyFont="1" applyAlignment="1">
      <alignment/>
    </xf>
    <xf numFmtId="41" fontId="39" fillId="0" borderId="0" xfId="0" applyNumberFormat="1" applyFont="1" applyAlignment="1">
      <alignment wrapText="1"/>
    </xf>
    <xf numFmtId="167" fontId="0" fillId="0" borderId="0" xfId="0" applyNumberFormat="1" applyFont="1" applyFill="1" applyAlignment="1">
      <alignment horizontal="center"/>
    </xf>
    <xf numFmtId="167" fontId="0" fillId="0" borderId="24" xfId="0" applyNumberFormat="1" applyFont="1" applyFill="1" applyBorder="1" applyAlignment="1">
      <alignment horizontal="center"/>
    </xf>
    <xf numFmtId="167" fontId="0" fillId="0" borderId="0" xfId="0" applyNumberFormat="1" applyFont="1" applyFill="1" applyBorder="1" applyAlignment="1">
      <alignment horizontal="center"/>
    </xf>
    <xf numFmtId="42" fontId="0" fillId="0" borderId="0" xfId="0" applyNumberFormat="1" applyFont="1" applyFill="1" applyBorder="1" applyAlignment="1">
      <alignment horizontal="left"/>
    </xf>
    <xf numFmtId="10" fontId="0" fillId="0" borderId="9" xfId="15" applyNumberFormat="1" applyFont="1" applyFill="1" applyBorder="1" applyAlignment="1">
      <alignment horizontal="right"/>
    </xf>
    <xf numFmtId="42" fontId="3" fillId="0" borderId="0" xfId="18" applyNumberFormat="1" applyFont="1" applyBorder="1"/>
    <xf numFmtId="0" fontId="3" fillId="0" borderId="9" xfId="79" applyFont="1" applyFill="1" applyBorder="1" applyAlignment="1">
      <alignment horizontal="center"/>
      <protection/>
    </xf>
    <xf numFmtId="189" fontId="35" fillId="0" borderId="0" xfId="0" applyNumberFormat="1" applyFont="1" applyFill="1"/>
    <xf numFmtId="42" fontId="1" fillId="0" borderId="0" xfId="0" applyNumberFormat="1" applyFont="1" applyFill="1"/>
    <xf numFmtId="0" fontId="6" fillId="0" borderId="0" xfId="79" applyFont="1" applyFill="1" applyBorder="1" applyAlignment="1">
      <alignment horizontal="center"/>
      <protection/>
    </xf>
    <xf numFmtId="0" fontId="1" fillId="0" borderId="0" xfId="0" applyFont="1" quotePrefix="1"/>
    <xf numFmtId="0" fontId="1" fillId="0" borderId="0" xfId="0" applyFont="1" applyAlignment="1">
      <alignment horizontal="left"/>
    </xf>
    <xf numFmtId="0" fontId="44" fillId="0" borderId="0" xfId="0" applyFont="1"/>
    <xf numFmtId="164" fontId="1" fillId="0" borderId="24" xfId="0" applyNumberFormat="1" applyFont="1" applyBorder="1"/>
    <xf numFmtId="164" fontId="1" fillId="0" borderId="0" xfId="0" applyNumberFormat="1" applyFont="1"/>
    <xf numFmtId="0" fontId="61" fillId="0" borderId="0" xfId="0" applyFont="1" applyAlignment="1">
      <alignment horizontal="center"/>
    </xf>
    <xf numFmtId="164" fontId="61" fillId="0" borderId="0" xfId="0" applyNumberFormat="1" applyFont="1"/>
    <xf numFmtId="164" fontId="0" fillId="0" borderId="22" xfId="18" applyNumberFormat="1" applyFont="1" applyFill="1" applyBorder="1"/>
    <xf numFmtId="42" fontId="3" fillId="0" borderId="28" xfId="18" applyNumberFormat="1" applyFont="1" applyFill="1" applyBorder="1"/>
    <xf numFmtId="42" fontId="0" fillId="0" borderId="0" xfId="18" applyNumberFormat="1" applyFont="1" applyFill="1"/>
    <xf numFmtId="37" fontId="0" fillId="0" borderId="0" xfId="0" applyNumberFormat="1" applyFill="1"/>
    <xf numFmtId="41" fontId="1" fillId="0" borderId="0" xfId="204" applyNumberFormat="1" applyFont="1" applyFill="1" applyBorder="1">
      <alignment/>
      <protection/>
    </xf>
    <xf numFmtId="41" fontId="1" fillId="0" borderId="0" xfId="204" applyNumberFormat="1" applyFont="1" applyFill="1">
      <alignment/>
      <protection/>
    </xf>
    <xf numFmtId="41" fontId="1" fillId="0" borderId="0" xfId="220" applyNumberFormat="1" applyFont="1" applyFill="1" applyBorder="1">
      <alignment/>
      <protection/>
    </xf>
    <xf numFmtId="0" fontId="0" fillId="0" borderId="0" xfId="0" applyFont="1" applyFill="1" quotePrefix="1"/>
    <xf numFmtId="0" fontId="6" fillId="0" borderId="0" xfId="0" applyFont="1" applyFill="1"/>
    <xf numFmtId="190" fontId="0" fillId="0" borderId="0" xfId="18" applyNumberFormat="1" applyFont="1" applyFill="1" applyBorder="1"/>
    <xf numFmtId="191" fontId="0" fillId="0" borderId="0" xfId="18" applyNumberFormat="1" applyFont="1" applyBorder="1" applyProtection="1">
      <protection locked="0"/>
    </xf>
    <xf numFmtId="191" fontId="3" fillId="0" borderId="0" xfId="18" applyNumberFormat="1" applyFont="1" applyFill="1" applyBorder="1" applyProtection="1">
      <protection locked="0"/>
    </xf>
    <xf numFmtId="191" fontId="0" fillId="0" borderId="0" xfId="18" applyNumberFormat="1" applyFont="1" applyFill="1" applyBorder="1" applyProtection="1">
      <protection locked="0"/>
    </xf>
    <xf numFmtId="191" fontId="3" fillId="0" borderId="0" xfId="18" applyNumberFormat="1" applyFont="1" applyFill="1" applyBorder="1"/>
    <xf numFmtId="191" fontId="0" fillId="0" borderId="0" xfId="18" applyNumberFormat="1" applyFont="1" applyFill="1" applyBorder="1"/>
    <xf numFmtId="43" fontId="0" fillId="0" borderId="0" xfId="18" applyNumberFormat="1" applyFont="1"/>
    <xf numFmtId="43" fontId="43" fillId="0" borderId="0" xfId="18" applyFont="1"/>
    <xf numFmtId="192" fontId="35" fillId="0" borderId="0" xfId="0" applyNumberFormat="1" applyFont="1"/>
    <xf numFmtId="43" fontId="0" fillId="0" borderId="0" xfId="18" applyFont="1" applyBorder="1"/>
    <xf numFmtId="44" fontId="43" fillId="0" borderId="0" xfId="0" applyNumberFormat="1" applyFont="1" applyFill="1"/>
    <xf numFmtId="193" fontId="43" fillId="0" borderId="0" xfId="0" applyNumberFormat="1" applyFont="1" applyFill="1"/>
    <xf numFmtId="43" fontId="43" fillId="0" borderId="0" xfId="18" applyNumberFormat="1" applyFont="1"/>
    <xf numFmtId="0" fontId="3" fillId="0" borderId="45" xfId="0" applyFont="1" applyBorder="1" applyAlignment="1">
      <alignment horizontal="center" vertical="center"/>
    </xf>
    <xf numFmtId="0" fontId="3" fillId="0" borderId="46" xfId="0" applyFont="1" applyFill="1" applyBorder="1" applyAlignment="1">
      <alignment horizontal="center" vertical="top"/>
    </xf>
    <xf numFmtId="0" fontId="3" fillId="0" borderId="47" xfId="0" applyFont="1" applyBorder="1" applyAlignment="1">
      <alignment horizontal="center" vertical="center" wrapText="1"/>
    </xf>
    <xf numFmtId="0" fontId="1" fillId="0" borderId="39" xfId="0" applyNumberFormat="1" applyFont="1" applyFill="1" applyBorder="1" applyAlignment="1">
      <alignment horizontal="left" vertical="center" wrapText="1"/>
    </xf>
    <xf numFmtId="0" fontId="1" fillId="0" borderId="21" xfId="0" applyNumberFormat="1" applyFont="1" applyFill="1" applyBorder="1" applyAlignment="1">
      <alignment horizontal="left" vertical="center" wrapText="1"/>
    </xf>
    <xf numFmtId="0" fontId="0" fillId="0" borderId="43" xfId="0" applyFont="1" applyFill="1" applyBorder="1" applyAlignment="1">
      <alignment horizontal="center" vertical="center"/>
    </xf>
    <xf numFmtId="9" fontId="0" fillId="0" borderId="0" xfId="15" applyFont="1" applyFill="1" applyAlignment="1">
      <alignment horizontal="center"/>
    </xf>
    <xf numFmtId="43" fontId="0" fillId="0" borderId="0" xfId="0" applyNumberFormat="1" applyFill="1" applyAlignment="1">
      <alignment horizontal="right"/>
    </xf>
    <xf numFmtId="2" fontId="0" fillId="0" borderId="0" xfId="0" applyNumberFormat="1" applyFill="1" applyAlignment="1">
      <alignment horizontal="right"/>
    </xf>
    <xf numFmtId="17" fontId="0" fillId="0" borderId="0" xfId="0" applyNumberFormat="1" applyFont="1" applyFill="1" quotePrefix="1"/>
    <xf numFmtId="0" fontId="3" fillId="0" borderId="34" xfId="0" applyFont="1" applyFill="1" applyBorder="1" applyAlignment="1">
      <alignment horizontal="center"/>
    </xf>
    <xf numFmtId="0" fontId="0" fillId="0" borderId="9" xfId="0" applyFill="1" applyBorder="1" applyAlignment="1">
      <alignment horizontal="center"/>
    </xf>
    <xf numFmtId="41" fontId="0" fillId="0" borderId="9" xfId="0" applyNumberFormat="1" applyFill="1" applyBorder="1"/>
    <xf numFmtId="0" fontId="0" fillId="0" borderId="9" xfId="0" applyFont="1" applyFill="1" applyBorder="1" applyAlignment="1">
      <alignment horizontal="center"/>
    </xf>
    <xf numFmtId="42" fontId="3" fillId="0" borderId="22" xfId="0" applyNumberFormat="1" applyFont="1" applyFill="1" applyBorder="1"/>
    <xf numFmtId="42" fontId="0" fillId="0" borderId="0" xfId="16" applyNumberFormat="1" applyFont="1" applyFill="1"/>
    <xf numFmtId="41" fontId="0" fillId="0" borderId="0" xfId="16" applyNumberFormat="1" applyFont="1" applyFill="1"/>
    <xf numFmtId="0" fontId="0" fillId="0" borderId="0" xfId="0" applyFill="1" applyAlignment="1">
      <alignment horizontal="right" indent="1"/>
    </xf>
    <xf numFmtId="167" fontId="0" fillId="0" borderId="0" xfId="16" applyNumberFormat="1" applyFont="1"/>
    <xf numFmtId="167" fontId="0" fillId="0" borderId="23" xfId="16" applyNumberFormat="1" applyFont="1" applyBorder="1"/>
    <xf numFmtId="0" fontId="12" fillId="0" borderId="0" xfId="0" applyFont="1" applyBorder="1"/>
    <xf numFmtId="0" fontId="3" fillId="0" borderId="9" xfId="0" applyFont="1" applyFill="1" applyBorder="1" applyAlignment="1">
      <alignment horizontal="center" wrapText="1"/>
    </xf>
    <xf numFmtId="0" fontId="9" fillId="0" borderId="0" xfId="0" applyFont="1" applyFill="1" applyAlignment="1">
      <alignment horizontal="center"/>
    </xf>
    <xf numFmtId="164" fontId="0" fillId="0" borderId="0" xfId="18" applyNumberFormat="1" applyFont="1" applyAlignment="1" quotePrefix="1">
      <alignment horizontal="center"/>
    </xf>
    <xf numFmtId="10" fontId="0" fillId="0" borderId="0" xfId="15" applyNumberFormat="1" applyFont="1" applyAlignment="1" quotePrefix="1">
      <alignment horizontal="center"/>
    </xf>
    <xf numFmtId="165" fontId="35" fillId="0" borderId="0" xfId="0" applyNumberFormat="1" applyFont="1"/>
    <xf numFmtId="9" fontId="0" fillId="0" borderId="0" xfId="15" applyFont="1"/>
    <xf numFmtId="0" fontId="1" fillId="0" borderId="0" xfId="294" applyFont="1" applyAlignment="1">
      <alignment horizontal="center"/>
      <protection/>
    </xf>
    <xf numFmtId="0" fontId="0" fillId="0" borderId="0" xfId="0" applyFont="1" applyAlignment="1">
      <alignment wrapText="1"/>
    </xf>
    <xf numFmtId="0" fontId="1" fillId="0" borderId="0" xfId="0" applyFont="1" applyBorder="1"/>
    <xf numFmtId="0" fontId="0" fillId="0" borderId="0" xfId="79" applyFont="1" applyFill="1" applyBorder="1" applyAlignment="1">
      <alignment horizontal="center"/>
      <protection/>
    </xf>
    <xf numFmtId="0" fontId="0" fillId="0" borderId="0" xfId="79" applyFont="1" applyFill="1" applyBorder="1" applyAlignment="1">
      <alignment horizontal="center" wrapText="1"/>
      <protection/>
    </xf>
    <xf numFmtId="0" fontId="0" fillId="0" borderId="0" xfId="0" applyFont="1" applyAlignment="1">
      <alignment/>
    </xf>
    <xf numFmtId="41" fontId="3" fillId="0" borderId="0" xfId="18" applyNumberFormat="1" applyFont="1" applyFill="1"/>
    <xf numFmtId="44" fontId="0" fillId="0" borderId="0" xfId="16" applyFont="1" applyFill="1"/>
    <xf numFmtId="167" fontId="0" fillId="0" borderId="0" xfId="16" applyNumberFormat="1" applyFont="1" applyFill="1"/>
    <xf numFmtId="167" fontId="3" fillId="0" borderId="28" xfId="16" applyNumberFormat="1" applyFont="1" applyFill="1" applyBorder="1"/>
    <xf numFmtId="0" fontId="0" fillId="0" borderId="0" xfId="0" applyFont="1" applyFill="1"/>
    <xf numFmtId="41" fontId="0" fillId="0" borderId="0" xfId="0" applyNumberFormat="1" applyFont="1" applyFill="1" applyAlignment="1">
      <alignment/>
    </xf>
    <xf numFmtId="41" fontId="63" fillId="0" borderId="0" xfId="18" applyNumberFormat="1" applyFont="1" applyFill="1" applyAlignment="1">
      <alignment horizontal="center"/>
    </xf>
    <xf numFmtId="0" fontId="0" fillId="0" borderId="0" xfId="0" applyFont="1" applyFill="1" applyAlignment="1">
      <alignment horizontal="right"/>
    </xf>
    <xf numFmtId="187" fontId="0" fillId="0" borderId="0" xfId="0" applyNumberFormat="1" applyFont="1" applyFill="1"/>
    <xf numFmtId="0" fontId="3" fillId="0" borderId="9" xfId="79" applyFont="1" applyFill="1" applyBorder="1" applyAlignment="1">
      <alignment horizontal="center"/>
      <protection/>
    </xf>
    <xf numFmtId="0" fontId="0" fillId="0" borderId="22" xfId="79" applyFont="1" applyFill="1" applyBorder="1" applyAlignment="1" quotePrefix="1">
      <alignment horizontal="center"/>
      <protection/>
    </xf>
    <xf numFmtId="0" fontId="0" fillId="0" borderId="0" xfId="0" applyFont="1" applyAlignment="1">
      <alignment horizontal="left" wrapText="1"/>
    </xf>
    <xf numFmtId="0" fontId="3" fillId="0" borderId="48" xfId="0" applyFont="1" applyFill="1" applyBorder="1" applyAlignment="1">
      <alignment horizontal="center"/>
    </xf>
    <xf numFmtId="0" fontId="17" fillId="0" borderId="0" xfId="0" applyFont="1" applyAlignment="1">
      <alignment horizontal="center"/>
    </xf>
    <xf numFmtId="0" fontId="0" fillId="0" borderId="0" xfId="0" applyNumberFormat="1" applyFont="1" applyAlignment="1">
      <alignment horizontal="left" wrapText="1"/>
    </xf>
    <xf numFmtId="0" fontId="0" fillId="0" borderId="0" xfId="0" applyNumberFormat="1" applyFont="1" applyAlignment="1">
      <alignment wrapText="1"/>
    </xf>
    <xf numFmtId="0" fontId="0" fillId="0" borderId="0" xfId="0" applyFont="1" applyAlignment="1">
      <alignment wrapText="1"/>
    </xf>
    <xf numFmtId="0" fontId="0" fillId="0" borderId="0" xfId="0" applyAlignment="1">
      <alignment wrapText="1"/>
    </xf>
    <xf numFmtId="17" fontId="13" fillId="0" borderId="0" xfId="0" applyNumberFormat="1" applyFont="1" applyAlignment="1" quotePrefix="1">
      <alignment horizontal="center"/>
    </xf>
    <xf numFmtId="0" fontId="13" fillId="0" borderId="0" xfId="0" applyFont="1" applyAlignment="1">
      <alignment horizontal="center"/>
    </xf>
    <xf numFmtId="0" fontId="0" fillId="0" borderId="0" xfId="0" applyFont="1" applyAlignment="1">
      <alignment/>
    </xf>
    <xf numFmtId="0" fontId="40" fillId="0" borderId="0" xfId="0" applyFont="1" applyAlignment="1">
      <alignment horizontal="left" wrapText="1"/>
    </xf>
    <xf numFmtId="0" fontId="10" fillId="0" borderId="0" xfId="0" applyFont="1" applyAlignment="1">
      <alignment horizontal="center"/>
    </xf>
    <xf numFmtId="0" fontId="0" fillId="0" borderId="0" xfId="0" applyFont="1" applyAlignment="1">
      <alignment vertical="center" wrapText="1"/>
    </xf>
    <xf numFmtId="0" fontId="0" fillId="0" borderId="0" xfId="0" applyAlignment="1">
      <alignment vertical="center" wrapText="1"/>
    </xf>
  </cellXfs>
  <cellStyles count="327">
    <cellStyle name="Normal" xfId="0" builtinId="0"/>
    <cellStyle name="Percent" xfId="15" builtinId="5"/>
    <cellStyle name="Currency" xfId="16" builtinId="4"/>
    <cellStyle name="Currency [0]" xfId="17" builtinId="7"/>
    <cellStyle name="Comma" xfId="18" builtinId="3"/>
    <cellStyle name="Comma [0]" xfId="19" builtinId="6"/>
    <cellStyle name="_TXU Gas Plants ML - Henwood 12-5-05 " xfId="20"/>
    <cellStyle name="Hyperlink" xfId="21" builtinId="8"/>
    <cellStyle name="Input" xfId="22" builtinId="20"/>
    <cellStyle name="r_Accretion " xfId="23"/>
    <cellStyle name="Title" xfId="24" builtinId="15"/>
    <cellStyle name="Heading 1" xfId="25" builtinId="16"/>
    <cellStyle name="Heading 2" xfId="26" builtinId="17"/>
    <cellStyle name="Heading 3" xfId="27" builtinId="18"/>
    <cellStyle name="Heading 4" xfId="28" builtinId="19"/>
    <cellStyle name="Good" xfId="29" builtinId="26"/>
    <cellStyle name="Bad" xfId="30" builtinId="27"/>
    <cellStyle name="Neutral" xfId="31" builtinId="28"/>
    <cellStyle name="Output" xfId="32" builtinId="21"/>
    <cellStyle name="Calculation" xfId="33" builtinId="22"/>
    <cellStyle name="Linked Cell" xfId="34" builtinId="24"/>
    <cellStyle name="Check Cell" xfId="35" builtinId="23"/>
    <cellStyle name="Warning Text" xfId="36" builtinId="11"/>
    <cellStyle name="Explanatory Text" xfId="37" builtinId="53"/>
    <cellStyle name="Total" xfId="38" builtinId="25"/>
    <cellStyle name="Accent1" xfId="39" builtinId="29"/>
    <cellStyle name="20% - Accent1" xfId="40" builtinId="30"/>
    <cellStyle name="40% - Accent1" xfId="41" builtinId="31"/>
    <cellStyle name="60% - Accent1" xfId="42" builtinId="32"/>
    <cellStyle name="Accent2" xfId="43" builtinId="33"/>
    <cellStyle name="20% - Accent2" xfId="44" builtinId="34"/>
    <cellStyle name="40% - Accent2" xfId="45" builtinId="35"/>
    <cellStyle name="60% - Accent2" xfId="46" builtinId="36"/>
    <cellStyle name="Accent3" xfId="47" builtinId="37"/>
    <cellStyle name="20% - Accent3" xfId="48" builtinId="38"/>
    <cellStyle name="40% - Accent3" xfId="49" builtinId="39"/>
    <cellStyle name="60% - Accent3" xfId="50" builtinId="40"/>
    <cellStyle name="Accent4" xfId="51" builtinId="41"/>
    <cellStyle name="20% - Accent4" xfId="52" builtinId="42"/>
    <cellStyle name="40% - Accent4" xfId="53" builtinId="43"/>
    <cellStyle name="60% - Accent4" xfId="54" builtinId="44"/>
    <cellStyle name="Accent5" xfId="55" builtinId="45"/>
    <cellStyle name="20% - Accent5" xfId="56" builtinId="46"/>
    <cellStyle name="40% - Accent5" xfId="57" builtinId="47"/>
    <cellStyle name="60% - Accent5" xfId="58" builtinId="48"/>
    <cellStyle name="Accent6" xfId="59" builtinId="49"/>
    <cellStyle name="20% - Accent6" xfId="60" builtinId="50"/>
    <cellStyle name="40% - Accent6" xfId="61" builtinId="51"/>
    <cellStyle name="60% - Accent6" xfId="62" builtinId="52"/>
    <cellStyle name="20% - Accent1 2" xfId="63"/>
    <cellStyle name="40% - Accent1 2" xfId="64"/>
    <cellStyle name="20% - Accent2 2" xfId="65"/>
    <cellStyle name="40% - Accent2 2" xfId="66"/>
    <cellStyle name="20% - Accent3 2" xfId="67"/>
    <cellStyle name="40% - Accent3 2" xfId="68"/>
    <cellStyle name="20% - Accent4 2" xfId="69"/>
    <cellStyle name="40% - Accent4 2" xfId="70"/>
    <cellStyle name="20% - Accent5 2" xfId="71"/>
    <cellStyle name="40% - Accent5 2" xfId="72"/>
    <cellStyle name="20% - Accent6 2" xfId="73"/>
    <cellStyle name="40% - Accent6 2" xfId="74"/>
    <cellStyle name="Normal 2" xfId="75"/>
    <cellStyle name="Normal 3" xfId="76"/>
    <cellStyle name="Normal 2 2" xfId="77"/>
    <cellStyle name="Comma 2" xfId="78"/>
    <cellStyle name="Normal 2 2 2" xfId="79"/>
    <cellStyle name="Normal 4" xfId="80"/>
    <cellStyle name="Normal 6" xfId="81"/>
    <cellStyle name="Comma 17" xfId="82"/>
    <cellStyle name="Comma [0] 4" xfId="83"/>
    <cellStyle name="20% - Accent1 3" xfId="84"/>
    <cellStyle name="40% - Accent1 3" xfId="85"/>
    <cellStyle name="20% - Accent2 3" xfId="86"/>
    <cellStyle name="40% - Accent2 3" xfId="87"/>
    <cellStyle name="20% - Accent3 3" xfId="88"/>
    <cellStyle name="40% - Accent3 3" xfId="89"/>
    <cellStyle name="20% - Accent4 3" xfId="90"/>
    <cellStyle name="40% - Accent4 3" xfId="91"/>
    <cellStyle name="20% - Accent5 3" xfId="92"/>
    <cellStyle name="40% - Accent5 3" xfId="93"/>
    <cellStyle name="20% - Accent6 3" xfId="94"/>
    <cellStyle name="40% - Accent6 3" xfId="95"/>
    <cellStyle name="Normal 5" xfId="96"/>
    <cellStyle name="Comma 3" xfId="97"/>
    <cellStyle name="Currency 2" xfId="98"/>
    <cellStyle name="Input 2" xfId="99"/>
    <cellStyle name="Percent 2" xfId="100"/>
    <cellStyle name="20% - Accent1 2 2" xfId="101"/>
    <cellStyle name="40% - Accent1 2 2" xfId="102"/>
    <cellStyle name="20% - Accent2 2 2" xfId="103"/>
    <cellStyle name="40% - Accent2 2 2" xfId="104"/>
    <cellStyle name="20% - Accent3 2 2" xfId="105"/>
    <cellStyle name="40% - Accent3 2 2" xfId="106"/>
    <cellStyle name="20% - Accent4 2 2" xfId="107"/>
    <cellStyle name="40% - Accent4 2 2" xfId="108"/>
    <cellStyle name="20% - Accent5 2 2" xfId="109"/>
    <cellStyle name="40% - Accent5 2 2" xfId="110"/>
    <cellStyle name="20% - Accent6 2 2" xfId="111"/>
    <cellStyle name="40% - Accent6 2 2" xfId="112"/>
    <cellStyle name="Normal 3 2" xfId="113"/>
    <cellStyle name="Comma [0] 2" xfId="114"/>
    <cellStyle name="Comma 2 2" xfId="115"/>
    <cellStyle name="Normal 4 2" xfId="116"/>
    <cellStyle name="Comma 4" xfId="117"/>
    <cellStyle name="Comma 8" xfId="118"/>
    <cellStyle name="Comma 5" xfId="119"/>
    <cellStyle name="Comma 13" xfId="120"/>
    <cellStyle name="Comma 14" xfId="121"/>
    <cellStyle name="Comma 9" xfId="122"/>
    <cellStyle name="Comma 12" xfId="123"/>
    <cellStyle name="Comma 16" xfId="124"/>
    <cellStyle name="Comma [0] 3" xfId="125"/>
    <cellStyle name="Comma 6" xfId="126"/>
    <cellStyle name="Comma 7" xfId="127"/>
    <cellStyle name="Comma 11" xfId="128"/>
    <cellStyle name="Comma 15" xfId="129"/>
    <cellStyle name="Comma 10" xfId="130"/>
    <cellStyle name="Normal 7" xfId="131"/>
    <cellStyle name="Comma 18" xfId="132"/>
    <cellStyle name="Comma 2 3" xfId="133"/>
    <cellStyle name="£ BP" xfId="134"/>
    <cellStyle name="¥ JY" xfId="135"/>
    <cellStyle name="Adjustable" xfId="136"/>
    <cellStyle name="Bold/Border" xfId="137"/>
    <cellStyle name="Bullet" xfId="138"/>
    <cellStyle name="Cancel 2 2" xfId="139"/>
    <cellStyle name="Comma 2 2 2" xfId="140"/>
    <cellStyle name="Comma 3 3" xfId="141"/>
    <cellStyle name="Comma 3 2" xfId="142"/>
    <cellStyle name="Normal 10" xfId="143"/>
    <cellStyle name="Comma0 - Modelo1" xfId="144"/>
    <cellStyle name="Comma0 - Style1" xfId="145"/>
    <cellStyle name="Comma1 - Modelo2" xfId="146"/>
    <cellStyle name="Comma1 - Style2" xfId="147"/>
    <cellStyle name="CommaRounded" xfId="148"/>
    <cellStyle name="Comma 21" xfId="149"/>
    <cellStyle name="Currency 2 2" xfId="150"/>
    <cellStyle name="Currency 2 3" xfId="151"/>
    <cellStyle name="Currency 2_Sheet1" xfId="152"/>
    <cellStyle name="Dash" xfId="153"/>
    <cellStyle name="Dia" xfId="154"/>
    <cellStyle name="Encabez1" xfId="155"/>
    <cellStyle name="Encabez2" xfId="156"/>
    <cellStyle name="F2" xfId="157"/>
    <cellStyle name="F3" xfId="158"/>
    <cellStyle name="F4" xfId="159"/>
    <cellStyle name="F5" xfId="160"/>
    <cellStyle name="F6" xfId="161"/>
    <cellStyle name="F7" xfId="162"/>
    <cellStyle name="F8" xfId="163"/>
    <cellStyle name="Fijo" xfId="164"/>
    <cellStyle name="Financiero" xfId="165"/>
    <cellStyle name="Millares [0]_10 AVERIAS MASIVAS + ANT" xfId="166"/>
    <cellStyle name="Millares_10 AVERIAS MASIVAS + ANT" xfId="167"/>
    <cellStyle name="Moneda [0]_10 AVERIAS MASIVAS + ANT" xfId="168"/>
    <cellStyle name="Moneda_10 AVERIAS MASIVAS + ANT" xfId="169"/>
    <cellStyle name="Normal - Style1" xfId="170"/>
    <cellStyle name="Comma 19" xfId="171"/>
    <cellStyle name="Normal 2 3" xfId="172"/>
    <cellStyle name="Normal 2_JE_2010-10-31_0000327287" xfId="173"/>
    <cellStyle name="Normal 3 3" xfId="174"/>
    <cellStyle name="nPlosion" xfId="175"/>
    <cellStyle name="nvision" xfId="176"/>
    <cellStyle name="PB Table Heading" xfId="177"/>
    <cellStyle name="PB Table Highlight1" xfId="178"/>
    <cellStyle name="PB Table Highlight2" xfId="179"/>
    <cellStyle name="PB Table Highlight3" xfId="180"/>
    <cellStyle name="PB Table Standard Row" xfId="181"/>
    <cellStyle name="PB Table Subtotal Row" xfId="182"/>
    <cellStyle name="PB Table Total Row" xfId="183"/>
    <cellStyle name="Normal 8" xfId="184"/>
    <cellStyle name="Percent 2 2" xfId="185"/>
    <cellStyle name="Percent 2 3" xfId="186"/>
    <cellStyle name="PSChar" xfId="187"/>
    <cellStyle name="PSDate" xfId="188"/>
    <cellStyle name="PSDec" xfId="189"/>
    <cellStyle name="PSHeading" xfId="190"/>
    <cellStyle name="PSInt" xfId="191"/>
    <cellStyle name="PSSpacer" xfId="192"/>
    <cellStyle name="Normal 4 3" xfId="193"/>
    <cellStyle name="Normal 5 2" xfId="194"/>
    <cellStyle name="Heading 3 2" xfId="195"/>
    <cellStyle name="Heading 4 2" xfId="196"/>
    <cellStyle name="Normal 6 2" xfId="197"/>
    <cellStyle name="Comma [0] 2 2" xfId="198"/>
    <cellStyle name="Normal 17" xfId="199"/>
    <cellStyle name="Normal 26" xfId="200"/>
    <cellStyle name="Normal 37" xfId="201"/>
    <cellStyle name="Normal 74" xfId="202"/>
    <cellStyle name="Report" xfId="203"/>
    <cellStyle name="Normal 15" xfId="204"/>
    <cellStyle name="Number" xfId="205"/>
    <cellStyle name="PSCustom" xfId="206"/>
    <cellStyle name="PSSum" xfId="207"/>
    <cellStyle name="Comma 3 2 2" xfId="208"/>
    <cellStyle name="Normal 14" xfId="209"/>
    <cellStyle name="Comma 25" xfId="210"/>
    <cellStyle name="Normal 12" xfId="211"/>
    <cellStyle name="Comma 23" xfId="212"/>
    <cellStyle name="Comma 26" xfId="213"/>
    <cellStyle name="Normal 13" xfId="214"/>
    <cellStyle name="Normal 11" xfId="215"/>
    <cellStyle name="Comma 22" xfId="216"/>
    <cellStyle name="Normal 9" xfId="217"/>
    <cellStyle name="Comma 20" xfId="218"/>
    <cellStyle name="Comma 24" xfId="219"/>
    <cellStyle name="Normal 16" xfId="220"/>
    <cellStyle name="Comma 27" xfId="221"/>
    <cellStyle name="Normal 18" xfId="222"/>
    <cellStyle name="20% - Accent1 2 3" xfId="223"/>
    <cellStyle name="20% - Accent1 2 2 2" xfId="224"/>
    <cellStyle name="20% - Accent1 3 2" xfId="225"/>
    <cellStyle name="20% - Accent2 2 3" xfId="226"/>
    <cellStyle name="20% - Accent2 2 2 2" xfId="227"/>
    <cellStyle name="20% - Accent2 3 2" xfId="228"/>
    <cellStyle name="20% - Accent3 2 3" xfId="229"/>
    <cellStyle name="20% - Accent3 2 2 2" xfId="230"/>
    <cellStyle name="20% - Accent3 3 2" xfId="231"/>
    <cellStyle name="20% - Accent4 2 3" xfId="232"/>
    <cellStyle name="20% - Accent4 2 2 2" xfId="233"/>
    <cellStyle name="20% - Accent4 3 2" xfId="234"/>
    <cellStyle name="20% - Accent5 2 3" xfId="235"/>
    <cellStyle name="20% - Accent5 2 2 2" xfId="236"/>
    <cellStyle name="20% - Accent5 3 2" xfId="237"/>
    <cellStyle name="20% - Accent6 2 3" xfId="238"/>
    <cellStyle name="20% - Accent6 2 2 2" xfId="239"/>
    <cellStyle name="20% - Accent6 3 2" xfId="240"/>
    <cellStyle name="40% - Accent1 2 3" xfId="241"/>
    <cellStyle name="40% - Accent1 2 2 2" xfId="242"/>
    <cellStyle name="40% - Accent1 3 2" xfId="243"/>
    <cellStyle name="40% - Accent2 2 3" xfId="244"/>
    <cellStyle name="40% - Accent2 2 2 2" xfId="245"/>
    <cellStyle name="40% - Accent2 3 2" xfId="246"/>
    <cellStyle name="40% - Accent3 2 3" xfId="247"/>
    <cellStyle name="40% - Accent3 2 2 2" xfId="248"/>
    <cellStyle name="40% - Accent3 3 2" xfId="249"/>
    <cellStyle name="40% - Accent4 2 3" xfId="250"/>
    <cellStyle name="40% - Accent4 2 2 2" xfId="251"/>
    <cellStyle name="40% - Accent4 3 2" xfId="252"/>
    <cellStyle name="40% - Accent5 2 3" xfId="253"/>
    <cellStyle name="40% - Accent5 2 2 2" xfId="254"/>
    <cellStyle name="40% - Accent5 3 2" xfId="255"/>
    <cellStyle name="40% - Accent6 2 3" xfId="256"/>
    <cellStyle name="40% - Accent6 2 2 2" xfId="257"/>
    <cellStyle name="40% - Accent6 3 2" xfId="258"/>
    <cellStyle name="Comma [0] 4 2" xfId="259"/>
    <cellStyle name="Comma 17 2" xfId="260"/>
    <cellStyle name="Comma 18 2" xfId="261"/>
    <cellStyle name="Comma 19 2" xfId="262"/>
    <cellStyle name="Comma 2 4" xfId="263"/>
    <cellStyle name="Comma 2 2 3" xfId="264"/>
    <cellStyle name="Comma 20 2" xfId="265"/>
    <cellStyle name="Comma 21 2" xfId="266"/>
    <cellStyle name="Comma 22 2" xfId="267"/>
    <cellStyle name="Comma 23 2" xfId="268"/>
    <cellStyle name="Comma 24 2" xfId="269"/>
    <cellStyle name="Comma 25 2" xfId="270"/>
    <cellStyle name="Comma 26 2" xfId="271"/>
    <cellStyle name="Comma 27 2" xfId="272"/>
    <cellStyle name="Normal 10 2" xfId="273"/>
    <cellStyle name="Normal 11 2" xfId="274"/>
    <cellStyle name="Normal 12 2" xfId="275"/>
    <cellStyle name="Normal 13 2" xfId="276"/>
    <cellStyle name="Normal 14 2" xfId="277"/>
    <cellStyle name="Normal 15 2" xfId="278"/>
    <cellStyle name="Normal 16 2" xfId="279"/>
    <cellStyle name="Normal 17 2" xfId="280"/>
    <cellStyle name="Normal 26 2" xfId="281"/>
    <cellStyle name="Normal 3 4" xfId="282"/>
    <cellStyle name="Normal 3 2 2" xfId="283"/>
    <cellStyle name="Normal 37 2" xfId="284"/>
    <cellStyle name="Normal 4 4" xfId="285"/>
    <cellStyle name="Normal 4 2 2" xfId="286"/>
    <cellStyle name="Normal 5 3" xfId="287"/>
    <cellStyle name="Normal 6 3" xfId="288"/>
    <cellStyle name="Normal 7 2" xfId="289"/>
    <cellStyle name="Normal 74 2" xfId="290"/>
    <cellStyle name="Normal 8 2" xfId="291"/>
    <cellStyle name="Normal 9 2" xfId="292"/>
    <cellStyle name="Normal_2008 Q1 Variance Report" xfId="293"/>
    <cellStyle name="Normal 28" xfId="294"/>
    <cellStyle name="Normal 29" xfId="295"/>
    <cellStyle name="Normal 30" xfId="296"/>
    <cellStyle name="Normal 31" xfId="297"/>
    <cellStyle name="Normal 32" xfId="298"/>
    <cellStyle name="Normal 33" xfId="299"/>
    <cellStyle name="Normal 34" xfId="300"/>
    <cellStyle name="Normal 36" xfId="301"/>
    <cellStyle name="Normal 35" xfId="302"/>
    <cellStyle name="Normal 19" xfId="303"/>
    <cellStyle name="Normal 20" xfId="304"/>
    <cellStyle name="Normal 21" xfId="305"/>
    <cellStyle name="Normal 22" xfId="306"/>
    <cellStyle name="Normal 23" xfId="307"/>
    <cellStyle name="Normal 24" xfId="308"/>
    <cellStyle name="Normal 25" xfId="309"/>
    <cellStyle name="Normal 27" xfId="310"/>
    <cellStyle name="Normal 38" xfId="311"/>
    <cellStyle name="Normal 39" xfId="312"/>
    <cellStyle name="Comma 28" xfId="313"/>
    <cellStyle name="Normal 276" xfId="314"/>
    <cellStyle name="Normal 40" xfId="315"/>
    <cellStyle name="Comma 29" xfId="316"/>
    <cellStyle name="Normal 41" xfId="317"/>
    <cellStyle name="Comma 30" xfId="318"/>
    <cellStyle name="Normal 42" xfId="319"/>
    <cellStyle name="Comma 31" xfId="320"/>
    <cellStyle name="Normal 43" xfId="321"/>
    <cellStyle name="Comma 32" xfId="322"/>
    <cellStyle name="Normal 44" xfId="323"/>
    <cellStyle name="Comma 33" xfId="324"/>
    <cellStyle name="Normal 45" xfId="325"/>
    <cellStyle name="Comma 34" xfId="326"/>
    <cellStyle name="Normal 46" xfId="327"/>
    <cellStyle name="Comma 35" xfId="328"/>
    <cellStyle name="Normal 47" xfId="329"/>
    <cellStyle name="Comma 36" xfId="330"/>
    <cellStyle name="Normal 48" xfId="331"/>
    <cellStyle name="Comma 37" xfId="332"/>
    <cellStyle name="Normal 49" xfId="333"/>
    <cellStyle name="Comma 38" xfId="334"/>
    <cellStyle name="Normal 50" xfId="335"/>
    <cellStyle name="Comma 39" xfId="336"/>
    <cellStyle name="Normal 51" xfId="337"/>
    <cellStyle name="Comma 40" xfId="338"/>
    <cellStyle name="Normal 52" xfId="339"/>
    <cellStyle name="Comma 41" xfId="34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6" Type="http://schemas.openxmlformats.org/officeDocument/2006/relationships/worksheet" Target="worksheets/sheet4.xml" /><Relationship Id="rId48" Type="http://schemas.openxmlformats.org/officeDocument/2006/relationships/externalLink" Target="externalLinks/externalLink3.xml" /><Relationship Id="rId49" Type="http://schemas.openxmlformats.org/officeDocument/2006/relationships/externalLink" Target="externalLinks/externalLink4.xml" /><Relationship Id="rId34" Type="http://schemas.openxmlformats.org/officeDocument/2006/relationships/worksheet" Target="worksheets/sheet32.xml" /><Relationship Id="rId35" Type="http://schemas.openxmlformats.org/officeDocument/2006/relationships/worksheet" Target="worksheets/sheet33.xml" /><Relationship Id="rId36" Type="http://schemas.openxmlformats.org/officeDocument/2006/relationships/worksheet" Target="worksheets/sheet34.xml" /><Relationship Id="rId37" Type="http://schemas.openxmlformats.org/officeDocument/2006/relationships/worksheet" Target="worksheets/sheet35.xml" /><Relationship Id="rId30" Type="http://schemas.openxmlformats.org/officeDocument/2006/relationships/worksheet" Target="worksheets/sheet28.xml" /><Relationship Id="rId31" Type="http://schemas.openxmlformats.org/officeDocument/2006/relationships/worksheet" Target="worksheets/sheet29.xml" /><Relationship Id="rId32" Type="http://schemas.openxmlformats.org/officeDocument/2006/relationships/worksheet" Target="worksheets/sheet30.xml" /><Relationship Id="rId33" Type="http://schemas.openxmlformats.org/officeDocument/2006/relationships/worksheet" Target="worksheets/sheet31.xml" /><Relationship Id="rId5" Type="http://schemas.openxmlformats.org/officeDocument/2006/relationships/worksheet" Target="worksheets/sheet3.xml" /><Relationship Id="rId38" Type="http://schemas.openxmlformats.org/officeDocument/2006/relationships/worksheet" Target="worksheets/sheet36.xml" /><Relationship Id="rId39" Type="http://schemas.openxmlformats.org/officeDocument/2006/relationships/worksheet" Target="worksheets/sheet37.xml" /><Relationship Id="rId9" Type="http://schemas.openxmlformats.org/officeDocument/2006/relationships/worksheet" Target="worksheets/sheet7.xml" /><Relationship Id="rId24" Type="http://schemas.openxmlformats.org/officeDocument/2006/relationships/worksheet" Target="worksheets/sheet22.xml" /><Relationship Id="rId25" Type="http://schemas.openxmlformats.org/officeDocument/2006/relationships/worksheet" Target="worksheets/sheet23.xml" /><Relationship Id="rId26" Type="http://schemas.openxmlformats.org/officeDocument/2006/relationships/worksheet" Target="worksheets/sheet24.xml" /><Relationship Id="rId27" Type="http://schemas.openxmlformats.org/officeDocument/2006/relationships/worksheet" Target="worksheets/sheet25.xml" /><Relationship Id="rId20" Type="http://schemas.openxmlformats.org/officeDocument/2006/relationships/worksheet" Target="worksheets/sheet18.xml" /><Relationship Id="rId21" Type="http://schemas.openxmlformats.org/officeDocument/2006/relationships/worksheet" Target="worksheets/sheet19.xml" /><Relationship Id="rId22" Type="http://schemas.openxmlformats.org/officeDocument/2006/relationships/worksheet" Target="worksheets/sheet20.xml" /><Relationship Id="rId23" Type="http://schemas.openxmlformats.org/officeDocument/2006/relationships/worksheet" Target="worksheets/sheet21.xml" /><Relationship Id="rId4" Type="http://schemas.openxmlformats.org/officeDocument/2006/relationships/worksheet" Target="worksheets/sheet2.xml" /><Relationship Id="rId28" Type="http://schemas.openxmlformats.org/officeDocument/2006/relationships/worksheet" Target="worksheets/sheet26.xml" /><Relationship Id="rId29" Type="http://schemas.openxmlformats.org/officeDocument/2006/relationships/worksheet" Target="worksheets/sheet27.xml" /><Relationship Id="rId8" Type="http://schemas.openxmlformats.org/officeDocument/2006/relationships/worksheet" Target="worksheets/sheet6.xml" /><Relationship Id="rId14" Type="http://schemas.openxmlformats.org/officeDocument/2006/relationships/worksheet" Target="worksheets/sheet12.xml" /><Relationship Id="rId15" Type="http://schemas.openxmlformats.org/officeDocument/2006/relationships/worksheet" Target="worksheets/sheet13.xml" /><Relationship Id="rId16" Type="http://schemas.openxmlformats.org/officeDocument/2006/relationships/worksheet" Target="worksheets/sheet14.xml" /><Relationship Id="rId17" Type="http://schemas.openxmlformats.org/officeDocument/2006/relationships/worksheet" Target="worksheets/sheet15.xml" /><Relationship Id="rId10" Type="http://schemas.openxmlformats.org/officeDocument/2006/relationships/worksheet" Target="worksheets/sheet8.xml" /><Relationship Id="rId11" Type="http://schemas.openxmlformats.org/officeDocument/2006/relationships/worksheet" Target="worksheets/sheet9.xml" /><Relationship Id="rId12" Type="http://schemas.openxmlformats.org/officeDocument/2006/relationships/worksheet" Target="worksheets/sheet10.xml" /><Relationship Id="rId13" Type="http://schemas.openxmlformats.org/officeDocument/2006/relationships/worksheet" Target="worksheets/sheet11.xml" /><Relationship Id="rId3" Type="http://schemas.openxmlformats.org/officeDocument/2006/relationships/worksheet" Target="worksheets/sheet1.xml" /><Relationship Id="rId18" Type="http://schemas.openxmlformats.org/officeDocument/2006/relationships/worksheet" Target="worksheets/sheet16.xml" /><Relationship Id="rId19" Type="http://schemas.openxmlformats.org/officeDocument/2006/relationships/worksheet" Target="worksheets/sheet17.xml" /><Relationship Id="rId1" Type="http://schemas.openxmlformats.org/officeDocument/2006/relationships/theme" Target="theme/theme1.xml" /><Relationship Id="rId50" Type="http://schemas.openxmlformats.org/officeDocument/2006/relationships/externalLink" Target="externalLinks/externalLink5.xml" /><Relationship Id="rId51" Type="http://schemas.openxmlformats.org/officeDocument/2006/relationships/externalLink" Target="externalLinks/externalLink6.xml" /><Relationship Id="rId2" Type="http://schemas.microsoft.com/office/2006/relationships/vbaProject" Target="vbaProject.bin" /><Relationship Id="rId7" Type="http://schemas.openxmlformats.org/officeDocument/2006/relationships/worksheet" Target="worksheets/sheet5.xml" /><Relationship Id="rId52" Type="http://schemas.openxmlformats.org/officeDocument/2006/relationships/calcChain" Target="calcChain.xml" /><Relationship Id="rId44" Type="http://schemas.openxmlformats.org/officeDocument/2006/relationships/styles" Target="styles.xml" /><Relationship Id="rId45" Type="http://schemas.openxmlformats.org/officeDocument/2006/relationships/sharedStrings" Target="sharedStrings.xml" /><Relationship Id="rId46" Type="http://schemas.openxmlformats.org/officeDocument/2006/relationships/externalLink" Target="externalLinks/externalLink1.xml" /><Relationship Id="rId47" Type="http://schemas.openxmlformats.org/officeDocument/2006/relationships/externalLink" Target="externalLinks/externalLink2.xml" /><Relationship Id="rId40" Type="http://schemas.openxmlformats.org/officeDocument/2006/relationships/worksheet" Target="worksheets/sheet38.xml" /><Relationship Id="rId41" Type="http://schemas.openxmlformats.org/officeDocument/2006/relationships/worksheet" Target="worksheets/sheet39.xml" /><Relationship Id="rId42" Type="http://schemas.openxmlformats.org/officeDocument/2006/relationships/worksheet" Target="worksheets/sheet40.xml" /><Relationship Id="rId43" Type="http://schemas.openxmlformats.org/officeDocument/2006/relationships/worksheet" Target="worksheets/sheet41.xml"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6</xdr:col>
      <xdr:colOff>775606</xdr:colOff>
      <xdr:row>16</xdr:row>
      <xdr:rowOff>81642</xdr:rowOff>
    </xdr:from>
    <xdr:to>
      <xdr:col>6</xdr:col>
      <xdr:colOff>789213</xdr:colOff>
      <xdr:row>27</xdr:row>
      <xdr:rowOff>163285</xdr:rowOff>
    </xdr:to>
    <xdr:cxnSp macro="">
      <xdr:nvCxnSpPr>
        <xdr:cNvPr id="2" name="Straight Connector 1"/>
        <xdr:cNvCxnSpPr/>
      </xdr:nvCxnSpPr>
      <xdr:spPr>
        <a:xfrm flipH="1">
          <a:off x="9610725" y="2695575"/>
          <a:ext cx="19050" cy="1857375"/>
        </a:xfrm>
        <a:prstGeom prst="line"/>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748394</xdr:colOff>
      <xdr:row>16</xdr:row>
      <xdr:rowOff>81642</xdr:rowOff>
    </xdr:from>
    <xdr:to>
      <xdr:col>6</xdr:col>
      <xdr:colOff>775607</xdr:colOff>
      <xdr:row>16</xdr:row>
      <xdr:rowOff>95249</xdr:rowOff>
    </xdr:to>
    <xdr:cxnSp macro="">
      <xdr:nvCxnSpPr>
        <xdr:cNvPr id="3" name="Straight Arrow Connector 2"/>
        <xdr:cNvCxnSpPr/>
      </xdr:nvCxnSpPr>
      <xdr:spPr>
        <a:xfrm flipH="1">
          <a:off x="8334375" y="2695575"/>
          <a:ext cx="1276350" cy="9525"/>
        </a:xfrm>
        <a:prstGeom prst="straightConnector1"/>
        <a:ln>
          <a:solidFill>
            <a:schemeClr val="accent1">
              <a:shade val="95000"/>
              <a:satMod val="10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748395</xdr:colOff>
      <xdr:row>27</xdr:row>
      <xdr:rowOff>122464</xdr:rowOff>
    </xdr:from>
    <xdr:to>
      <xdr:col>6</xdr:col>
      <xdr:colOff>775608</xdr:colOff>
      <xdr:row>27</xdr:row>
      <xdr:rowOff>136071</xdr:rowOff>
    </xdr:to>
    <xdr:cxnSp macro="">
      <xdr:nvCxnSpPr>
        <xdr:cNvPr id="4" name="Straight Arrow Connector 3"/>
        <xdr:cNvCxnSpPr/>
      </xdr:nvCxnSpPr>
      <xdr:spPr>
        <a:xfrm flipH="1">
          <a:off x="8334375" y="4514850"/>
          <a:ext cx="1276350" cy="9525"/>
        </a:xfrm>
        <a:prstGeom prst="straightConnector1"/>
        <a:ln>
          <a:solidFill>
            <a:schemeClr val="accent1">
              <a:shade val="95000"/>
              <a:satMod val="10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775606</xdr:colOff>
      <xdr:row>16</xdr:row>
      <xdr:rowOff>81642</xdr:rowOff>
    </xdr:from>
    <xdr:to>
      <xdr:col>6</xdr:col>
      <xdr:colOff>789213</xdr:colOff>
      <xdr:row>27</xdr:row>
      <xdr:rowOff>163285</xdr:rowOff>
    </xdr:to>
    <xdr:cxnSp macro="">
      <xdr:nvCxnSpPr>
        <xdr:cNvPr id="8" name="Straight Connector 7"/>
        <xdr:cNvCxnSpPr/>
      </xdr:nvCxnSpPr>
      <xdr:spPr>
        <a:xfrm flipH="1">
          <a:off x="9610725" y="2695575"/>
          <a:ext cx="19050" cy="1857375"/>
        </a:xfrm>
        <a:prstGeom prst="line"/>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748394</xdr:colOff>
      <xdr:row>16</xdr:row>
      <xdr:rowOff>81642</xdr:rowOff>
    </xdr:from>
    <xdr:to>
      <xdr:col>6</xdr:col>
      <xdr:colOff>775607</xdr:colOff>
      <xdr:row>16</xdr:row>
      <xdr:rowOff>95249</xdr:rowOff>
    </xdr:to>
    <xdr:cxnSp macro="">
      <xdr:nvCxnSpPr>
        <xdr:cNvPr id="9" name="Straight Arrow Connector 8"/>
        <xdr:cNvCxnSpPr/>
      </xdr:nvCxnSpPr>
      <xdr:spPr>
        <a:xfrm flipH="1">
          <a:off x="8334375" y="2695575"/>
          <a:ext cx="1276350" cy="9525"/>
        </a:xfrm>
        <a:prstGeom prst="straightConnector1"/>
        <a:ln>
          <a:solidFill>
            <a:schemeClr val="accent1">
              <a:shade val="95000"/>
              <a:satMod val="10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748395</xdr:colOff>
      <xdr:row>27</xdr:row>
      <xdr:rowOff>122464</xdr:rowOff>
    </xdr:from>
    <xdr:to>
      <xdr:col>6</xdr:col>
      <xdr:colOff>775608</xdr:colOff>
      <xdr:row>27</xdr:row>
      <xdr:rowOff>136071</xdr:rowOff>
    </xdr:to>
    <xdr:cxnSp macro="">
      <xdr:nvCxnSpPr>
        <xdr:cNvPr id="10" name="Straight Arrow Connector 9"/>
        <xdr:cNvCxnSpPr/>
      </xdr:nvCxnSpPr>
      <xdr:spPr>
        <a:xfrm flipH="1">
          <a:off x="8334375" y="4514850"/>
          <a:ext cx="1276350" cy="9525"/>
        </a:xfrm>
        <a:prstGeom prst="straightConnector1"/>
        <a:ln>
          <a:solidFill>
            <a:schemeClr val="accent1">
              <a:shade val="95000"/>
              <a:satMod val="10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Schedule%20II-E%20Workpapers/WP%20II-E-2%20(Taxes%20Other%20Than%20Income)%202021TY.xls"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Schedule%20II-E%20Workpapers/WP%20II-E-3%20(2021TY).xlsx" TargetMode="External" /></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Schedule%20Headings.xlsm" TargetMode="External" /></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Section%20I%20(Summary)/Schedule%20I-A.xlsm" TargetMode="External" /></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Section%20II%20(Test%20Year%20Data)/Schedule%20F%20(Functionalization%20Factors)/Schedule%20II-F.xlsm" TargetMode="External" /></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Section%20II%20(Test%20Year%20Data)/Schedule%20B%20(Rate%20Base)/Schedule%20II-B.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Ad Valorem Taxes Summary (WP1)"/>
      <sheetName val="Ad Valorem Tax Calc (WP2)"/>
      <sheetName val="TGMT (WP3)"/>
      <sheetName val="Payroll Rates (WP4)"/>
      <sheetName val="PR Tax Returns (WP5)"/>
      <sheetName val="LGR - kWh (WP6)"/>
    </sheetNames>
    <sheetDataSet>
      <sheetData sheetId="0">
        <row r="23">
          <cell r="F23">
            <v>283681884.16</v>
          </cell>
        </row>
      </sheetData>
      <sheetData sheetId="1"/>
      <sheetData sheetId="2">
        <row r="26">
          <cell r="D26">
            <v>27740678.56</v>
          </cell>
          <cell r="E26">
            <v>4450872.48</v>
          </cell>
          <cell r="F26">
            <v>584511.47</v>
          </cell>
          <cell r="G26">
            <v>11788.23</v>
          </cell>
          <cell r="I26">
            <v>21065900.86</v>
          </cell>
          <cell r="J26">
            <v>0</v>
          </cell>
          <cell r="L26">
            <v>1078537.39</v>
          </cell>
        </row>
      </sheetData>
      <sheetData sheetId="3">
        <row r="19">
          <cell r="I19">
            <v>17325713.1165162</v>
          </cell>
        </row>
        <row r="20">
          <cell r="I20">
            <v>216872.964261014</v>
          </cell>
        </row>
        <row r="21">
          <cell r="I21">
            <v>298079.602948747</v>
          </cell>
        </row>
      </sheetData>
      <sheetData sheetId="4"/>
      <sheetData sheetId="5">
        <row r="44">
          <cell r="D44">
            <v>283082877</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Op Income"/>
      <sheetName val="Op ETR"/>
      <sheetName val="NonOp Adj"/>
      <sheetName val="Ret &amp; Int"/>
    </sheetNames>
    <sheetDataSet>
      <sheetData sheetId="0">
        <row r="16">
          <cell r="E16">
            <v>142379670.4</v>
          </cell>
        </row>
        <row r="17">
          <cell r="E17">
            <v>23877559.49</v>
          </cell>
        </row>
        <row r="18">
          <cell r="E18">
            <v>-1174249.98</v>
          </cell>
        </row>
        <row r="21">
          <cell r="E21">
            <v>789217894.17</v>
          </cell>
        </row>
        <row r="31">
          <cell r="E31">
            <v>78901800.53</v>
          </cell>
        </row>
        <row r="32">
          <cell r="E32">
            <v>62303619.89</v>
          </cell>
        </row>
      </sheetData>
      <sheetData sheetId="1">
        <row r="15">
          <cell r="F15">
            <v>1697686.14285714</v>
          </cell>
        </row>
        <row r="18">
          <cell r="F18">
            <v>207160</v>
          </cell>
        </row>
        <row r="19">
          <cell r="F19">
            <v>1420342.14285714</v>
          </cell>
        </row>
        <row r="21">
          <cell r="F21">
            <v>-4968012.85714286</v>
          </cell>
        </row>
        <row r="24">
          <cell r="F24">
            <v>-1688.57142857143</v>
          </cell>
        </row>
        <row r="27">
          <cell r="F27">
            <v>-120366.485714286</v>
          </cell>
        </row>
        <row r="31">
          <cell r="G31">
            <v>-22126156.32</v>
          </cell>
        </row>
        <row r="32">
          <cell r="G32">
            <v>-30159720</v>
          </cell>
        </row>
        <row r="33">
          <cell r="G33">
            <v>280766.15</v>
          </cell>
        </row>
        <row r="37">
          <cell r="G37">
            <v>-1174249.98</v>
          </cell>
        </row>
        <row r="38">
          <cell r="G38">
            <v>-352219</v>
          </cell>
        </row>
        <row r="39">
          <cell r="G39">
            <v>13309</v>
          </cell>
        </row>
        <row r="40">
          <cell r="G40">
            <v>-294581.1141</v>
          </cell>
        </row>
        <row r="44">
          <cell r="G44">
            <v>141205420.0859</v>
          </cell>
        </row>
      </sheetData>
      <sheetData sheetId="2"/>
      <sheetData sheetId="3">
        <row r="23">
          <cell r="D23">
            <v>1202002647.07</v>
          </cell>
          <cell r="E23">
            <v>124520303.43</v>
          </cell>
          <cell r="G23">
            <v>547364294.521525</v>
          </cell>
          <cell r="H23">
            <v>88352433.24111</v>
          </cell>
          <cell r="I23">
            <v>684771.005655</v>
          </cell>
          <cell r="K23">
            <v>638839835.45846</v>
          </cell>
          <cell r="L23">
            <v>7120941.72621</v>
          </cell>
          <cell r="N23">
            <v>29703069.8806292</v>
          </cell>
        </row>
        <row r="26">
          <cell r="D26">
            <v>412784752.9</v>
          </cell>
          <cell r="E26">
            <v>40679120.96</v>
          </cell>
          <cell r="G26">
            <v>187113184.37</v>
          </cell>
          <cell r="H26">
            <v>30202746.68</v>
          </cell>
          <cell r="I26">
            <v>234084.84</v>
          </cell>
          <cell r="K26">
            <v>218383546.59</v>
          </cell>
          <cell r="L26">
            <v>2434251</v>
          </cell>
          <cell r="N26">
            <v>10153815.38</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2021</v>
          </cell>
        </row>
        <row r="9">
          <cell r="A9" t="str">
            <v>2022 RATE CASE</v>
          </cell>
        </row>
      </sheetData>
      <sheetData sheetId="1">
        <row r="82">
          <cell r="A82" t="str">
            <v>II-E-1   </v>
          </cell>
          <cell r="B82" t="str">
            <v>DEPRECIATION EXPENSE</v>
          </cell>
          <cell r="D82" t="str">
            <v>W. ALAN LEDBETTER &amp;&amp; D. WATSON</v>
          </cell>
        </row>
        <row r="83">
          <cell r="A83" t="str">
            <v>II-E-2   </v>
          </cell>
          <cell r="B83" t="str">
            <v>TAXES OTHER THAN FEDERAL INCOME TAXES</v>
          </cell>
          <cell r="D83" t="str">
            <v>B. L. CLUTTER</v>
          </cell>
        </row>
        <row r="84">
          <cell r="A84" t="str">
            <v>II-E-2.1  </v>
          </cell>
          <cell r="B84" t="str">
            <v>AD VALOREM TAXES &amp;&amp; PLANT BALANCES</v>
          </cell>
          <cell r="D84" t="str">
            <v>B. L. CLUTTER</v>
          </cell>
        </row>
        <row r="85">
          <cell r="A85" t="str">
            <v>II-E-3   </v>
          </cell>
          <cell r="B85" t="str">
            <v>FEDERAL INCOME TAXES</v>
          </cell>
          <cell r="D85" t="str">
            <v>B. L. CLUTTER</v>
          </cell>
        </row>
        <row r="86">
          <cell r="A86" t="str">
            <v>II-E-3.1  </v>
          </cell>
          <cell r="B86" t="str">
            <v>RECONCILIATION OF TEST YEAR BOOK NET INCOME TO TAXABLE NET INCOME</v>
          </cell>
          <cell r="D86" t="str">
            <v>B. L. CLUTTER</v>
          </cell>
        </row>
        <row r="87">
          <cell r="A87" t="str">
            <v>II-E-3.2  </v>
          </cell>
          <cell r="B87" t="str">
            <v>RECONCILIATION OF TIMING DIFFERENCES</v>
          </cell>
          <cell r="D87" t="str">
            <v>B. L. CLUTTER</v>
          </cell>
        </row>
        <row r="88">
          <cell r="A88" t="str">
            <v>II-E-3.3  </v>
          </cell>
          <cell r="B88" t="str">
            <v>PLANT ADJUSTMENTS</v>
          </cell>
          <cell r="D88" t="str">
            <v>B. L. CLUTTER</v>
          </cell>
        </row>
        <row r="89">
          <cell r="A89" t="str">
            <v>II-E-3.4  </v>
          </cell>
          <cell r="B89" t="str">
            <v>CONSOLIDATION/INTER-CORPORATE TAX ALLOCATION</v>
          </cell>
          <cell r="D89" t="str">
            <v>B. L. CLUTTER</v>
          </cell>
        </row>
        <row r="90">
          <cell r="A90" t="str">
            <v>II-E-3.5  </v>
          </cell>
          <cell r="B90" t="str">
            <v>ADFIT</v>
          </cell>
        </row>
        <row r="91">
          <cell r="A91" t="str">
            <v>II-E-3.6  </v>
          </cell>
          <cell r="B91" t="str">
            <v>ADFIT – DESCRIPTION OF TIMING DIFFERENCES</v>
          </cell>
        </row>
        <row r="92">
          <cell r="A92" t="str">
            <v>II-E-3.7  </v>
          </cell>
          <cell r="B92" t="str">
            <v>ADJUSTMENTS TO ADFIT</v>
          </cell>
          <cell r="D92" t="str">
            <v>B. L. CLUTTER</v>
          </cell>
        </row>
        <row r="93">
          <cell r="A93" t="str">
            <v>II-E-3.8  </v>
          </cell>
          <cell r="B93" t="str">
            <v>ADFIT AND ITC – PLANT ADJUSTMENTS &amp;&amp; ALLOCATIONS</v>
          </cell>
          <cell r="D93" t="str">
            <v>B. L. CLUTTER</v>
          </cell>
        </row>
        <row r="94">
          <cell r="A94" t="str">
            <v>II-E-3.9  </v>
          </cell>
          <cell r="B94" t="str">
            <v>ANALYSIS OF ITCS</v>
          </cell>
          <cell r="D94" t="str">
            <v>B. L. CLUTTER</v>
          </cell>
        </row>
        <row r="95">
          <cell r="A95" t="str">
            <v>II-E-3.10  </v>
          </cell>
          <cell r="B95" t="str">
            <v>UTILIZED</v>
          </cell>
          <cell r="D95" t="str">
            <v>B. L. CLUTTER</v>
          </cell>
        </row>
        <row r="96">
          <cell r="A96" t="str">
            <v>II-E-3.11  </v>
          </cell>
          <cell r="B96" t="str">
            <v>GENERATED BUT NOT UTILIZED</v>
          </cell>
          <cell r="D96" t="str">
            <v>B. L. CLUTTER</v>
          </cell>
        </row>
        <row r="97">
          <cell r="A97" t="str">
            <v>II-E-3.12  </v>
          </cell>
          <cell r="B97" t="str">
            <v>UTILIZED – STAND ALONE BASIS</v>
          </cell>
          <cell r="D97" t="str">
            <v>B. L. CLUTTER</v>
          </cell>
        </row>
        <row r="98">
          <cell r="A98" t="str">
            <v>II-E-3.13  </v>
          </cell>
          <cell r="B98" t="str">
            <v>ITC ELECTION</v>
          </cell>
          <cell r="D98" t="str">
            <v>B. L. CLUTTER</v>
          </cell>
        </row>
        <row r="99">
          <cell r="A99" t="str">
            <v>II-E-3.14  </v>
          </cell>
          <cell r="B99" t="str">
            <v>FERC ACCOUNT 255 BALANCE</v>
          </cell>
          <cell r="D99" t="str">
            <v>B. L. CLUTTER</v>
          </cell>
        </row>
        <row r="100">
          <cell r="A100" t="str">
            <v>II-E-3.15  </v>
          </cell>
          <cell r="B100" t="str">
            <v>ANALYSIS OF TEST YEAR FIT &amp;&amp; REQUESTED FIT-TAX METHOD 2</v>
          </cell>
          <cell r="D100" t="str">
            <v>B. L. CLUTTER</v>
          </cell>
        </row>
        <row r="101">
          <cell r="A101" t="str">
            <v>II-E-3.16  </v>
          </cell>
          <cell r="B101" t="str">
            <v>ANALYSIS OF DEFERRED FIT</v>
          </cell>
          <cell r="D101" t="str">
            <v>B. L. CLUTTER</v>
          </cell>
        </row>
        <row r="102">
          <cell r="A102" t="str">
            <v>II-E-3.17  </v>
          </cell>
          <cell r="B102" t="str">
            <v>ANALYSIS OF ADDITIONAL DEPRECIATION REQUESTED</v>
          </cell>
          <cell r="D102" t="str">
            <v>B. L. CLUTTER</v>
          </cell>
        </row>
        <row r="103">
          <cell r="A103" t="str">
            <v>II-E-3.18  </v>
          </cell>
          <cell r="B103" t="str">
            <v>AMORTIZATION OF PROTECTED AND UNPROTECTED EXCESS DEFERRED TAXES</v>
          </cell>
          <cell r="D103" t="str">
            <v>B. L. CLUTTER</v>
          </cell>
        </row>
        <row r="104">
          <cell r="A104" t="str">
            <v>II-E-3.19  </v>
          </cell>
          <cell r="B104" t="str">
            <v>ANALYSIS OF EXCESS DEFERRED TAXES BY TIMING DIFFERENCE</v>
          </cell>
          <cell r="D104" t="str">
            <v>B. L. CLUTTER</v>
          </cell>
        </row>
        <row r="105">
          <cell r="A105" t="str">
            <v>II-E-3.20  </v>
          </cell>
          <cell r="B105" t="str">
            <v>EFFECTS OF POST TEST YEAR ADJUSTMENT</v>
          </cell>
          <cell r="D105" t="str">
            <v>B. L. CLUTTER</v>
          </cell>
        </row>
        <row r="106">
          <cell r="A106" t="str">
            <v>II-E-3.21  </v>
          </cell>
          <cell r="B106" t="str">
            <v>LIST OF FIT TESTIMONY</v>
          </cell>
          <cell r="D106" t="str">
            <v>B. L. CLUTTER</v>
          </cell>
        </row>
        <row r="107">
          <cell r="A107" t="str">
            <v>II-E-3.22  </v>
          </cell>
          <cell r="B107" t="str">
            <v>HISTORY OF TAX NORMALIZATION</v>
          </cell>
          <cell r="D107" t="str">
            <v>B. L. CLUTTER</v>
          </cell>
        </row>
        <row r="108">
          <cell r="A108" t="str">
            <v>II-E-3.23  </v>
          </cell>
          <cell r="B108" t="str">
            <v>TAX ELECTIONS, IRS AUDIT STATUS AND PRIVATE LETTER RULINGS</v>
          </cell>
          <cell r="D108" t="str">
            <v>B. L. CLUTTER</v>
          </cell>
        </row>
        <row r="109">
          <cell r="A109" t="str">
            <v>II-E-3.24  </v>
          </cell>
          <cell r="B109" t="str">
            <v>METHOD OF ACCOUNTING FOR ADFIT RELATED TO NOL CARRYFORWARD</v>
          </cell>
          <cell r="D109" t="str">
            <v>B. L. CLUTTER</v>
          </cell>
        </row>
        <row r="110">
          <cell r="A110" t="str">
            <v>II-E-4   </v>
          </cell>
          <cell r="B110" t="str">
            <v>OTHER EXPENSES</v>
          </cell>
          <cell r="D110" t="str">
            <v>W. ALAN LEDBETTER</v>
          </cell>
        </row>
        <row r="111">
          <cell r="A111" t="str">
            <v>II-E-4.1  </v>
          </cell>
          <cell r="B111" t="str">
            <v>DEFERRED EXPENSES FROM PRIOR DOCKETS</v>
          </cell>
          <cell r="D111" t="str">
            <v>W. ALAN LEDBETTER</v>
          </cell>
        </row>
        <row r="112">
          <cell r="A112" t="str">
            <v>II-E-4.2 </v>
          </cell>
          <cell r="B112" t="str">
            <v>BELOW THE LINE EXPENSES</v>
          </cell>
          <cell r="D112" t="str">
            <v>W. ALAN LEDBETTER</v>
          </cell>
        </row>
        <row r="113">
          <cell r="A113" t="str">
            <v>II-E-4.3  </v>
          </cell>
          <cell r="B113" t="str">
            <v>NONRECURRING OR EXTRAORDINARY EXPENSES</v>
          </cell>
          <cell r="D113" t="str">
            <v>W. ALAN LEDBETTER</v>
          </cell>
        </row>
        <row r="114">
          <cell r="A114" t="str">
            <v>II-E-4.4  </v>
          </cell>
          <cell r="B114" t="str">
            <v>REGULATORY COMMISSION EXPENSES</v>
          </cell>
          <cell r="D114" t="str">
            <v>W. ALAN LEDBETTER</v>
          </cell>
        </row>
        <row r="115">
          <cell r="A115" t="str">
            <v>II-E-4.5  </v>
          </cell>
          <cell r="B115" t="str">
            <v>RATE CASE EXPENSES</v>
          </cell>
          <cell r="D115" t="str">
            <v>R. SCHMIDT &amp;&amp; W. ALAN LEDBETTER</v>
          </cell>
        </row>
        <row r="116">
          <cell r="A116" t="str">
            <v>II-E-4.6  </v>
          </cell>
          <cell r="B116" t="str">
            <v>EXPENSES PREVIOUSLY DENIED BY THE COMMISSION</v>
          </cell>
          <cell r="D116" t="str">
            <v>W. ALAN LEDBETTER</v>
          </cell>
        </row>
        <row r="117">
          <cell r="A117" t="str">
            <v>II-E-5  </v>
          </cell>
          <cell r="B117" t="str">
            <v>OTHER REVENUE ITEMS (CREDIT)</v>
          </cell>
          <cell r="D117" t="str">
            <v>W. ALAN LEDBETTER</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Link Sheet"/>
      <sheetName val="I-A"/>
      <sheetName val="I-A-1"/>
      <sheetName val="I-A-2"/>
    </sheetNames>
    <sheetDataSet>
      <sheetData sheetId="0">
        <row r="4">
          <cell r="D4">
            <v>2794288343.19</v>
          </cell>
        </row>
        <row r="5">
          <cell r="D5">
            <v>924809854.600305</v>
          </cell>
        </row>
        <row r="6">
          <cell r="D6">
            <v>612346105.4</v>
          </cell>
        </row>
        <row r="9">
          <cell r="D9">
            <v>5824068017.84294</v>
          </cell>
        </row>
      </sheetData>
      <sheetData sheetId="1"/>
      <sheetData sheetId="2"/>
      <sheetData sheetId="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Link Sheet"/>
      <sheetName val="II-F Alloc_Data"/>
      <sheetName val="II-F Alloc_Factor"/>
    </sheetNames>
    <sheetDataSet>
      <sheetData sheetId="0"/>
      <sheetData sheetId="1"/>
      <sheetData sheetId="2">
        <row r="17">
          <cell r="E17">
            <v>0.220201564321226</v>
          </cell>
          <cell r="F17">
            <v>0</v>
          </cell>
          <cell r="G17">
            <v>0</v>
          </cell>
          <cell r="H17">
            <v>0.220201564321226</v>
          </cell>
          <cell r="I17">
            <v>0.607499511148288</v>
          </cell>
          <cell r="J17">
            <v>0</v>
          </cell>
          <cell r="K17">
            <v>0.607499511148288</v>
          </cell>
          <cell r="L17">
            <v>0.16563361015245</v>
          </cell>
          <cell r="M17">
            <v>0.00666531437803589</v>
          </cell>
        </row>
        <row r="18">
          <cell r="E18">
            <v>0.0868495718725891</v>
          </cell>
          <cell r="F18">
            <v>0</v>
          </cell>
          <cell r="G18">
            <v>0</v>
          </cell>
          <cell r="I18">
            <v>0.830537335284187</v>
          </cell>
          <cell r="J18">
            <v>0</v>
          </cell>
          <cell r="L18">
            <v>0.0456171738719941</v>
          </cell>
          <cell r="M18">
            <v>0.0369959189712303</v>
          </cell>
        </row>
        <row r="19">
          <cell r="E19">
            <v>0.430566640499313</v>
          </cell>
          <cell r="F19">
            <v>0.0670372692012896</v>
          </cell>
          <cell r="G19">
            <v>0.000549309313618402</v>
          </cell>
          <cell r="I19">
            <v>0.466942841373803</v>
          </cell>
          <cell r="J19">
            <v>0.00548201458329094</v>
          </cell>
          <cell r="L19">
            <v>0.0158801437686384</v>
          </cell>
        </row>
        <row r="24">
          <cell r="E24">
            <v>0.225390902031001</v>
          </cell>
          <cell r="F24">
            <v>0.0297493720781237</v>
          </cell>
          <cell r="G24">
            <v>0.000385534255227778</v>
          </cell>
          <cell r="H24">
            <v>0.255525808364353</v>
          </cell>
          <cell r="I24">
            <v>0.688960453716436</v>
          </cell>
          <cell r="J24">
            <v>0.00228288649544981</v>
          </cell>
          <cell r="K24">
            <v>0.691243340211886</v>
          </cell>
          <cell r="L24">
            <v>0.0352735738561509</v>
          </cell>
          <cell r="M24">
            <v>0.0179572775676107</v>
          </cell>
        </row>
        <row r="26">
          <cell r="E26">
            <v>0.216163088142264</v>
          </cell>
          <cell r="F26">
            <v>0</v>
          </cell>
          <cell r="G26">
            <v>0</v>
          </cell>
          <cell r="H26">
            <v>0.216163088142264</v>
          </cell>
          <cell r="I26">
            <v>0.783836911857736</v>
          </cell>
          <cell r="J26">
            <v>0</v>
          </cell>
          <cell r="K26">
            <v>0.783836911857736</v>
          </cell>
          <cell r="L26">
            <v>0</v>
          </cell>
          <cell r="M26">
            <v>0</v>
          </cell>
        </row>
        <row r="27">
          <cell r="E27">
            <v>0.287037223383776</v>
          </cell>
          <cell r="F27">
            <v>0</v>
          </cell>
          <cell r="G27">
            <v>0</v>
          </cell>
          <cell r="H27">
            <v>0.287037223383776</v>
          </cell>
          <cell r="I27">
            <v>0.495095772343563</v>
          </cell>
          <cell r="J27">
            <v>0</v>
          </cell>
          <cell r="K27">
            <v>0.495095772343563</v>
          </cell>
          <cell r="L27">
            <v>0.163997437766955</v>
          </cell>
          <cell r="M27">
            <v>0.0538695665057058</v>
          </cell>
        </row>
        <row r="30">
          <cell r="E30">
            <v>0.197244692861868</v>
          </cell>
          <cell r="F30">
            <v>0</v>
          </cell>
          <cell r="G30">
            <v>0</v>
          </cell>
          <cell r="H30">
            <v>0.197244692861868</v>
          </cell>
          <cell r="I30">
            <v>0.478544640969732</v>
          </cell>
          <cell r="J30">
            <v>0</v>
          </cell>
          <cell r="K30">
            <v>0.478544640969732</v>
          </cell>
          <cell r="L30">
            <v>0.129364250616999</v>
          </cell>
          <cell r="M30">
            <v>0.194846415551402</v>
          </cell>
        </row>
        <row r="31">
          <cell r="E31">
            <v>0.241155178925183</v>
          </cell>
          <cell r="F31">
            <v>0</v>
          </cell>
          <cell r="G31">
            <v>0</v>
          </cell>
          <cell r="H31">
            <v>0.241155178925183</v>
          </cell>
          <cell r="I31">
            <v>0.340965652308971</v>
          </cell>
          <cell r="J31">
            <v>0</v>
          </cell>
          <cell r="K31">
            <v>0.340965652308971</v>
          </cell>
          <cell r="L31">
            <v>0.0491218294086537</v>
          </cell>
          <cell r="M31">
            <v>0.368757339357192</v>
          </cell>
        </row>
        <row r="32">
          <cell r="E32">
            <v>0.0918489925373012</v>
          </cell>
          <cell r="F32">
            <v>0</v>
          </cell>
          <cell r="G32">
            <v>0</v>
          </cell>
          <cell r="H32">
            <v>0.0918489925373012</v>
          </cell>
          <cell r="I32">
            <v>0.869463475098916</v>
          </cell>
          <cell r="J32">
            <v>0</v>
          </cell>
          <cell r="K32">
            <v>0.869463475098916</v>
          </cell>
          <cell r="L32">
            <v>0.0306096848923859</v>
          </cell>
          <cell r="M32">
            <v>0.00807784747139658</v>
          </cell>
        </row>
        <row r="35">
          <cell r="E35">
            <v>0.447416926707665</v>
          </cell>
          <cell r="F35">
            <v>0</v>
          </cell>
          <cell r="G35">
            <v>0</v>
          </cell>
          <cell r="H35">
            <v>0.447416926707665</v>
          </cell>
          <cell r="I35">
            <v>0.522189259873896</v>
          </cell>
          <cell r="J35">
            <v>0</v>
          </cell>
          <cell r="K35">
            <v>0.522189259873896</v>
          </cell>
          <cell r="L35">
            <v>0.0242793627128555</v>
          </cell>
          <cell r="M35">
            <v>0.00611445070558355</v>
          </cell>
        </row>
        <row r="36">
          <cell r="F36">
            <v>0</v>
          </cell>
          <cell r="G36">
            <v>0</v>
          </cell>
          <cell r="J36">
            <v>0</v>
          </cell>
          <cell r="L36">
            <v>0</v>
          </cell>
          <cell r="M36">
            <v>0</v>
          </cell>
        </row>
        <row r="38">
          <cell r="E38">
            <v>0.00363985805627286</v>
          </cell>
          <cell r="F38">
            <v>0</v>
          </cell>
          <cell r="G38">
            <v>0</v>
          </cell>
          <cell r="I38">
            <v>0.760490154703712</v>
          </cell>
          <cell r="J38">
            <v>0</v>
          </cell>
          <cell r="L38">
            <v>0.226745451950069</v>
          </cell>
        </row>
        <row r="40">
          <cell r="E40">
            <v>0.464232444914045</v>
          </cell>
          <cell r="F40">
            <v>0</v>
          </cell>
          <cell r="G40">
            <v>0.00059225955215528</v>
          </cell>
          <cell r="H40">
            <v>0.4648247044662</v>
          </cell>
          <cell r="I40">
            <v>0.503452883936133</v>
          </cell>
          <cell r="J40">
            <v>0</v>
          </cell>
          <cell r="K40">
            <v>0.503452883936133</v>
          </cell>
          <cell r="L40">
            <v>0.0171218047890389</v>
          </cell>
          <cell r="M40">
            <v>0.0146006068086284</v>
          </cell>
          <cell r="N40">
            <v>1</v>
          </cell>
        </row>
        <row r="41">
          <cell r="E41">
            <v>0</v>
          </cell>
          <cell r="F41">
            <v>0.924406112454512</v>
          </cell>
          <cell r="G41">
            <v>0</v>
          </cell>
          <cell r="H41">
            <v>0.924406112454512</v>
          </cell>
          <cell r="I41">
            <v>0</v>
          </cell>
          <cell r="J41">
            <v>0.0755938875454883</v>
          </cell>
          <cell r="K41">
            <v>0.0755938875454883</v>
          </cell>
          <cell r="L41">
            <v>0</v>
          </cell>
          <cell r="M41">
            <v>0</v>
          </cell>
        </row>
        <row r="42">
          <cell r="E42">
            <v>0.232942379841759</v>
          </cell>
          <cell r="F42">
            <v>0</v>
          </cell>
          <cell r="G42">
            <v>0</v>
          </cell>
          <cell r="H42">
            <v>0.232942379841759</v>
          </cell>
          <cell r="I42">
            <v>0.712043326768756</v>
          </cell>
          <cell r="J42">
            <v>0</v>
          </cell>
          <cell r="K42">
            <v>0.712043326768756</v>
          </cell>
          <cell r="L42">
            <v>0.0364553767056919</v>
          </cell>
          <cell r="M42">
            <v>0.0185589166837928</v>
          </cell>
        </row>
      </sheetData>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Link Sheet"/>
      <sheetName val="II-B"/>
      <sheetName val="II-B-1"/>
      <sheetName val="II-B-1a"/>
      <sheetName val="II-B-2"/>
      <sheetName val="II-B-3"/>
      <sheetName val="II-B-4"/>
      <sheetName val="II-B-5"/>
      <sheetName val="II-B-6"/>
      <sheetName val="II-B-7"/>
      <sheetName val="II-B-8"/>
      <sheetName val="II-B-9"/>
      <sheetName val="II-B-10"/>
      <sheetName val="II-B-11"/>
      <sheetName val="II-B-12"/>
      <sheetName val="II-B-13"/>
      <sheetName val="II-B-14"/>
      <sheetName val="II-B-14 Attachment 1"/>
      <sheetName val="II-B-15A"/>
      <sheetName val="II-B-15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9">
          <cell r="K19">
            <v>23452667.34</v>
          </cell>
        </row>
      </sheetData>
      <sheetData sheetId="14">
        <row r="22">
          <cell r="H22">
            <v>-41176.37</v>
          </cell>
          <cell r="I22">
            <v>34618626.32</v>
          </cell>
          <cell r="N22">
            <v>3006612.87</v>
          </cell>
          <cell r="O22">
            <v>0</v>
          </cell>
          <cell r="P22">
            <v>0</v>
          </cell>
          <cell r="R22">
            <v>28752061.66</v>
          </cell>
          <cell r="S22">
            <v>0</v>
          </cell>
          <cell r="U22">
            <v>1579203.9</v>
          </cell>
        </row>
        <row r="29">
          <cell r="H29">
            <v>0</v>
          </cell>
          <cell r="N29">
            <v>0</v>
          </cell>
          <cell r="O29">
            <v>0</v>
          </cell>
          <cell r="P29">
            <v>0</v>
          </cell>
          <cell r="Q29">
            <v>0</v>
          </cell>
          <cell r="R29">
            <v>0</v>
          </cell>
          <cell r="S29">
            <v>0</v>
          </cell>
          <cell r="T29">
            <v>0</v>
          </cell>
          <cell r="U29">
            <v>80079.69</v>
          </cell>
        </row>
        <row r="30">
          <cell r="H30">
            <v>-23799.09</v>
          </cell>
          <cell r="N30">
            <v>0</v>
          </cell>
          <cell r="O30">
            <v>0</v>
          </cell>
          <cell r="P30">
            <v>0</v>
          </cell>
          <cell r="Q30">
            <v>0</v>
          </cell>
          <cell r="R30">
            <v>0</v>
          </cell>
          <cell r="S30">
            <v>0</v>
          </cell>
          <cell r="T30">
            <v>0</v>
          </cell>
          <cell r="U30">
            <v>0</v>
          </cell>
        </row>
        <row r="31">
          <cell r="H31">
            <v>0</v>
          </cell>
          <cell r="N31">
            <v>0</v>
          </cell>
          <cell r="O31">
            <v>0</v>
          </cell>
          <cell r="P31">
            <v>0</v>
          </cell>
          <cell r="Q31">
            <v>0</v>
          </cell>
          <cell r="R31">
            <v>178482.85</v>
          </cell>
          <cell r="S31">
            <v>0</v>
          </cell>
          <cell r="T31">
            <v>178482.85</v>
          </cell>
          <cell r="U31">
            <v>0</v>
          </cell>
        </row>
        <row r="32">
          <cell r="H32">
            <v>0</v>
          </cell>
          <cell r="N32">
            <v>0</v>
          </cell>
          <cell r="O32">
            <v>0</v>
          </cell>
          <cell r="P32">
            <v>0</v>
          </cell>
          <cell r="Q32">
            <v>0</v>
          </cell>
          <cell r="R32">
            <v>304615.99</v>
          </cell>
          <cell r="S32">
            <v>0</v>
          </cell>
          <cell r="T32">
            <v>304615.99</v>
          </cell>
          <cell r="U32">
            <v>0</v>
          </cell>
        </row>
        <row r="33">
          <cell r="H33">
            <v>0</v>
          </cell>
          <cell r="N33">
            <v>0</v>
          </cell>
          <cell r="O33">
            <v>0</v>
          </cell>
          <cell r="P33">
            <v>0</v>
          </cell>
          <cell r="Q33">
            <v>0</v>
          </cell>
          <cell r="R33">
            <v>167728.14</v>
          </cell>
          <cell r="S33">
            <v>0</v>
          </cell>
          <cell r="T33">
            <v>167728.14</v>
          </cell>
          <cell r="U33">
            <v>0</v>
          </cell>
        </row>
        <row r="34">
          <cell r="H34">
            <v>0</v>
          </cell>
          <cell r="N34">
            <v>0</v>
          </cell>
          <cell r="O34">
            <v>0</v>
          </cell>
          <cell r="P34">
            <v>0</v>
          </cell>
          <cell r="Q34">
            <v>0</v>
          </cell>
          <cell r="R34">
            <v>215521.46</v>
          </cell>
          <cell r="S34">
            <v>0</v>
          </cell>
          <cell r="T34">
            <v>215521.46</v>
          </cell>
          <cell r="U34">
            <v>0</v>
          </cell>
        </row>
        <row r="35">
          <cell r="H35">
            <v>0</v>
          </cell>
          <cell r="N35">
            <v>0</v>
          </cell>
          <cell r="O35">
            <v>0</v>
          </cell>
          <cell r="P35">
            <v>0</v>
          </cell>
          <cell r="Q35">
            <v>0</v>
          </cell>
          <cell r="R35">
            <v>586172.7</v>
          </cell>
          <cell r="S35">
            <v>0</v>
          </cell>
          <cell r="T35">
            <v>586172.7</v>
          </cell>
          <cell r="U35">
            <v>0</v>
          </cell>
        </row>
        <row r="36">
          <cell r="H36">
            <v>0</v>
          </cell>
          <cell r="N36">
            <v>0</v>
          </cell>
          <cell r="O36">
            <v>0</v>
          </cell>
          <cell r="P36">
            <v>0</v>
          </cell>
          <cell r="Q36">
            <v>0</v>
          </cell>
          <cell r="R36">
            <v>334785.03</v>
          </cell>
          <cell r="S36">
            <v>0</v>
          </cell>
          <cell r="T36">
            <v>334785.03</v>
          </cell>
          <cell r="U36">
            <v>0</v>
          </cell>
        </row>
        <row r="37">
          <cell r="H37">
            <v>3278710.11</v>
          </cell>
          <cell r="N37">
            <v>0</v>
          </cell>
          <cell r="O37">
            <v>0</v>
          </cell>
          <cell r="P37">
            <v>0</v>
          </cell>
          <cell r="Q37">
            <v>0</v>
          </cell>
          <cell r="R37">
            <v>6700000</v>
          </cell>
          <cell r="S37">
            <v>0</v>
          </cell>
          <cell r="T37">
            <v>6700000</v>
          </cell>
          <cell r="U37">
            <v>0</v>
          </cell>
        </row>
        <row r="41">
          <cell r="H41">
            <v>-34164.94</v>
          </cell>
          <cell r="N41">
            <v>6343989.41</v>
          </cell>
          <cell r="O41">
            <v>556203</v>
          </cell>
          <cell r="P41">
            <v>0</v>
          </cell>
          <cell r="R41">
            <v>613207.779999999</v>
          </cell>
          <cell r="S41">
            <v>0</v>
          </cell>
          <cell r="U41">
            <v>0</v>
          </cell>
          <cell r="V41">
            <v>0</v>
          </cell>
        </row>
        <row r="42">
          <cell r="H42">
            <v>-530633.01</v>
          </cell>
          <cell r="I42">
            <v>8358753.99</v>
          </cell>
        </row>
        <row r="92">
          <cell r="I92">
            <v>-1138800768.04681</v>
          </cell>
          <cell r="N92">
            <v>-485033420.39</v>
          </cell>
          <cell r="O92">
            <v>-51562335.77</v>
          </cell>
          <cell r="P92">
            <v>-642339.16</v>
          </cell>
          <cell r="Q92">
            <v>-537238095.32</v>
          </cell>
          <cell r="R92">
            <v>-557076552.59</v>
          </cell>
          <cell r="S92">
            <v>-4216542.23</v>
          </cell>
          <cell r="T92">
            <v>-561293094.82</v>
          </cell>
          <cell r="U92">
            <v>-28189518.42</v>
          </cell>
          <cell r="V92">
            <v>-12080059.4868127</v>
          </cell>
          <cell r="W92">
            <v>-1138800768.04681</v>
          </cell>
        </row>
      </sheetData>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5.bin" /></Relationships>
</file>

<file path=xl/worksheets/_rels/sheet6.xml.rels><?xml version="1.0" encoding="UTF-8" standalone="yes"?><Relationships xmlns="http://schemas.openxmlformats.org/package/2006/relationships"><Relationship Id="rId1" Type="http://schemas.openxmlformats.org/officeDocument/2006/relationships/printerSettings" Target="../printerSettings/printerSettings6.bin" /></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7.bin" /></Relationships>
</file>

<file path=xl/worksheets/_rels/sheet8.xml.rels><?xml version="1.0" encoding="UTF-8" standalone="yes"?><Relationships xmlns="http://schemas.openxmlformats.org/package/2006/relationships"><Relationship Id="rId1" Type="http://schemas.openxmlformats.org/officeDocument/2006/relationships/printerSettings" Target="../printerSettings/printerSettings8.bin" /></Relationships>
</file>

<file path=xl/worksheets/_rels/sheet9.xml.rels><?xml version="1.0" encoding="UTF-8" standalone="yes"?><Relationships xmlns="http://schemas.openxmlformats.org/package/2006/relationships"><Relationship Id="rId1" Type="http://schemas.openxmlformats.org/officeDocument/2006/relationships/printerSettings" Target="../printerSettings/printerSettings9.bin" /></Relationships>
</file>

<file path=xl/worksheets/_rels/sheet10.xml.rels><?xml version="1.0" encoding="UTF-8" standalone="yes"?><Relationships xmlns="http://schemas.openxmlformats.org/package/2006/relationships"><Relationship Id="rId1" Type="http://schemas.openxmlformats.org/officeDocument/2006/relationships/printerSettings" Target="../printerSettings/printerSettings10.bin" /></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11.bin" /></Relationships>
</file>

<file path=xl/worksheets/_rels/sheet12.xml.rels><?xml version="1.0" encoding="UTF-8" standalone="yes"?><Relationships xmlns="http://schemas.openxmlformats.org/package/2006/relationships"><Relationship Id="rId1" Type="http://schemas.openxmlformats.org/officeDocument/2006/relationships/printerSettings" Target="../printerSettings/printerSettings12.bin" /></Relationships>
</file>

<file path=xl/worksheets/_rels/sheet13.xml.rels><?xml version="1.0" encoding="UTF-8" standalone="yes"?><Relationships xmlns="http://schemas.openxmlformats.org/package/2006/relationships"><Relationship Id="rId1" Type="http://schemas.openxmlformats.org/officeDocument/2006/relationships/printerSettings" Target="../printerSettings/printerSettings13.bin" /></Relationships>
</file>

<file path=xl/worksheets/_rels/sheet14.xml.rels><?xml version="1.0" encoding="UTF-8" standalone="yes"?><Relationships xmlns="http://schemas.openxmlformats.org/package/2006/relationships"><Relationship Id="rId1" Type="http://schemas.openxmlformats.org/officeDocument/2006/relationships/printerSettings" Target="../printerSettings/printerSettings14.bin" /></Relationships>
</file>

<file path=xl/worksheets/_rels/sheet15.xml.rels><?xml version="1.0" encoding="UTF-8" standalone="yes"?><Relationships xmlns="http://schemas.openxmlformats.org/package/2006/relationships"><Relationship Id="rId1" Type="http://schemas.openxmlformats.org/officeDocument/2006/relationships/printerSettings" Target="../printerSettings/printerSettings15.bin" /></Relationships>
</file>

<file path=xl/worksheets/_rels/sheet16.xml.rels><?xml version="1.0" encoding="UTF-8" standalone="yes"?><Relationships xmlns="http://schemas.openxmlformats.org/package/2006/relationships"><Relationship Id="rId1" Type="http://schemas.openxmlformats.org/officeDocument/2006/relationships/printerSettings" Target="../printerSettings/printerSettings16.bin" /></Relationships>
</file>

<file path=xl/worksheets/_rels/sheet17.xml.rels><?xml version="1.0" encoding="UTF-8" standalone="yes"?><Relationships xmlns="http://schemas.openxmlformats.org/package/2006/relationships"><Relationship Id="rId1" Type="http://schemas.openxmlformats.org/officeDocument/2006/relationships/printerSettings" Target="../printerSettings/printerSettings17.bin" /></Relationships>
</file>

<file path=xl/worksheets/_rels/sheet18.xml.rels><?xml version="1.0" encoding="UTF-8" standalone="yes"?><Relationships xmlns="http://schemas.openxmlformats.org/package/2006/relationships"><Relationship Id="rId1" Type="http://schemas.openxmlformats.org/officeDocument/2006/relationships/printerSettings" Target="../printerSettings/printerSettings18.bin" /></Relationships>
</file>

<file path=xl/worksheets/_rels/sheet19.xml.rels><?xml version="1.0" encoding="UTF-8" standalone="yes"?><Relationships xmlns="http://schemas.openxmlformats.org/package/2006/relationships"><Relationship Id="rId1" Type="http://schemas.openxmlformats.org/officeDocument/2006/relationships/printerSettings" Target="../printerSettings/printerSettings19.bin" /></Relationships>
</file>

<file path=xl/worksheets/_rels/sheet20.xml.rels><?xml version="1.0" encoding="UTF-8" standalone="yes"?><Relationships xmlns="http://schemas.openxmlformats.org/package/2006/relationships"><Relationship Id="rId1" Type="http://schemas.openxmlformats.org/officeDocument/2006/relationships/printerSettings" Target="../printerSettings/printerSettings20.bin" /></Relationships>
</file>

<file path=xl/worksheets/_rels/sheet21.xml.rels><?xml version="1.0" encoding="UTF-8" standalone="yes"?><Relationships xmlns="http://schemas.openxmlformats.org/package/2006/relationships"><Relationship Id="rId1" Type="http://schemas.openxmlformats.org/officeDocument/2006/relationships/printerSettings" Target="../printerSettings/printerSettings21.bin" /></Relationships>
</file>

<file path=xl/worksheets/_rels/sheet22.xml.rels><?xml version="1.0" encoding="UTF-8" standalone="yes"?><Relationships xmlns="http://schemas.openxmlformats.org/package/2006/relationships"><Relationship Id="rId1" Type="http://schemas.openxmlformats.org/officeDocument/2006/relationships/printerSettings" Target="../printerSettings/printerSettings22.bin" /></Relationships>
</file>

<file path=xl/worksheets/_rels/sheet23.xml.rels><?xml version="1.0" encoding="UTF-8" standalone="yes"?><Relationships xmlns="http://schemas.openxmlformats.org/package/2006/relationships"><Relationship Id="rId1" Type="http://schemas.openxmlformats.org/officeDocument/2006/relationships/printerSettings" Target="../printerSettings/printerSettings23.bin" /></Relationships>
</file>

<file path=xl/worksheets/_rels/sheet24.xml.rels><?xml version="1.0" encoding="UTF-8" standalone="yes"?><Relationships xmlns="http://schemas.openxmlformats.org/package/2006/relationships"><Relationship Id="rId1" Type="http://schemas.openxmlformats.org/officeDocument/2006/relationships/printerSettings" Target="../printerSettings/printerSettings24.bin" /></Relationships>
</file>

<file path=xl/worksheets/_rels/sheet25.xml.rels><?xml version="1.0" encoding="UTF-8" standalone="yes"?><Relationships xmlns="http://schemas.openxmlformats.org/package/2006/relationships"><Relationship Id="rId1" Type="http://schemas.openxmlformats.org/officeDocument/2006/relationships/printerSettings" Target="../printerSettings/printerSettings25.bin" /></Relationships>
</file>

<file path=xl/worksheets/_rels/sheet26.xml.rels><?xml version="1.0" encoding="UTF-8" standalone="yes"?><Relationships xmlns="http://schemas.openxmlformats.org/package/2006/relationships"><Relationship Id="rId1" Type="http://schemas.openxmlformats.org/officeDocument/2006/relationships/printerSettings" Target="../printerSettings/printerSettings26.bin" /></Relationships>
</file>

<file path=xl/worksheets/_rels/sheet27.xml.rels><?xml version="1.0" encoding="UTF-8" standalone="yes"?><Relationships xmlns="http://schemas.openxmlformats.org/package/2006/relationships"><Relationship Id="rId1" Type="http://schemas.openxmlformats.org/officeDocument/2006/relationships/printerSettings" Target="../printerSettings/printerSettings27.bin" /></Relationships>
</file>

<file path=xl/worksheets/_rels/sheet28.xml.rels><?xml version="1.0" encoding="UTF-8" standalone="yes"?><Relationships xmlns="http://schemas.openxmlformats.org/package/2006/relationships"><Relationship Id="rId1" Type="http://schemas.openxmlformats.org/officeDocument/2006/relationships/printerSettings" Target="../printerSettings/printerSettings28.bin" /></Relationships>
</file>

<file path=xl/worksheets/_rels/sheet29.xml.rels><?xml version="1.0" encoding="UTF-8" standalone="yes"?><Relationships xmlns="http://schemas.openxmlformats.org/package/2006/relationships"><Relationship Id="rId1" Type="http://schemas.openxmlformats.org/officeDocument/2006/relationships/printerSettings" Target="../printerSettings/printerSettings29.bin" /></Relationships>
</file>

<file path=xl/worksheets/_rels/sheet30.xml.rels><?xml version="1.0" encoding="UTF-8" standalone="yes"?><Relationships xmlns="http://schemas.openxmlformats.org/package/2006/relationships"><Relationship Id="rId1" Type="http://schemas.openxmlformats.org/officeDocument/2006/relationships/printerSettings" Target="../printerSettings/printerSettings30.bin" /></Relationships>
</file>

<file path=xl/worksheets/_rels/sheet31.xml.rels><?xml version="1.0" encoding="UTF-8" standalone="yes"?><Relationships xmlns="http://schemas.openxmlformats.org/package/2006/relationships"><Relationship Id="rId1" Type="http://schemas.openxmlformats.org/officeDocument/2006/relationships/printerSettings" Target="../printerSettings/printerSettings31.bin" /></Relationships>
</file>

<file path=xl/worksheets/_rels/sheet32.xml.rels><?xml version="1.0" encoding="UTF-8" standalone="yes"?><Relationships xmlns="http://schemas.openxmlformats.org/package/2006/relationships"><Relationship Id="rId1" Type="http://schemas.openxmlformats.org/officeDocument/2006/relationships/printerSettings" Target="../printerSettings/printerSettings32.bin" /></Relationships>
</file>

<file path=xl/worksheets/_rels/sheet33.xml.rels><?xml version="1.0" encoding="UTF-8" standalone="yes"?><Relationships xmlns="http://schemas.openxmlformats.org/package/2006/relationships"><Relationship Id="rId1" Type="http://schemas.openxmlformats.org/officeDocument/2006/relationships/printerSettings" Target="../printerSettings/printerSettings33.bin" /></Relationships>
</file>

<file path=xl/worksheets/_rels/sheet34.xml.rels><?xml version="1.0" encoding="UTF-8" standalone="yes"?><Relationships xmlns="http://schemas.openxmlformats.org/package/2006/relationships"><Relationship Id="rId1" Type="http://schemas.openxmlformats.org/officeDocument/2006/relationships/printerSettings" Target="../printerSettings/printerSettings34.bin" /></Relationships>
</file>

<file path=xl/worksheets/_rels/sheet35.xml.rels><?xml version="1.0" encoding="UTF-8" standalone="yes"?><Relationships xmlns="http://schemas.openxmlformats.org/package/2006/relationships"><Relationship Id="rId1" Type="http://schemas.openxmlformats.org/officeDocument/2006/relationships/printerSettings" Target="../printerSettings/printerSettings35.bin" /></Relationships>
</file>

<file path=xl/worksheets/_rels/sheet36.xml.rels><?xml version="1.0" encoding="UTF-8" standalone="yes"?><Relationships xmlns="http://schemas.openxmlformats.org/package/2006/relationships"><Relationship Id="rId1" Type="http://schemas.openxmlformats.org/officeDocument/2006/relationships/printerSettings" Target="../printerSettings/printerSettings36.bin" /></Relationships>
</file>

<file path=xl/worksheets/_rels/sheet37.xml.rels><?xml version="1.0" encoding="UTF-8" standalone="yes"?><Relationships xmlns="http://schemas.openxmlformats.org/package/2006/relationships"><Relationship Id="rId1" Type="http://schemas.openxmlformats.org/officeDocument/2006/relationships/printerSettings" Target="../printerSettings/printerSettings37.bin" /></Relationships>
</file>

<file path=xl/worksheets/_rels/sheet38.xml.rels><?xml version="1.0" encoding="UTF-8" standalone="yes"?><Relationships xmlns="http://schemas.openxmlformats.org/package/2006/relationships"><Relationship Id="rId1" Type="http://schemas.openxmlformats.org/officeDocument/2006/relationships/printerSettings" Target="../printerSettings/printerSettings38.bin" /></Relationships>
</file>

<file path=xl/worksheets/_rels/sheet39.xml.rels><?xml version="1.0" encoding="UTF-8" standalone="yes"?><Relationships xmlns="http://schemas.openxmlformats.org/package/2006/relationships"><Relationship Id="rId1" Type="http://schemas.openxmlformats.org/officeDocument/2006/relationships/printerSettings" Target="../printerSettings/printerSettings39.bin" /></Relationships>
</file>

<file path=xl/worksheets/_rels/sheet40.xml.rels><?xml version="1.0" encoding="UTF-8" standalone="yes"?><Relationships xmlns="http://schemas.openxmlformats.org/package/2006/relationships"><Relationship Id="rId1" Type="http://schemas.openxmlformats.org/officeDocument/2006/relationships/printerSettings" Target="../printerSettings/printerSettings40.bin" /></Relationships>
</file>

<file path=xl/worksheets/_rels/sheet41.xml.rels><?xml version="1.0" encoding="UTF-8" standalone="yes"?><Relationships xmlns="http://schemas.openxmlformats.org/package/2006/relationships"><Relationship Id="rId1" Type="http://schemas.openxmlformats.org/officeDocument/2006/relationships/printerSettings" Target="../printerSettings/printerSettings41.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
    <tabColor indexed="10"/>
  </sheetPr>
  <dimension ref="A1:R103"/>
  <sheetViews>
    <sheetView zoomScale="85" zoomScaleNormal="85" workbookViewId="0" topLeftCell="A1">
      <pane ySplit="1" topLeftCell="A62" activePane="bottomLeft" state="frozen"/>
      <selection pane="topLeft" activeCell="B38" sqref="B38"/>
      <selection pane="bottomLeft" activeCell="K107" sqref="K107"/>
    </sheetView>
  </sheetViews>
  <sheetFormatPr defaultRowHeight="12.75"/>
  <cols>
    <col min="1" max="1" width="38.5714285714286" bestFit="1" customWidth="1"/>
    <col min="2" max="3" width="19.5714285714286" customWidth="1"/>
    <col min="4" max="4" width="17.2857142857143" bestFit="1" customWidth="1"/>
    <col min="5" max="5" width="16" bestFit="1" customWidth="1"/>
    <col min="6" max="7" width="16.7142857142857" bestFit="1" customWidth="1"/>
    <col min="8" max="10" width="16.7142857142857" style="374" customWidth="1"/>
    <col min="11" max="11" width="16.5714285714286" bestFit="1" customWidth="1"/>
    <col min="12" max="13" width="16.5714285714286" style="374" customWidth="1"/>
    <col min="14" max="15" width="15.2857142857143" bestFit="1" customWidth="1"/>
    <col min="16" max="16" width="16.7142857142857" bestFit="1" customWidth="1"/>
    <col min="17" max="17" width="9.57142857142857" bestFit="1" customWidth="1"/>
  </cols>
  <sheetData>
    <row r="1" spans="2:18" s="99" customFormat="1" ht="25.5">
      <c r="B1" s="99" t="s">
        <v>383</v>
      </c>
      <c r="C1" s="119" t="s">
        <v>371</v>
      </c>
      <c r="D1" s="99" t="s">
        <v>66</v>
      </c>
      <c r="E1" s="99" t="s">
        <v>300</v>
      </c>
      <c r="F1" s="119" t="s">
        <v>58</v>
      </c>
      <c r="G1" s="99" t="s">
        <v>208</v>
      </c>
      <c r="H1" s="177" t="s">
        <v>639</v>
      </c>
      <c r="I1" s="177" t="s">
        <v>640</v>
      </c>
      <c r="J1" s="177" t="s">
        <v>641</v>
      </c>
      <c r="K1" s="107" t="s">
        <v>209</v>
      </c>
      <c r="L1" s="275" t="s">
        <v>642</v>
      </c>
      <c r="M1" s="275" t="s">
        <v>643</v>
      </c>
      <c r="N1" s="45" t="s">
        <v>203</v>
      </c>
      <c r="O1" s="45" t="s">
        <v>291</v>
      </c>
      <c r="P1" s="45" t="s">
        <v>78</v>
      </c>
      <c r="Q1" s="119" t="s">
        <v>298</v>
      </c>
      <c r="R1" s="99" t="s">
        <v>299</v>
      </c>
    </row>
    <row r="2" spans="1:18" ht="12.75">
      <c r="A2" t="s">
        <v>297</v>
      </c>
      <c r="B2" s="120">
        <f>+'II-E-3.5'!E95</f>
        <v>2064493746.5599999</v>
      </c>
      <c r="C2" s="120">
        <f>+'II-E-3.5'!F95</f>
        <v>0</v>
      </c>
      <c r="D2" s="120">
        <f>+'II-E-3.5'!G95</f>
        <v>2064493746.5599999</v>
      </c>
      <c r="E2" s="120">
        <f>+'II-E-3.5'!H95</f>
        <v>283400024.89000005</v>
      </c>
      <c r="F2" s="120">
        <f>+'II-E-3.5'!I95</f>
        <v>2347893771.4500003</v>
      </c>
      <c r="G2" s="120">
        <f>+'II-E-3.5'!O95</f>
        <v>951633684.86999989</v>
      </c>
      <c r="H2" s="120">
        <f>+'II-E-3.5'!P95</f>
        <v>129921592.42</v>
      </c>
      <c r="I2" s="120">
        <f>+'II-E-3.5'!Q95</f>
        <v>1226987.2099999997</v>
      </c>
      <c r="J2" s="120">
        <f>+'II-E-3.5'!R95</f>
        <v>1082782264.5000002</v>
      </c>
      <c r="K2" s="120">
        <f>+'II-E-3.5'!S95</f>
        <v>1132059195.6699996</v>
      </c>
      <c r="L2" s="120">
        <f>+'II-E-3.5'!T95</f>
        <v>10585547.99</v>
      </c>
      <c r="M2" s="120">
        <f>+'II-E-3.5'!U95</f>
        <v>1142644743.6599996</v>
      </c>
      <c r="N2" s="120">
        <f>+'II-E-3.5'!V95</f>
        <v>36656474.20000001</v>
      </c>
      <c r="O2" s="120">
        <f>+'II-E-3.5'!W95</f>
        <v>85810289.089999706</v>
      </c>
      <c r="P2" s="120">
        <f>+J2+M2+N2+O2</f>
        <v>2347893771.4499993</v>
      </c>
      <c r="Q2" t="b">
        <f>+P2='II-E-3.5'!X95</f>
        <v>1</v>
      </c>
      <c r="R2" t="b">
        <f>+P2=F2</f>
        <v>1</v>
      </c>
    </row>
    <row r="3" spans="1:18" ht="12.75">
      <c r="A3" s="30" t="s">
        <v>294</v>
      </c>
      <c r="B3" s="116">
        <f>+'II-E-5'!E29</f>
        <v>70931115.530000001</v>
      </c>
      <c r="C3" s="116">
        <f>+'II-E-5'!G29</f>
        <v>0</v>
      </c>
      <c r="D3" s="116">
        <f>+'II-E-5'!H29</f>
        <v>80520103.129999995</v>
      </c>
      <c r="E3" s="116">
        <f>+'II-E-5'!I29</f>
        <v>19560859.219999999</v>
      </c>
      <c r="F3" s="116">
        <f>+'II-E-5'!J29</f>
        <v>100080962.34999999</v>
      </c>
      <c r="G3" s="120">
        <f>+'II-E-5'!O29</f>
        <v>41885524.43</v>
      </c>
      <c r="H3" s="120">
        <f>+'II-E-5'!P29</f>
        <v>239326.69999999998</v>
      </c>
      <c r="I3" s="120">
        <f>+'II-E-5'!Q29</f>
        <v>898483.62</v>
      </c>
      <c r="J3" s="120">
        <f>+'II-E-5'!R29</f>
        <v>43023334.75</v>
      </c>
      <c r="K3" s="120">
        <f>+'II-E-5'!S29</f>
        <v>51757981.979999989</v>
      </c>
      <c r="L3" s="120">
        <f>+'II-E-5'!T29</f>
        <v>0</v>
      </c>
      <c r="M3" s="120">
        <f>+'II-E-5'!U29</f>
        <v>51757981.979999989</v>
      </c>
      <c r="N3" s="120">
        <f>+'II-E-5'!V29</f>
        <v>5094630.9699999997</v>
      </c>
      <c r="O3" s="120">
        <f>+'II-E-5'!W29</f>
        <v>205014.6500000013</v>
      </c>
      <c r="P3" s="120">
        <f>+J3+M3+N3+O3</f>
        <v>100080962.34999999</v>
      </c>
      <c r="Q3" t="b">
        <f>+P3='II-E-5'!X29</f>
        <v>1</v>
      </c>
      <c r="R3" t="b">
        <f>+F3=P3</f>
        <v>1</v>
      </c>
    </row>
    <row r="4" spans="6:16" ht="12.75">
      <c r="F4" s="120"/>
      <c r="G4" s="120"/>
      <c r="H4" s="120"/>
      <c r="I4" s="120"/>
      <c r="J4" s="120"/>
      <c r="K4" s="120"/>
      <c r="L4" s="120"/>
      <c r="M4" s="120"/>
      <c r="N4" s="120"/>
      <c r="O4" s="120"/>
      <c r="P4" s="120"/>
    </row>
    <row r="5" spans="6:16" ht="12.75">
      <c r="F5" s="120"/>
      <c r="G5" s="120"/>
      <c r="H5" s="120"/>
      <c r="I5" s="120"/>
      <c r="J5" s="120"/>
      <c r="K5" s="120"/>
      <c r="L5" s="120"/>
      <c r="M5" s="120"/>
      <c r="N5" s="120"/>
      <c r="O5" s="120"/>
      <c r="P5" s="120"/>
    </row>
    <row r="6" spans="1:16" ht="12.75">
      <c r="A6" s="43" t="s">
        <v>156</v>
      </c>
      <c r="F6" s="120"/>
      <c r="G6" s="120"/>
      <c r="H6" s="120"/>
      <c r="I6" s="120"/>
      <c r="J6" s="120"/>
      <c r="K6" s="120"/>
      <c r="L6" s="120"/>
      <c r="M6" s="120"/>
      <c r="N6" s="120"/>
      <c r="O6" s="120"/>
      <c r="P6" s="120"/>
    </row>
    <row r="7" spans="1:17" ht="12.75">
      <c r="A7" s="127" t="s">
        <v>87</v>
      </c>
      <c r="B7" s="127" t="s">
        <v>88</v>
      </c>
      <c r="D7" s="120">
        <f>+'II-E-1'!G18</f>
        <v>0</v>
      </c>
      <c r="E7" s="120">
        <f>+'II-E-1'!H18</f>
        <v>0</v>
      </c>
      <c r="F7" s="120">
        <f>+'II-E-1'!I18</f>
        <v>0</v>
      </c>
      <c r="G7" s="120">
        <f>+'II-E-1'!N18</f>
        <v>0</v>
      </c>
      <c r="H7" s="120">
        <f>+'II-E-1'!O18</f>
        <v>0</v>
      </c>
      <c r="I7" s="120">
        <f>+'II-E-1'!P18</f>
        <v>0</v>
      </c>
      <c r="J7" s="120">
        <f>+'II-E-1'!Q18</f>
        <v>0</v>
      </c>
      <c r="K7" s="120">
        <f>+'II-E-1'!R18</f>
        <v>0</v>
      </c>
      <c r="L7" s="120">
        <f>+'II-E-1'!S18</f>
        <v>0</v>
      </c>
      <c r="M7" s="120">
        <f>+'II-E-1'!T18</f>
        <v>0</v>
      </c>
      <c r="N7" s="120">
        <f>+'II-E-1'!U18</f>
        <v>0</v>
      </c>
      <c r="O7" s="120">
        <f>+'II-E-1'!V18</f>
        <v>0</v>
      </c>
      <c r="P7" s="126">
        <f t="shared" si="0" ref="P7:P46">+J7+M7+N7+O7</f>
        <v>0</v>
      </c>
      <c r="Q7" t="b">
        <f>+P7='II-E-1'!W18</f>
        <v>1</v>
      </c>
    </row>
    <row r="8" spans="1:17" ht="12.75">
      <c r="A8" s="127" t="s">
        <v>90</v>
      </c>
      <c r="B8" s="127" t="s">
        <v>205</v>
      </c>
      <c r="D8" s="120">
        <f>+'II-E-1'!G19</f>
        <v>0</v>
      </c>
      <c r="E8" s="120">
        <f>+'II-E-1'!H19</f>
        <v>0</v>
      </c>
      <c r="F8" s="120">
        <f>+'II-E-1'!I19</f>
        <v>0</v>
      </c>
      <c r="G8" s="120">
        <f>+'II-E-1'!N19</f>
        <v>0</v>
      </c>
      <c r="H8" s="120">
        <f>+'II-E-1'!O19</f>
        <v>0</v>
      </c>
      <c r="I8" s="120">
        <f>+'II-E-1'!P19</f>
        <v>0</v>
      </c>
      <c r="J8" s="120">
        <f>+'II-E-1'!Q19</f>
        <v>0</v>
      </c>
      <c r="K8" s="120">
        <f>+'II-E-1'!R19</f>
        <v>0</v>
      </c>
      <c r="L8" s="120">
        <f>+'II-E-1'!S19</f>
        <v>0</v>
      </c>
      <c r="M8" s="120">
        <f>+'II-E-1'!T19</f>
        <v>0</v>
      </c>
      <c r="N8" s="120">
        <f>+'II-E-1'!U19</f>
        <v>0</v>
      </c>
      <c r="O8" s="120">
        <f>+'II-E-1'!V19</f>
        <v>0</v>
      </c>
      <c r="P8" s="126">
        <f t="shared" si="0"/>
        <v>0</v>
      </c>
      <c r="Q8" t="b">
        <f>+P8='II-E-1'!W19</f>
        <v>1</v>
      </c>
    </row>
    <row r="9" spans="1:17" ht="12.75">
      <c r="A9" s="127" t="s">
        <v>91</v>
      </c>
      <c r="B9" s="127" t="s">
        <v>92</v>
      </c>
      <c r="D9" s="120">
        <f>+'II-E-1'!G20</f>
        <v>66473342.299999997</v>
      </c>
      <c r="E9" s="120">
        <f>+'II-E-1'!H20</f>
        <v>14030207.949999999</v>
      </c>
      <c r="F9" s="120">
        <f>+'II-E-1'!I20</f>
        <v>80503550.25</v>
      </c>
      <c r="G9" s="120">
        <f>+'II-E-1'!N20</f>
        <v>25229268.949999999</v>
      </c>
      <c r="H9" s="120">
        <f>+'II-E-1'!O20</f>
        <v>0</v>
      </c>
      <c r="I9" s="120">
        <f>+'II-E-1'!P20</f>
        <v>0</v>
      </c>
      <c r="J9" s="120">
        <f>+'II-E-1'!Q20</f>
        <v>25229268.949999999</v>
      </c>
      <c r="K9" s="120">
        <f>+'II-E-1'!R20</f>
        <v>29112436.41</v>
      </c>
      <c r="L9" s="120">
        <f>+'II-E-1'!S20</f>
        <v>0</v>
      </c>
      <c r="M9" s="120">
        <f>+'II-E-1'!T20</f>
        <v>29112436.41</v>
      </c>
      <c r="N9" s="120">
        <f>+'II-E-1'!U20</f>
        <v>3894383</v>
      </c>
      <c r="O9" s="120">
        <f>+'II-E-1'!V20</f>
        <v>22267461.890000001</v>
      </c>
      <c r="P9" s="126">
        <f t="shared" si="0"/>
        <v>80503550.25</v>
      </c>
      <c r="Q9" t="b">
        <f>+P9='II-E-1'!W20</f>
        <v>1</v>
      </c>
    </row>
    <row r="10" spans="1:17" ht="12.75">
      <c r="A10" s="128" t="s">
        <v>94</v>
      </c>
      <c r="B10" s="128" t="s">
        <v>95</v>
      </c>
      <c r="D10" s="120">
        <f>+'II-E-1'!G25</f>
        <v>4913439.5300000003</v>
      </c>
      <c r="E10" s="120">
        <f>+'II-E-1'!H25</f>
        <v>1109541.6499999999</v>
      </c>
      <c r="F10" s="120">
        <f>+'II-E-1'!I25</f>
        <v>6022981.1799999997</v>
      </c>
      <c r="G10" s="120">
        <f>+'II-E-1'!N25</f>
        <v>5100259.5199999996</v>
      </c>
      <c r="H10" s="120">
        <f>+'II-E-1'!O25</f>
        <v>922721.66000000003</v>
      </c>
      <c r="I10" s="120">
        <f>+'II-E-1'!P25</f>
        <v>0</v>
      </c>
      <c r="J10" s="120">
        <f>+'II-E-1'!Q25</f>
        <v>6022981.1799999997</v>
      </c>
      <c r="K10" s="120">
        <f>+'II-E-1'!R25</f>
        <v>0</v>
      </c>
      <c r="L10" s="120">
        <f>+'II-E-1'!S25</f>
        <v>0</v>
      </c>
      <c r="M10" s="120">
        <f>+'II-E-1'!T25</f>
        <v>0</v>
      </c>
      <c r="N10" s="120">
        <f>+'II-E-1'!U25</f>
        <v>0</v>
      </c>
      <c r="O10" s="120">
        <f>+'II-E-1'!V25</f>
        <v>0</v>
      </c>
      <c r="P10" s="126">
        <f t="shared" si="0"/>
        <v>6022981.1799999997</v>
      </c>
      <c r="Q10" t="b">
        <f>+P10='II-E-1'!W25</f>
        <v>1</v>
      </c>
    </row>
    <row r="11" spans="1:16" ht="12.75">
      <c r="A11" s="128" t="s">
        <v>96</v>
      </c>
      <c r="B11" s="128" t="s">
        <v>93</v>
      </c>
      <c r="D11" s="120">
        <f>+'II-E-1'!G26</f>
        <v>10775221.470000001</v>
      </c>
      <c r="E11" s="120">
        <f>+'II-E-1'!H26</f>
        <v>928205.53000000003</v>
      </c>
      <c r="F11" s="120">
        <f>+'II-E-1'!I26</f>
        <v>11703427</v>
      </c>
      <c r="G11" s="120">
        <f>+'II-E-1'!N26</f>
        <v>8975976.0800000001</v>
      </c>
      <c r="H11" s="120">
        <f>+'II-E-1'!O26</f>
        <v>2684504.6099999999</v>
      </c>
      <c r="I11" s="120">
        <f>+'II-E-1'!P26</f>
        <v>42946.309999999998</v>
      </c>
      <c r="J11" s="120">
        <f>+'II-E-1'!Q26</f>
        <v>11703427</v>
      </c>
      <c r="K11" s="120">
        <f>+'II-E-1'!R26</f>
        <v>0</v>
      </c>
      <c r="L11" s="120">
        <f>+'II-E-1'!S26</f>
        <v>0</v>
      </c>
      <c r="M11" s="120">
        <f>+'II-E-1'!T26</f>
        <v>0</v>
      </c>
      <c r="N11" s="120">
        <f>+'II-E-1'!U26</f>
        <v>0</v>
      </c>
      <c r="O11" s="120">
        <f>+'II-E-1'!V26</f>
        <v>0</v>
      </c>
      <c r="P11" s="126">
        <f t="shared" si="0"/>
        <v>11703427</v>
      </c>
    </row>
    <row r="12" spans="1:16" ht="12.75">
      <c r="A12" s="128" t="s">
        <v>97</v>
      </c>
      <c r="B12" s="128" t="s">
        <v>98</v>
      </c>
      <c r="D12" s="120">
        <f>+'II-E-1'!G27</f>
        <v>92918739.400000006</v>
      </c>
      <c r="E12" s="120">
        <f>+'II-E-1'!H27</f>
        <v>644075.33999999997</v>
      </c>
      <c r="F12" s="120">
        <f>+'II-E-1'!I27</f>
        <v>93562814.74000001</v>
      </c>
      <c r="G12" s="120">
        <f>+'II-E-1'!N27</f>
        <v>74546797.340000004</v>
      </c>
      <c r="H12" s="120">
        <f>+'II-E-1'!O27</f>
        <v>7636960.5800000001</v>
      </c>
      <c r="I12" s="120">
        <f>+'II-E-1'!P27</f>
        <v>865432.82999999996</v>
      </c>
      <c r="J12" s="120">
        <f>+'II-E-1'!Q27</f>
        <v>83049190.75</v>
      </c>
      <c r="K12" s="120">
        <f>+'II-E-1'!R27</f>
        <v>9346418.3000000007</v>
      </c>
      <c r="L12" s="120">
        <f>+'II-E-1'!S27</f>
        <v>1167205.6899999999</v>
      </c>
      <c r="M12" s="120">
        <f>+'II-E-1'!T27</f>
        <v>10513623.99</v>
      </c>
      <c r="N12" s="120">
        <f>+'II-E-1'!U27</f>
        <v>0</v>
      </c>
      <c r="O12" s="120">
        <f>+'II-E-1'!V27</f>
        <v>0</v>
      </c>
      <c r="P12" s="126">
        <f t="shared" si="0"/>
        <v>93562814.739999995</v>
      </c>
    </row>
    <row r="13" spans="1:16" ht="12.75">
      <c r="A13" s="128" t="s">
        <v>99</v>
      </c>
      <c r="B13" s="128" t="s">
        <v>100</v>
      </c>
      <c r="D13" s="120">
        <f>+'II-E-1'!G28</f>
        <v>40488982.020000003</v>
      </c>
      <c r="E13" s="120">
        <f>+'II-E-1'!H28</f>
        <v>-2748148.6699999999</v>
      </c>
      <c r="F13" s="120">
        <f>+'II-E-1'!I28</f>
        <v>37740833.350000001</v>
      </c>
      <c r="G13" s="120">
        <f>+'II-E-1'!N28</f>
        <v>28031957.32</v>
      </c>
      <c r="H13" s="120">
        <f>+'II-E-1'!O28</f>
        <v>9708876.0299999993</v>
      </c>
      <c r="I13" s="120">
        <f>+'II-E-1'!P28</f>
        <v>0</v>
      </c>
      <c r="J13" s="120">
        <f>+'II-E-1'!Q28</f>
        <v>37740833.350000001</v>
      </c>
      <c r="K13" s="120">
        <f>+'II-E-1'!R28</f>
        <v>0</v>
      </c>
      <c r="L13" s="120">
        <f>+'II-E-1'!S28</f>
        <v>0</v>
      </c>
      <c r="M13" s="120">
        <f>+'II-E-1'!T28</f>
        <v>0</v>
      </c>
      <c r="N13" s="120">
        <f>+'II-E-1'!U28</f>
        <v>0</v>
      </c>
      <c r="O13" s="120">
        <f>+'II-E-1'!V28</f>
        <v>0</v>
      </c>
      <c r="P13" s="126">
        <f t="shared" si="0"/>
        <v>37740833.350000001</v>
      </c>
    </row>
    <row r="14" spans="1:16" ht="12.75">
      <c r="A14" s="128" t="s">
        <v>101</v>
      </c>
      <c r="B14" s="128" t="s">
        <v>102</v>
      </c>
      <c r="D14" s="120">
        <f>+'II-E-1'!G29</f>
        <v>106002253.68000001</v>
      </c>
      <c r="E14" s="120">
        <f>+'II-E-1'!H29</f>
        <v>-16137941.279999999</v>
      </c>
      <c r="F14" s="120">
        <f>+'II-E-1'!I29</f>
        <v>89864312.400000006</v>
      </c>
      <c r="G14" s="120">
        <f>+'II-E-1'!N29</f>
        <v>82845413.170000002</v>
      </c>
      <c r="H14" s="120">
        <f>+'II-E-1'!O29</f>
        <v>7018899.2300000004</v>
      </c>
      <c r="I14" s="120">
        <f>+'II-E-1'!P29</f>
        <v>0</v>
      </c>
      <c r="J14" s="120">
        <f>+'II-E-1'!Q29</f>
        <v>89864312.400000006</v>
      </c>
      <c r="K14" s="120">
        <f>+'II-E-1'!R29</f>
        <v>0</v>
      </c>
      <c r="L14" s="120">
        <f>+'II-E-1'!S29</f>
        <v>0</v>
      </c>
      <c r="M14" s="120">
        <f>+'II-E-1'!T29</f>
        <v>0</v>
      </c>
      <c r="N14" s="120">
        <f>+'II-E-1'!U29</f>
        <v>0</v>
      </c>
      <c r="O14" s="120">
        <f>+'II-E-1'!V29</f>
        <v>0</v>
      </c>
      <c r="P14" s="126">
        <f t="shared" si="0"/>
        <v>89864312.400000006</v>
      </c>
    </row>
    <row r="15" spans="1:16" ht="12.75">
      <c r="A15" s="128" t="s">
        <v>103</v>
      </c>
      <c r="B15" s="128" t="s">
        <v>104</v>
      </c>
      <c r="D15" s="120">
        <f>+'II-E-1'!G30</f>
        <v>97114930.790000007</v>
      </c>
      <c r="E15" s="120">
        <f>+'II-E-1'!H30</f>
        <v>-14419884.41</v>
      </c>
      <c r="F15" s="120">
        <f>+'II-E-1'!I30</f>
        <v>82695046.38000001</v>
      </c>
      <c r="G15" s="120">
        <f>+'II-E-1'!N30</f>
        <v>70542836.260000005</v>
      </c>
      <c r="H15" s="120">
        <f>+'II-E-1'!O30</f>
        <v>12152210.119999999</v>
      </c>
      <c r="I15" s="120">
        <f>+'II-E-1'!P30</f>
        <v>0</v>
      </c>
      <c r="J15" s="120">
        <f>+'II-E-1'!Q30</f>
        <v>82695046.38000001</v>
      </c>
      <c r="K15" s="120">
        <f>+'II-E-1'!R30</f>
        <v>0</v>
      </c>
      <c r="L15" s="120">
        <f>+'II-E-1'!S30</f>
        <v>0</v>
      </c>
      <c r="M15" s="120">
        <f>+'II-E-1'!T30</f>
        <v>0</v>
      </c>
      <c r="N15" s="120">
        <f>+'II-E-1'!U30</f>
        <v>0</v>
      </c>
      <c r="O15" s="120">
        <f>+'II-E-1'!V30</f>
        <v>0</v>
      </c>
      <c r="P15" s="126">
        <f t="shared" si="0"/>
        <v>82695046.38000001</v>
      </c>
    </row>
    <row r="16" spans="1:16" ht="12.75">
      <c r="A16" s="128" t="s">
        <v>105</v>
      </c>
      <c r="B16" s="128" t="s">
        <v>106</v>
      </c>
      <c r="D16" s="120">
        <f>+'II-E-1'!G31</f>
        <v>1240955.0700000001</v>
      </c>
      <c r="E16" s="120">
        <f>+'II-E-1'!H31</f>
        <v>-184350.10999999999</v>
      </c>
      <c r="F16" s="120">
        <f>+'II-E-1'!I31</f>
        <v>1056604.96</v>
      </c>
      <c r="G16" s="120">
        <f>+'II-E-1'!N31</f>
        <v>1056604.96</v>
      </c>
      <c r="H16" s="120">
        <f>+'II-E-1'!O31</f>
        <v>0</v>
      </c>
      <c r="I16" s="120">
        <f>+'II-E-1'!P31</f>
        <v>0</v>
      </c>
      <c r="J16" s="120">
        <f>+'II-E-1'!Q31</f>
        <v>1056604.96</v>
      </c>
      <c r="K16" s="120">
        <f>+'II-E-1'!R31</f>
        <v>0</v>
      </c>
      <c r="L16" s="120">
        <f>+'II-E-1'!S31</f>
        <v>0</v>
      </c>
      <c r="M16" s="120">
        <f>+'II-E-1'!T31</f>
        <v>0</v>
      </c>
      <c r="N16" s="120">
        <f>+'II-E-1'!U31</f>
        <v>0</v>
      </c>
      <c r="O16" s="120">
        <f>+'II-E-1'!V31</f>
        <v>0</v>
      </c>
      <c r="P16" s="126">
        <f t="shared" si="0"/>
        <v>1056604.96</v>
      </c>
    </row>
    <row r="17" spans="1:16" ht="12.75">
      <c r="A17" s="128" t="s">
        <v>107</v>
      </c>
      <c r="B17" s="128" t="s">
        <v>108</v>
      </c>
      <c r="D17" s="120">
        <f>+'II-E-1'!G32</f>
        <v>2161130.75</v>
      </c>
      <c r="E17" s="120">
        <f>+'II-E-1'!H32</f>
        <v>-245699.64999999999</v>
      </c>
      <c r="F17" s="120">
        <f>+'II-E-1'!I32</f>
        <v>1915431.1000000001</v>
      </c>
      <c r="G17" s="120">
        <f>+'II-E-1'!N32</f>
        <v>1915431.1000000001</v>
      </c>
      <c r="H17" s="120">
        <f>+'II-E-1'!O32</f>
        <v>0</v>
      </c>
      <c r="I17" s="120">
        <f>+'II-E-1'!P32</f>
        <v>0</v>
      </c>
      <c r="J17" s="120">
        <f>+'II-E-1'!Q32</f>
        <v>1915431.1000000001</v>
      </c>
      <c r="K17" s="120">
        <f>+'II-E-1'!R32</f>
        <v>0</v>
      </c>
      <c r="L17" s="120">
        <f>+'II-E-1'!S32</f>
        <v>0</v>
      </c>
      <c r="M17" s="120">
        <f>+'II-E-1'!T32</f>
        <v>0</v>
      </c>
      <c r="N17" s="120">
        <f>+'II-E-1'!U32</f>
        <v>0</v>
      </c>
      <c r="O17" s="120">
        <f>+'II-E-1'!V32</f>
        <v>0</v>
      </c>
      <c r="P17" s="126">
        <f t="shared" si="0"/>
        <v>1915431.1000000001</v>
      </c>
    </row>
    <row r="18" spans="1:16" ht="12.75">
      <c r="A18" s="128" t="s">
        <v>109</v>
      </c>
      <c r="B18" s="128" t="s">
        <v>110</v>
      </c>
      <c r="D18" s="120">
        <f>+'II-E-1'!G33</f>
        <v>0</v>
      </c>
      <c r="E18" s="120">
        <f>+'II-E-1'!H33</f>
        <v>0</v>
      </c>
      <c r="F18" s="120">
        <f>+'II-E-1'!I33</f>
        <v>0</v>
      </c>
      <c r="G18" s="120">
        <f>+'II-E-1'!N33</f>
        <v>0</v>
      </c>
      <c r="H18" s="120">
        <f>+'II-E-1'!O33</f>
        <v>0</v>
      </c>
      <c r="I18" s="120">
        <f>+'II-E-1'!P33</f>
        <v>0</v>
      </c>
      <c r="J18" s="120">
        <f>+'II-E-1'!Q33</f>
        <v>0</v>
      </c>
      <c r="K18" s="120">
        <f>+'II-E-1'!R33</f>
        <v>0</v>
      </c>
      <c r="L18" s="120">
        <f>+'II-E-1'!S33</f>
        <v>0</v>
      </c>
      <c r="M18" s="120">
        <f>+'II-E-1'!T33</f>
        <v>0</v>
      </c>
      <c r="N18" s="120">
        <f>+'II-E-1'!U33</f>
        <v>0</v>
      </c>
      <c r="O18" s="120">
        <f>+'II-E-1'!V33</f>
        <v>0</v>
      </c>
      <c r="P18" s="126">
        <f t="shared" si="0"/>
        <v>0</v>
      </c>
    </row>
    <row r="19" spans="1:16" ht="12.75">
      <c r="A19" s="129" t="s">
        <v>111</v>
      </c>
      <c r="B19" s="129" t="s">
        <v>95</v>
      </c>
      <c r="D19" s="120">
        <f>+'II-E-1'!G39</f>
        <v>281466.77000000002</v>
      </c>
      <c r="E19" s="120">
        <f>+'II-E-1'!H39</f>
        <v>29562.73</v>
      </c>
      <c r="F19" s="120">
        <f>+'II-E-1'!I39</f>
        <v>311029.5</v>
      </c>
      <c r="G19" s="120">
        <f>+'II-E-1'!N39</f>
        <v>18272.91</v>
      </c>
      <c r="H19" s="120">
        <f>+'II-E-1'!O39</f>
        <v>0</v>
      </c>
      <c r="I19" s="120">
        <f>+'II-E-1'!P39</f>
        <v>0</v>
      </c>
      <c r="J19" s="120">
        <f>+'II-E-1'!Q39</f>
        <v>18272.91</v>
      </c>
      <c r="K19" s="120">
        <f>+'II-E-1'!R39</f>
        <v>292756.59000000003</v>
      </c>
      <c r="L19" s="120">
        <f>+'II-E-1'!S39</f>
        <v>0</v>
      </c>
      <c r="M19" s="120">
        <f>+'II-E-1'!T39</f>
        <v>292756.59000000003</v>
      </c>
      <c r="N19" s="120">
        <f>+'II-E-1'!U39</f>
        <v>0</v>
      </c>
      <c r="O19" s="120">
        <f>+'II-E-1'!V39</f>
        <v>0</v>
      </c>
      <c r="P19" s="126">
        <f t="shared" si="0"/>
        <v>311029.5</v>
      </c>
    </row>
    <row r="20" spans="1:16" ht="12.75">
      <c r="A20" s="129" t="s">
        <v>112</v>
      </c>
      <c r="B20" s="129" t="s">
        <v>93</v>
      </c>
      <c r="D20" s="120">
        <f>+'II-E-1'!G40</f>
        <v>4542781.0300000003</v>
      </c>
      <c r="E20" s="120">
        <f>+'II-E-1'!H40</f>
        <v>208729.66</v>
      </c>
      <c r="F20" s="120">
        <f>+'II-E-1'!I40</f>
        <v>4751510.6900000004</v>
      </c>
      <c r="G20" s="120">
        <f>+'II-E-1'!N40</f>
        <v>1108084.46</v>
      </c>
      <c r="H20" s="120">
        <f>+'II-E-1'!O40</f>
        <v>334391.34000000003</v>
      </c>
      <c r="I20" s="120">
        <f>+'II-E-1'!P40</f>
        <v>0</v>
      </c>
      <c r="J20" s="120">
        <f>+'II-E-1'!Q40</f>
        <v>1442475.8000000001</v>
      </c>
      <c r="K20" s="120">
        <f>+'II-E-1'!R40</f>
        <v>2856983.6299999999</v>
      </c>
      <c r="L20" s="120">
        <f>+'II-E-1'!S40</f>
        <v>452051.26000000001</v>
      </c>
      <c r="M20" s="120">
        <f>+'II-E-1'!T40</f>
        <v>3309034.8899999997</v>
      </c>
      <c r="N20" s="120">
        <f>+'II-E-1'!U40</f>
        <v>0</v>
      </c>
      <c r="O20" s="120">
        <f>+'II-E-1'!V40</f>
        <v>0</v>
      </c>
      <c r="P20" s="126">
        <f t="shared" si="0"/>
        <v>4751510.6899999995</v>
      </c>
    </row>
    <row r="21" spans="1:16" ht="12.75">
      <c r="A21" s="129" t="s">
        <v>113</v>
      </c>
      <c r="B21" s="129" t="s">
        <v>98</v>
      </c>
      <c r="D21" s="120">
        <f>+'II-E-1'!G41</f>
        <v>39554852.890000001</v>
      </c>
      <c r="E21" s="120">
        <f>+'II-E-1'!H41</f>
        <v>11244352.279999999</v>
      </c>
      <c r="F21" s="120">
        <f>+'II-E-1'!I41</f>
        <v>50799205.170000002</v>
      </c>
      <c r="G21" s="120">
        <f>+'II-E-1'!N41</f>
        <v>11922944.300000001</v>
      </c>
      <c r="H21" s="120">
        <f>+'II-E-1'!O41</f>
        <v>818319.29000000004</v>
      </c>
      <c r="I21" s="120">
        <f>+'II-E-1'!P41</f>
        <v>0</v>
      </c>
      <c r="J21" s="120">
        <f>+'II-E-1'!Q41</f>
        <v>12741263.59</v>
      </c>
      <c r="K21" s="120">
        <f>+'II-E-1'!R41</f>
        <v>36683880.890000001</v>
      </c>
      <c r="L21" s="120">
        <f>+'II-E-1'!S41</f>
        <v>1374060.6899999999</v>
      </c>
      <c r="M21" s="120">
        <f>+'II-E-1'!T41</f>
        <v>38057941.579999998</v>
      </c>
      <c r="N21" s="120">
        <f>+'II-E-1'!U41</f>
        <v>0</v>
      </c>
      <c r="O21" s="120">
        <f>+'II-E-1'!V41</f>
        <v>0</v>
      </c>
      <c r="P21" s="126">
        <f t="shared" si="0"/>
        <v>50799205.170000002</v>
      </c>
    </row>
    <row r="22" spans="1:16" ht="12.75">
      <c r="A22" s="129" t="s">
        <v>114</v>
      </c>
      <c r="B22" s="129" t="s">
        <v>115</v>
      </c>
      <c r="D22" s="120">
        <f>+'II-E-1'!G42</f>
        <v>0</v>
      </c>
      <c r="E22" s="120">
        <f>+'II-E-1'!H42</f>
        <v>0</v>
      </c>
      <c r="F22" s="120">
        <f>+'II-E-1'!I42</f>
        <v>0</v>
      </c>
      <c r="G22" s="120">
        <f>+'II-E-1'!N42</f>
        <v>0</v>
      </c>
      <c r="H22" s="120">
        <f>+'II-E-1'!O42</f>
        <v>0</v>
      </c>
      <c r="I22" s="120">
        <f>+'II-E-1'!P42</f>
        <v>0</v>
      </c>
      <c r="J22" s="120">
        <f>+'II-E-1'!Q42</f>
        <v>0</v>
      </c>
      <c r="K22" s="120">
        <f>+'II-E-1'!R42</f>
        <v>0</v>
      </c>
      <c r="L22" s="120">
        <f>+'II-E-1'!S42</f>
        <v>0</v>
      </c>
      <c r="M22" s="120">
        <f>+'II-E-1'!T42</f>
        <v>0</v>
      </c>
      <c r="N22" s="120">
        <f>+'II-E-1'!U42</f>
        <v>0</v>
      </c>
      <c r="O22" s="120">
        <f>+'II-E-1'!V42</f>
        <v>0</v>
      </c>
      <c r="P22" s="126">
        <f t="shared" si="0"/>
        <v>0</v>
      </c>
    </row>
    <row r="23" spans="1:16" ht="12.75">
      <c r="A23" s="129" t="s">
        <v>116</v>
      </c>
      <c r="B23" s="129" t="s">
        <v>117</v>
      </c>
      <c r="D23" s="120">
        <f>+'II-E-1'!G43</f>
        <v>74733174.650000006</v>
      </c>
      <c r="E23" s="120">
        <f>+'II-E-1'!H43</f>
        <v>20353503.780000001</v>
      </c>
      <c r="F23" s="120">
        <f>+'II-E-1'!I43</f>
        <v>95086678.430000007</v>
      </c>
      <c r="G23" s="120">
        <f>+'II-E-1'!N43</f>
        <v>0</v>
      </c>
      <c r="H23" s="120">
        <f>+'II-E-1'!O43</f>
        <v>0</v>
      </c>
      <c r="I23" s="120">
        <f>+'II-E-1'!P43</f>
        <v>0</v>
      </c>
      <c r="J23" s="120">
        <f>+'II-E-1'!Q43</f>
        <v>0</v>
      </c>
      <c r="K23" s="120">
        <f>+'II-E-1'!R43</f>
        <v>95063645.810000002</v>
      </c>
      <c r="L23" s="120">
        <f>+'II-E-1'!S43</f>
        <v>23032.619999999999</v>
      </c>
      <c r="M23" s="120">
        <f>+'II-E-1'!T43</f>
        <v>95086678.430000007</v>
      </c>
      <c r="N23" s="120">
        <f>+'II-E-1'!U43</f>
        <v>0</v>
      </c>
      <c r="O23" s="120">
        <f>+'II-E-1'!V43</f>
        <v>0</v>
      </c>
      <c r="P23" s="126">
        <f t="shared" si="0"/>
        <v>95086678.430000007</v>
      </c>
    </row>
    <row r="24" spans="1:16" ht="12.75">
      <c r="A24" s="129" t="s">
        <v>118</v>
      </c>
      <c r="B24" s="129" t="s">
        <v>104</v>
      </c>
      <c r="D24" s="120">
        <f>+'II-E-1'!G44</f>
        <v>45802707.130000003</v>
      </c>
      <c r="E24" s="120">
        <f>+'II-E-1'!H44</f>
        <v>7586839.7199999997</v>
      </c>
      <c r="F24" s="120">
        <f>+'II-E-1'!I44</f>
        <v>53389546.850000001</v>
      </c>
      <c r="G24" s="120">
        <f>+'II-E-1'!N44</f>
        <v>0</v>
      </c>
      <c r="H24" s="120">
        <f>+'II-E-1'!O44</f>
        <v>0</v>
      </c>
      <c r="I24" s="120">
        <f>+'II-E-1'!P44</f>
        <v>0</v>
      </c>
      <c r="J24" s="120">
        <f>+'II-E-1'!Q44</f>
        <v>0</v>
      </c>
      <c r="K24" s="120">
        <f>+'II-E-1'!R44</f>
        <v>53354376.829999998</v>
      </c>
      <c r="L24" s="120">
        <f>+'II-E-1'!S44</f>
        <v>35170.019999999997</v>
      </c>
      <c r="M24" s="120">
        <f>+'II-E-1'!T44</f>
        <v>53389546.850000001</v>
      </c>
      <c r="N24" s="120">
        <f>+'II-E-1'!U44</f>
        <v>0</v>
      </c>
      <c r="O24" s="120">
        <f>+'II-E-1'!V44</f>
        <v>0</v>
      </c>
      <c r="P24" s="126">
        <f t="shared" si="0"/>
        <v>53389546.850000001</v>
      </c>
    </row>
    <row r="25" spans="1:16" ht="12.75">
      <c r="A25" s="129" t="s">
        <v>119</v>
      </c>
      <c r="B25" s="129" t="s">
        <v>120</v>
      </c>
      <c r="D25" s="120">
        <f>+'II-E-1'!G45</f>
        <v>19956854.43</v>
      </c>
      <c r="E25" s="120">
        <f>+'II-E-1'!H45</f>
        <v>3633848.8900000001</v>
      </c>
      <c r="F25" s="120">
        <f>+'II-E-1'!I45</f>
        <v>23590703.32</v>
      </c>
      <c r="G25" s="120">
        <f>+'II-E-1'!N45</f>
        <v>0</v>
      </c>
      <c r="H25" s="120">
        <f>+'II-E-1'!O45</f>
        <v>0</v>
      </c>
      <c r="I25" s="120">
        <f>+'II-E-1'!P45</f>
        <v>0</v>
      </c>
      <c r="J25" s="120">
        <f>+'II-E-1'!Q45</f>
        <v>0</v>
      </c>
      <c r="K25" s="120">
        <f>+'II-E-1'!R45</f>
        <v>23578853.789999999</v>
      </c>
      <c r="L25" s="120">
        <f>+'II-E-1'!S45</f>
        <v>11849.530000000001</v>
      </c>
      <c r="M25" s="120">
        <f>+'II-E-1'!T45</f>
        <v>23590703.32</v>
      </c>
      <c r="N25" s="120">
        <f>+'II-E-1'!U45</f>
        <v>0</v>
      </c>
      <c r="O25" s="120">
        <f>+'II-E-1'!V45</f>
        <v>0</v>
      </c>
      <c r="P25" s="126">
        <f t="shared" si="0"/>
        <v>23590703.32</v>
      </c>
    </row>
    <row r="26" spans="1:16" ht="12.75">
      <c r="A26" s="129" t="s">
        <v>121</v>
      </c>
      <c r="B26" s="129" t="s">
        <v>122</v>
      </c>
      <c r="D26" s="120">
        <f>+'II-E-1'!G46</f>
        <v>63649774.159999996</v>
      </c>
      <c r="E26" s="120">
        <f>+'II-E-1'!H46</f>
        <v>-6872861.5999999996</v>
      </c>
      <c r="F26" s="120">
        <f>+'II-E-1'!I46</f>
        <v>56776912.559999995</v>
      </c>
      <c r="G26" s="120">
        <f>+'II-E-1'!N46</f>
        <v>0</v>
      </c>
      <c r="H26" s="120">
        <f>+'II-E-1'!O46</f>
        <v>0</v>
      </c>
      <c r="I26" s="120">
        <f>+'II-E-1'!P46</f>
        <v>0</v>
      </c>
      <c r="J26" s="120">
        <f>+'II-E-1'!Q46</f>
        <v>0</v>
      </c>
      <c r="K26" s="120">
        <f>+'II-E-1'!R46</f>
        <v>56736034.090000004</v>
      </c>
      <c r="L26" s="120">
        <f>+'II-E-1'!S46</f>
        <v>40878.470000000001</v>
      </c>
      <c r="M26" s="120">
        <f>+'II-E-1'!T46</f>
        <v>56776912.560000002</v>
      </c>
      <c r="N26" s="120">
        <f>+'II-E-1'!U46</f>
        <v>0</v>
      </c>
      <c r="O26" s="120">
        <f>+'II-E-1'!V46</f>
        <v>0</v>
      </c>
      <c r="P26" s="126">
        <f t="shared" si="0"/>
        <v>56776912.560000002</v>
      </c>
    </row>
    <row r="27" spans="1:16" ht="12.75">
      <c r="A27" s="129" t="s">
        <v>123</v>
      </c>
      <c r="B27" s="129" t="s">
        <v>124</v>
      </c>
      <c r="D27" s="120">
        <f>+'II-E-1'!G47</f>
        <v>57024701.850000001</v>
      </c>
      <c r="E27" s="120">
        <f>+'II-E-1'!H47</f>
        <v>-320946.97999999998</v>
      </c>
      <c r="F27" s="120">
        <f>+'II-E-1'!I47</f>
        <v>56703754.870000005</v>
      </c>
      <c r="G27" s="120">
        <f>+'II-E-1'!N47</f>
        <v>0</v>
      </c>
      <c r="H27" s="120">
        <f>+'II-E-1'!O47</f>
        <v>0</v>
      </c>
      <c r="I27" s="120">
        <f>+'II-E-1'!P47</f>
        <v>0</v>
      </c>
      <c r="J27" s="120">
        <f>+'II-E-1'!Q47</f>
        <v>0</v>
      </c>
      <c r="K27" s="120">
        <f>+'II-E-1'!R47</f>
        <v>56703640.140000001</v>
      </c>
      <c r="L27" s="120">
        <f>+'II-E-1'!S47</f>
        <v>114.73</v>
      </c>
      <c r="M27" s="120">
        <f>+'II-E-1'!T47</f>
        <v>56703754.869999997</v>
      </c>
      <c r="N27" s="120">
        <f>+'II-E-1'!U47</f>
        <v>0</v>
      </c>
      <c r="O27" s="120">
        <f>+'II-E-1'!V47</f>
        <v>0</v>
      </c>
      <c r="P27" s="126">
        <f t="shared" si="0"/>
        <v>56703754.869999997</v>
      </c>
    </row>
    <row r="28" spans="1:16" ht="12.75">
      <c r="A28" s="129" t="s">
        <v>125</v>
      </c>
      <c r="B28" s="129" t="s">
        <v>126</v>
      </c>
      <c r="D28" s="120">
        <f>+'II-E-1'!G48</f>
        <v>44489242.560000002</v>
      </c>
      <c r="E28" s="120">
        <f>+'II-E-1'!H48</f>
        <v>5757477.7199999997</v>
      </c>
      <c r="F28" s="120">
        <f>+'II-E-1'!I48</f>
        <v>50246720.280000001</v>
      </c>
      <c r="G28" s="120">
        <f>+'II-E-1'!N48</f>
        <v>0</v>
      </c>
      <c r="H28" s="120">
        <f>+'II-E-1'!O48</f>
        <v>0</v>
      </c>
      <c r="I28" s="120">
        <f>+'II-E-1'!P48</f>
        <v>0</v>
      </c>
      <c r="J28" s="120">
        <f>+'II-E-1'!Q48</f>
        <v>0</v>
      </c>
      <c r="K28" s="120">
        <f>+'II-E-1'!R48</f>
        <v>50246720.280000001</v>
      </c>
      <c r="L28" s="120">
        <f>+'II-E-1'!S48</f>
        <v>0</v>
      </c>
      <c r="M28" s="120">
        <f>+'II-E-1'!T48</f>
        <v>50246720.280000001</v>
      </c>
      <c r="N28" s="120">
        <f>+'II-E-1'!U48</f>
        <v>0</v>
      </c>
      <c r="O28" s="120">
        <f>+'II-E-1'!V48</f>
        <v>0</v>
      </c>
      <c r="P28" s="126">
        <f t="shared" si="0"/>
        <v>50246720.280000001</v>
      </c>
    </row>
    <row r="29" spans="1:16" ht="12.75">
      <c r="A29" s="129" t="s">
        <v>127</v>
      </c>
      <c r="B29" s="129" t="s">
        <v>128</v>
      </c>
      <c r="D29" s="120">
        <f>+'II-E-1'!G49</f>
        <v>13791584.69</v>
      </c>
      <c r="E29" s="120">
        <f>+'II-E-1'!H49</f>
        <v>3403710.1499999999</v>
      </c>
      <c r="F29" s="120">
        <f>+'II-E-1'!I49</f>
        <v>17195294.84</v>
      </c>
      <c r="G29" s="120">
        <f>+'II-E-1'!N49</f>
        <v>0</v>
      </c>
      <c r="H29" s="120">
        <f>+'II-E-1'!O49</f>
        <v>0</v>
      </c>
      <c r="I29" s="120">
        <f>+'II-E-1'!P49</f>
        <v>0</v>
      </c>
      <c r="J29" s="120">
        <f>+'II-E-1'!Q49</f>
        <v>0</v>
      </c>
      <c r="K29" s="120">
        <f>+'II-E-1'!R49</f>
        <v>0</v>
      </c>
      <c r="L29" s="120">
        <f>+'II-E-1'!S49</f>
        <v>0</v>
      </c>
      <c r="M29" s="120">
        <f>+'II-E-1'!T49</f>
        <v>0</v>
      </c>
      <c r="N29" s="120">
        <f>+'II-E-1'!U49</f>
        <v>17195294.84</v>
      </c>
      <c r="O29" s="120">
        <f>+'II-E-1'!V49</f>
        <v>0</v>
      </c>
      <c r="P29" s="126">
        <f t="shared" si="0"/>
        <v>17195294.84</v>
      </c>
    </row>
    <row r="30" spans="1:16" ht="12.75">
      <c r="A30" s="129" t="s">
        <v>129</v>
      </c>
      <c r="B30" s="129" t="s">
        <v>130</v>
      </c>
      <c r="D30" s="120">
        <f>+'II-E-1'!G50</f>
        <v>1571209.6100000001</v>
      </c>
      <c r="E30" s="120">
        <f>+'II-E-1'!H50</f>
        <v>818933.81000000006</v>
      </c>
      <c r="F30" s="120">
        <f>+'II-E-1'!I50</f>
        <v>2390143.4199999999</v>
      </c>
      <c r="G30" s="120">
        <f>+'II-E-1'!N50</f>
        <v>0</v>
      </c>
      <c r="H30" s="120">
        <f>+'II-E-1'!O50</f>
        <v>0</v>
      </c>
      <c r="I30" s="120">
        <f>+'II-E-1'!P50</f>
        <v>0</v>
      </c>
      <c r="J30" s="120">
        <f>+'II-E-1'!Q50</f>
        <v>0</v>
      </c>
      <c r="K30" s="120">
        <f>+'II-E-1'!R50</f>
        <v>2390143.4199999999</v>
      </c>
      <c r="L30" s="120">
        <f>+'II-E-1'!S50</f>
        <v>0</v>
      </c>
      <c r="M30" s="120">
        <f>+'II-E-1'!T50</f>
        <v>2390143.4199999999</v>
      </c>
      <c r="N30" s="120">
        <f>+'II-E-1'!U50</f>
        <v>0</v>
      </c>
      <c r="O30" s="120">
        <f>+'II-E-1'!V50</f>
        <v>0</v>
      </c>
      <c r="P30" s="126">
        <f t="shared" si="0"/>
        <v>2390143.4199999999</v>
      </c>
    </row>
    <row r="31" spans="1:16" ht="12.75">
      <c r="A31" s="129" t="s">
        <v>131</v>
      </c>
      <c r="B31" s="129" t="s">
        <v>132</v>
      </c>
      <c r="D31" s="120">
        <f>+'II-E-1'!G51</f>
        <v>0</v>
      </c>
      <c r="E31" s="120">
        <f>+'II-E-1'!H51</f>
        <v>0</v>
      </c>
      <c r="F31" s="120">
        <f>+'II-E-1'!I51</f>
        <v>0</v>
      </c>
      <c r="G31" s="120">
        <f>+'II-E-1'!N51</f>
        <v>0</v>
      </c>
      <c r="H31" s="120">
        <f>+'II-E-1'!O51</f>
        <v>0</v>
      </c>
      <c r="I31" s="120">
        <f>+'II-E-1'!P51</f>
        <v>0</v>
      </c>
      <c r="J31" s="120">
        <f>+'II-E-1'!Q51</f>
        <v>0</v>
      </c>
      <c r="K31" s="120">
        <f>+'II-E-1'!R51</f>
        <v>0</v>
      </c>
      <c r="L31" s="120">
        <f>+'II-E-1'!S51</f>
        <v>0</v>
      </c>
      <c r="M31" s="120">
        <f>+'II-E-1'!T51</f>
        <v>0</v>
      </c>
      <c r="N31" s="120">
        <f>+'II-E-1'!U51</f>
        <v>0</v>
      </c>
      <c r="O31" s="120">
        <f>+'II-E-1'!V51</f>
        <v>0</v>
      </c>
      <c r="P31" s="126">
        <f t="shared" si="0"/>
        <v>0</v>
      </c>
    </row>
    <row r="32" spans="1:16" ht="12.75">
      <c r="A32" s="129" t="s">
        <v>158</v>
      </c>
      <c r="B32" s="129" t="s">
        <v>133</v>
      </c>
      <c r="D32" s="120">
        <f>+'II-E-1'!G52</f>
        <v>15830672.6</v>
      </c>
      <c r="E32" s="120">
        <f>+'II-E-1'!H52</f>
        <v>5183362.7699999996</v>
      </c>
      <c r="F32" s="120">
        <f>+'II-E-1'!I52</f>
        <v>21014035.369999997</v>
      </c>
      <c r="G32" s="120">
        <f>+'II-E-1'!N52</f>
        <v>0</v>
      </c>
      <c r="H32" s="120">
        <f>+'II-E-1'!O52</f>
        <v>0</v>
      </c>
      <c r="I32" s="120">
        <f>+'II-E-1'!P52</f>
        <v>0</v>
      </c>
      <c r="J32" s="120">
        <f>+'II-E-1'!Q52</f>
        <v>0</v>
      </c>
      <c r="K32" s="120">
        <f>+'II-E-1'!R52</f>
        <v>21013686.960000001</v>
      </c>
      <c r="L32" s="120">
        <f>+'II-E-1'!S52</f>
        <v>348.41000000000003</v>
      </c>
      <c r="M32" s="120">
        <f>+'II-E-1'!T52</f>
        <v>21014035.370000001</v>
      </c>
      <c r="N32" s="120">
        <f>+'II-E-1'!U52</f>
        <v>0</v>
      </c>
      <c r="O32" s="120">
        <f>+'II-E-1'!V52</f>
        <v>0</v>
      </c>
      <c r="P32" s="126">
        <f t="shared" si="0"/>
        <v>21014035.370000001</v>
      </c>
    </row>
    <row r="33" spans="1:16" ht="12.75">
      <c r="A33" s="130" t="s">
        <v>214</v>
      </c>
      <c r="B33" s="130" t="s">
        <v>95</v>
      </c>
      <c r="D33" s="120">
        <f>+'II-E-1'!G58</f>
        <v>2971.3099999999999</v>
      </c>
      <c r="E33" s="120">
        <f>+'II-E-1'!H58</f>
        <v>-54.960000000000001</v>
      </c>
      <c r="F33" s="120">
        <f>+'II-E-1'!I58</f>
        <v>2916.3499999999999</v>
      </c>
      <c r="G33" s="120">
        <f>+'II-E-1'!N58</f>
        <v>1237.1900000000001</v>
      </c>
      <c r="H33" s="120">
        <f>+'II-E-1'!O58</f>
        <v>0</v>
      </c>
      <c r="I33" s="120">
        <f>+'II-E-1'!P58</f>
        <v>0</v>
      </c>
      <c r="J33" s="120">
        <f>+'II-E-1'!Q58</f>
        <v>1237.1900000000001</v>
      </c>
      <c r="K33" s="120">
        <f>+'II-E-1'!R58</f>
        <v>1610.53</v>
      </c>
      <c r="L33" s="120">
        <f>+'II-E-1'!S58</f>
        <v>0</v>
      </c>
      <c r="M33" s="120">
        <f>+'II-E-1'!T58</f>
        <v>1610.53</v>
      </c>
      <c r="N33" s="120">
        <f>+'II-E-1'!U58</f>
        <v>68.370000000000005</v>
      </c>
      <c r="O33" s="120">
        <f>+'II-E-1'!V58</f>
        <v>0.26000000000000001</v>
      </c>
      <c r="P33" s="126">
        <f t="shared" si="0"/>
        <v>2916.3500000000004</v>
      </c>
    </row>
    <row r="34" spans="1:16" ht="12.75">
      <c r="A34" s="130" t="s">
        <v>134</v>
      </c>
      <c r="B34" s="130" t="s">
        <v>93</v>
      </c>
      <c r="D34" s="120">
        <f>+'II-E-1'!G59</f>
        <v>5757277.5800000001</v>
      </c>
      <c r="E34" s="120">
        <f>+'II-E-1'!H59</f>
        <v>-338696.96999999997</v>
      </c>
      <c r="F34" s="120">
        <f>+'II-E-1'!I59</f>
        <v>5418580.6100000003</v>
      </c>
      <c r="G34" s="120">
        <f>+'II-E-1'!N59</f>
        <v>1759074</v>
      </c>
      <c r="H34" s="120">
        <f>+'II-E-1'!O59</f>
        <v>28312.470000000001</v>
      </c>
      <c r="I34" s="120">
        <f>+'II-E-1'!P59</f>
        <v>0</v>
      </c>
      <c r="J34" s="120">
        <f>+'II-E-1'!Q59</f>
        <v>1787386.47</v>
      </c>
      <c r="K34" s="120">
        <f>+'II-E-1'!R59</f>
        <v>2871490.2400000002</v>
      </c>
      <c r="L34" s="120">
        <f>+'II-E-1'!S59</f>
        <v>0</v>
      </c>
      <c r="M34" s="120">
        <f>+'II-E-1'!T59</f>
        <v>2871490.2400000002</v>
      </c>
      <c r="N34" s="120">
        <f>+'II-E-1'!U59</f>
        <v>489731.73999999999</v>
      </c>
      <c r="O34" s="120">
        <f>+'II-E-1'!V59</f>
        <v>269972.15999999997</v>
      </c>
      <c r="P34" s="126">
        <f t="shared" si="0"/>
        <v>5418580.6100000003</v>
      </c>
    </row>
    <row r="35" spans="1:16" ht="12.75">
      <c r="A35" s="130" t="s">
        <v>135</v>
      </c>
      <c r="B35" s="130" t="s">
        <v>223</v>
      </c>
      <c r="D35" s="120">
        <f>+'II-E-1'!G60</f>
        <v>19576588.149999999</v>
      </c>
      <c r="E35" s="120">
        <f>+'II-E-1'!H60</f>
        <v>19228223.170000002</v>
      </c>
      <c r="F35" s="120">
        <f>+'II-E-1'!I60</f>
        <v>38804811.32</v>
      </c>
      <c r="G35" s="120">
        <f>+'II-E-1'!N60</f>
        <v>8707087.5</v>
      </c>
      <c r="H35" s="120">
        <f>+'II-E-1'!O60</f>
        <v>108726.84</v>
      </c>
      <c r="I35" s="120">
        <f>+'II-E-1'!P60</f>
        <v>0</v>
      </c>
      <c r="J35" s="120">
        <f>+'II-E-1'!Q60</f>
        <v>8815814.3399999999</v>
      </c>
      <c r="K35" s="120">
        <f>+'II-E-1'!R60</f>
        <v>11253947.6</v>
      </c>
      <c r="L35" s="120">
        <f>+'II-E-1'!S60</f>
        <v>0</v>
      </c>
      <c r="M35" s="120">
        <f>+'II-E-1'!T60</f>
        <v>11253947.6</v>
      </c>
      <c r="N35" s="120">
        <f>+'II-E-1'!U60</f>
        <v>8476613.7300000004</v>
      </c>
      <c r="O35" s="120">
        <f>+'II-E-1'!V60</f>
        <v>10258435.65</v>
      </c>
      <c r="P35" s="126">
        <f t="shared" si="0"/>
        <v>38804811.32</v>
      </c>
    </row>
    <row r="36" spans="1:16" ht="12.75">
      <c r="A36" s="130" t="s">
        <v>136</v>
      </c>
      <c r="B36" s="130" t="s">
        <v>222</v>
      </c>
      <c r="D36" s="120">
        <f>+'II-E-1'!G61</f>
        <v>1695681.99</v>
      </c>
      <c r="E36" s="120">
        <f>+'II-E-1'!H61</f>
        <v>52479.529999999999</v>
      </c>
      <c r="F36" s="120">
        <f>+'II-E-1'!I61</f>
        <v>1748161.52</v>
      </c>
      <c r="G36" s="120">
        <f>+'II-E-1'!N61</f>
        <v>630540.13</v>
      </c>
      <c r="H36" s="120">
        <f>+'II-E-1'!O61</f>
        <v>104358.81</v>
      </c>
      <c r="I36" s="120">
        <f>+'II-E-1'!P61</f>
        <v>0</v>
      </c>
      <c r="J36" s="120">
        <f>+'II-E-1'!Q61</f>
        <v>734898.93999999994</v>
      </c>
      <c r="K36" s="120">
        <f>+'II-E-1'!R61</f>
        <v>1013262.58</v>
      </c>
      <c r="L36" s="120">
        <f>+'II-E-1'!S61</f>
        <v>0</v>
      </c>
      <c r="M36" s="120">
        <f>+'II-E-1'!T61</f>
        <v>1013262.58</v>
      </c>
      <c r="N36" s="120">
        <f>+'II-E-1'!U61</f>
        <v>0</v>
      </c>
      <c r="O36" s="120">
        <f>+'II-E-1'!V61</f>
        <v>0</v>
      </c>
      <c r="P36" s="126">
        <f t="shared" si="0"/>
        <v>1748161.52</v>
      </c>
    </row>
    <row r="37" spans="1:16" ht="12.75">
      <c r="A37" s="130" t="s">
        <v>137</v>
      </c>
      <c r="B37" s="130" t="s">
        <v>221</v>
      </c>
      <c r="D37" s="120">
        <f>+'II-E-1'!G62</f>
        <v>176640.51999999999</v>
      </c>
      <c r="E37" s="120">
        <f>+'II-E-1'!H62</f>
        <v>101793.53</v>
      </c>
      <c r="F37" s="120">
        <f>+'II-E-1'!I62</f>
        <v>278434.04999999999</v>
      </c>
      <c r="G37" s="120">
        <f>+'II-E-1'!N62</f>
        <v>66490.550000000003</v>
      </c>
      <c r="H37" s="120">
        <f>+'II-E-1'!O62</f>
        <v>0</v>
      </c>
      <c r="I37" s="120">
        <f>+'II-E-1'!P62</f>
        <v>0</v>
      </c>
      <c r="J37" s="120">
        <f>+'II-E-1'!Q62</f>
        <v>66490.550000000003</v>
      </c>
      <c r="K37" s="120">
        <f>+'II-E-1'!R62</f>
        <v>179893.10999999999</v>
      </c>
      <c r="L37" s="120">
        <f>+'II-E-1'!S62</f>
        <v>0</v>
      </c>
      <c r="M37" s="120">
        <f>+'II-E-1'!T62</f>
        <v>179893.10999999999</v>
      </c>
      <c r="N37" s="120">
        <f>+'II-E-1'!U62</f>
        <v>32050.389999999999</v>
      </c>
      <c r="O37" s="120">
        <f>+'II-E-1'!V62</f>
        <v>0</v>
      </c>
      <c r="P37" s="126">
        <f t="shared" si="0"/>
        <v>278434.04999999999</v>
      </c>
    </row>
    <row r="38" spans="1:16" ht="12.75">
      <c r="A38" s="130" t="s">
        <v>138</v>
      </c>
      <c r="B38" s="130" t="s">
        <v>220</v>
      </c>
      <c r="D38" s="120">
        <f>+'II-E-1'!G63</f>
        <v>1167326.7</v>
      </c>
      <c r="E38" s="120">
        <f>+'II-E-1'!H63</f>
        <v>1596999.5800000001</v>
      </c>
      <c r="F38" s="120">
        <f>+'II-E-1'!I63</f>
        <v>2764326.2800000003</v>
      </c>
      <c r="G38" s="120">
        <f>+'II-E-1'!N63</f>
        <v>981369.34999999998</v>
      </c>
      <c r="H38" s="120">
        <f>+'II-E-1'!O63</f>
        <v>8335.0900000000001</v>
      </c>
      <c r="I38" s="120">
        <f>+'II-E-1'!P63</f>
        <v>0</v>
      </c>
      <c r="J38" s="120">
        <f>+'II-E-1'!Q63</f>
        <v>989704.43999999994</v>
      </c>
      <c r="K38" s="120">
        <f>+'II-E-1'!R63</f>
        <v>1613751</v>
      </c>
      <c r="L38" s="120">
        <f>+'II-E-1'!S63</f>
        <v>0</v>
      </c>
      <c r="M38" s="120">
        <f>+'II-E-1'!T63</f>
        <v>1613751</v>
      </c>
      <c r="N38" s="120">
        <f>+'II-E-1'!U63</f>
        <v>160870.84</v>
      </c>
      <c r="O38" s="120">
        <f>+'II-E-1'!V63</f>
        <v>0</v>
      </c>
      <c r="P38" s="126">
        <f t="shared" si="0"/>
        <v>2764326.2799999998</v>
      </c>
    </row>
    <row r="39" spans="1:16" ht="12.75">
      <c r="A39" s="130" t="s">
        <v>139</v>
      </c>
      <c r="B39" s="130" t="s">
        <v>219</v>
      </c>
      <c r="D39" s="120">
        <f>+'II-E-1'!G64</f>
        <v>2691979.6499999999</v>
      </c>
      <c r="E39" s="120">
        <f>+'II-E-1'!H64</f>
        <v>677919.68000000005</v>
      </c>
      <c r="F39" s="120">
        <f>+'II-E-1'!I64</f>
        <v>3369899.3300000001</v>
      </c>
      <c r="G39" s="120">
        <f>+'II-E-1'!N64</f>
        <v>1976031.21</v>
      </c>
      <c r="H39" s="120">
        <f>+'II-E-1'!O64</f>
        <v>0</v>
      </c>
      <c r="I39" s="120">
        <f>+'II-E-1'!P64</f>
        <v>0</v>
      </c>
      <c r="J39" s="120">
        <f>+'II-E-1'!Q64</f>
        <v>1976031.21</v>
      </c>
      <c r="K39" s="120">
        <f>+'II-E-1'!R64</f>
        <v>1151258.3999999999</v>
      </c>
      <c r="L39" s="120">
        <f>+'II-E-1'!S64</f>
        <v>0</v>
      </c>
      <c r="M39" s="120">
        <f>+'II-E-1'!T64</f>
        <v>1151258.3999999999</v>
      </c>
      <c r="N39" s="120">
        <f>+'II-E-1'!U64</f>
        <v>242609.72</v>
      </c>
      <c r="O39" s="120">
        <f>+'II-E-1'!V64</f>
        <v>0</v>
      </c>
      <c r="P39" s="126">
        <f t="shared" si="0"/>
        <v>3369899.3300000001</v>
      </c>
    </row>
    <row r="40" spans="1:16" ht="12.75">
      <c r="A40" s="130" t="s">
        <v>140</v>
      </c>
      <c r="B40" s="130" t="s">
        <v>141</v>
      </c>
      <c r="D40" s="120">
        <f>+'II-E-1'!G65</f>
        <v>366331.37</v>
      </c>
      <c r="E40" s="120">
        <f>+'II-E-1'!H65</f>
        <v>369407.84000000003</v>
      </c>
      <c r="F40" s="120">
        <f>+'II-E-1'!I65</f>
        <v>735739.20999999996</v>
      </c>
      <c r="G40" s="120">
        <f>+'II-E-1'!N65</f>
        <v>175256.89999999999</v>
      </c>
      <c r="H40" s="120">
        <f>+'II-E-1'!O65</f>
        <v>19116.779999999999</v>
      </c>
      <c r="I40" s="120">
        <f>+'II-E-1'!P65</f>
        <v>0</v>
      </c>
      <c r="J40" s="120">
        <f>+'II-E-1'!Q65</f>
        <v>194373.67999999999</v>
      </c>
      <c r="K40" s="120">
        <f>+'II-E-1'!R65</f>
        <v>479878.02000000002</v>
      </c>
      <c r="L40" s="120">
        <f>+'II-E-1'!S65</f>
        <v>0</v>
      </c>
      <c r="M40" s="120">
        <f>+'II-E-1'!T65</f>
        <v>479878.02000000002</v>
      </c>
      <c r="N40" s="120">
        <f>+'II-E-1'!U65</f>
        <v>61487.510000000002</v>
      </c>
      <c r="O40" s="120">
        <f>+'II-E-1'!V65</f>
        <v>0</v>
      </c>
      <c r="P40" s="126">
        <f t="shared" si="0"/>
        <v>735739.20999999996</v>
      </c>
    </row>
    <row r="41" spans="1:16" ht="12.75">
      <c r="A41" s="130" t="s">
        <v>142</v>
      </c>
      <c r="B41" s="130" t="s">
        <v>218</v>
      </c>
      <c r="D41" s="120">
        <f>+'II-E-1'!G66</f>
        <v>8912461.8000000007</v>
      </c>
      <c r="E41" s="120">
        <f>+'II-E-1'!H66</f>
        <v>780334.60999999999</v>
      </c>
      <c r="F41" s="120">
        <f>+'II-E-1'!I66</f>
        <v>9692796.4100000001</v>
      </c>
      <c r="G41" s="120">
        <f>+'II-E-1'!N66</f>
        <v>5746097.6299999999</v>
      </c>
      <c r="H41" s="120">
        <f>+'II-E-1'!O66</f>
        <v>1104.72</v>
      </c>
      <c r="I41" s="120">
        <f>+'II-E-1'!P66</f>
        <v>0</v>
      </c>
      <c r="J41" s="120">
        <f>+'II-E-1'!Q66</f>
        <v>5747202.3499999996</v>
      </c>
      <c r="K41" s="120">
        <f>+'II-E-1'!R66</f>
        <v>3522760.3300000001</v>
      </c>
      <c r="L41" s="120">
        <f>+'II-E-1'!S66</f>
        <v>0</v>
      </c>
      <c r="M41" s="120">
        <f>+'II-E-1'!T66</f>
        <v>3522760.3300000001</v>
      </c>
      <c r="N41" s="120">
        <f>+'II-E-1'!U66</f>
        <v>289426.59999999998</v>
      </c>
      <c r="O41" s="120">
        <f>+'II-E-1'!V66</f>
        <v>133407.13000000001</v>
      </c>
      <c r="P41" s="126">
        <f t="shared" si="0"/>
        <v>9692796.4100000001</v>
      </c>
    </row>
    <row r="42" spans="1:16" ht="12.75">
      <c r="A42" s="130" t="s">
        <v>143</v>
      </c>
      <c r="B42" s="130" t="s">
        <v>217</v>
      </c>
      <c r="D42" s="120">
        <f>+'II-E-1'!G67</f>
        <v>720383.53000000003</v>
      </c>
      <c r="E42" s="120">
        <f>+'II-E-1'!H67</f>
        <v>53807.93</v>
      </c>
      <c r="F42" s="120">
        <f>+'II-E-1'!I67</f>
        <v>774191.46000000008</v>
      </c>
      <c r="G42" s="120">
        <f>+'II-E-1'!N67</f>
        <v>351222.75</v>
      </c>
      <c r="H42" s="120">
        <f>+'II-E-1'!O67</f>
        <v>1425.77</v>
      </c>
      <c r="I42" s="120">
        <f>+'II-E-1'!P67</f>
        <v>0</v>
      </c>
      <c r="J42" s="120">
        <f>+'II-E-1'!Q67</f>
        <v>352648.52000000002</v>
      </c>
      <c r="K42" s="120">
        <f>+'II-E-1'!R67</f>
        <v>349716.01000000001</v>
      </c>
      <c r="L42" s="120">
        <f>+'II-E-1'!S67</f>
        <v>0</v>
      </c>
      <c r="M42" s="120">
        <f>+'II-E-1'!T67</f>
        <v>349716.01000000001</v>
      </c>
      <c r="N42" s="120">
        <f>+'II-E-1'!U67</f>
        <v>71826.929999999993</v>
      </c>
      <c r="O42" s="120">
        <f>+'II-E-1'!V67</f>
        <v>0</v>
      </c>
      <c r="P42" s="126">
        <f t="shared" si="0"/>
        <v>774191.45999999996</v>
      </c>
    </row>
    <row r="43" spans="1:16" ht="12.75">
      <c r="A43" s="130" t="s">
        <v>144</v>
      </c>
      <c r="B43" s="130" t="s">
        <v>216</v>
      </c>
      <c r="D43" s="120">
        <f>+'II-E-1'!G68</f>
        <v>0</v>
      </c>
      <c r="E43" s="120">
        <f>+'II-E-1'!H68</f>
        <v>0</v>
      </c>
      <c r="F43" s="120">
        <f>+'II-E-1'!I68</f>
        <v>0</v>
      </c>
      <c r="G43" s="120">
        <f>+'II-E-1'!N68</f>
        <v>0</v>
      </c>
      <c r="H43" s="120">
        <f>+'II-E-1'!O68</f>
        <v>0</v>
      </c>
      <c r="I43" s="120">
        <f>+'II-E-1'!P68</f>
        <v>0</v>
      </c>
      <c r="J43" s="120">
        <f>+'II-E-1'!Q68</f>
        <v>0</v>
      </c>
      <c r="K43" s="120">
        <f>+'II-E-1'!R68</f>
        <v>0</v>
      </c>
      <c r="L43" s="120">
        <f>+'II-E-1'!S68</f>
        <v>0</v>
      </c>
      <c r="M43" s="120">
        <f>+'II-E-1'!T68</f>
        <v>0</v>
      </c>
      <c r="N43" s="120">
        <f>+'II-E-1'!U68</f>
        <v>0</v>
      </c>
      <c r="O43" s="120">
        <f>+'II-E-1'!V68</f>
        <v>0</v>
      </c>
      <c r="P43" s="126">
        <f t="shared" si="0"/>
        <v>0</v>
      </c>
    </row>
    <row r="44" spans="1:16" ht="12.75">
      <c r="A44" s="130" t="s">
        <v>144</v>
      </c>
      <c r="B44" s="130" t="s">
        <v>215</v>
      </c>
      <c r="D44" s="120">
        <f>+'II-E-1'!G69</f>
        <v>0</v>
      </c>
      <c r="E44" s="120">
        <f>+'II-E-1'!H69</f>
        <v>0</v>
      </c>
      <c r="F44" s="120">
        <f>+'II-E-1'!I69</f>
        <v>0</v>
      </c>
      <c r="G44" s="120">
        <f>+'II-E-1'!N69</f>
        <v>0</v>
      </c>
      <c r="H44" s="120">
        <f>+'II-E-1'!O69</f>
        <v>0</v>
      </c>
      <c r="I44" s="120">
        <f>+'II-E-1'!P69</f>
        <v>0</v>
      </c>
      <c r="J44" s="120">
        <f>+'II-E-1'!Q69</f>
        <v>0</v>
      </c>
      <c r="K44" s="120">
        <f>+'II-E-1'!R69</f>
        <v>0</v>
      </c>
      <c r="L44" s="120">
        <f>+'II-E-1'!S69</f>
        <v>0</v>
      </c>
      <c r="M44" s="120">
        <f>+'II-E-1'!T69</f>
        <v>0</v>
      </c>
      <c r="N44" s="120">
        <f>+'II-E-1'!U69</f>
        <v>0</v>
      </c>
      <c r="O44" s="120">
        <f>+'II-E-1'!V69</f>
        <v>0</v>
      </c>
      <c r="P44" s="126">
        <f t="shared" si="0"/>
        <v>0</v>
      </c>
    </row>
    <row r="46" spans="1:16" ht="12.75">
      <c r="A46" s="62" t="s">
        <v>345</v>
      </c>
      <c r="D46" s="120">
        <f>+'II-E-4.1'!G26</f>
        <v>-30673.619999999995</v>
      </c>
      <c r="E46" s="120">
        <f>+'II-E-4.1'!H26</f>
        <v>23907316.730304793</v>
      </c>
      <c r="F46" s="120">
        <f>+'II-E-4.1'!I26</f>
        <v>23876643.110304788</v>
      </c>
      <c r="G46" s="120">
        <f>+'II-E-4.1'!N26</f>
        <v>338718.48999999999</v>
      </c>
      <c r="H46" s="120">
        <f>+'II-E-4.1'!O26</f>
        <v>806325.84999999998</v>
      </c>
      <c r="I46" s="120">
        <f>+'II-E-4.1'!P26</f>
        <v>0</v>
      </c>
      <c r="J46" s="120">
        <f>+'II-E-4.1'!Q26</f>
        <v>1145044.3400000001</v>
      </c>
      <c r="K46" s="120">
        <f>+'II-E-4.1'!R26</f>
        <v>-2773001.1500000004</v>
      </c>
      <c r="L46" s="120">
        <f>+'II-E-4.1'!S26</f>
        <v>44641.760304789641</v>
      </c>
      <c r="M46" s="120">
        <f>+'II-E-4.1'!T26</f>
        <v>-2728359.3896952104</v>
      </c>
      <c r="N46" s="120">
        <f>+'II-E-4.1'!U26</f>
        <v>25459958.16</v>
      </c>
      <c r="O46" s="120">
        <f>+'II-E-4.1'!V26</f>
        <v>0</v>
      </c>
      <c r="P46" s="126">
        <f t="shared" si="0"/>
        <v>23876643.110304791</v>
      </c>
    </row>
    <row r="49" spans="1:16" ht="12.75">
      <c r="A49" s="30" t="s">
        <v>162</v>
      </c>
      <c r="B49" s="120">
        <f>+'II-E-2'!E18</f>
        <v>16232059.560000001</v>
      </c>
      <c r="C49" s="120">
        <f>+'II-E-2'!F18</f>
        <v>0</v>
      </c>
      <c r="D49" s="120">
        <f>+'II-E-2'!G18</f>
        <v>16232059.560000001</v>
      </c>
      <c r="E49" s="120">
        <f>+'II-E-2'!H18</f>
        <v>1093653.5600000005</v>
      </c>
      <c r="F49" s="120">
        <f>+'II-E-2'!I18</f>
        <v>17325713.120000001</v>
      </c>
      <c r="G49" s="120">
        <f>+'II-E-2'!N18</f>
        <v>3815149.1299999999</v>
      </c>
      <c r="H49" s="120">
        <f>+'II-E-2'!O18</f>
        <v>0</v>
      </c>
      <c r="I49" s="120">
        <f>+'II-E-2'!P18</f>
        <v>0</v>
      </c>
      <c r="J49" s="120">
        <f>+'II-E-2'!Q18</f>
        <v>3815149.1299999999</v>
      </c>
      <c r="K49" s="120">
        <f>+'II-E-2'!R18</f>
        <v>10525362.25</v>
      </c>
      <c r="L49" s="120">
        <f>+'II-E-2'!S18</f>
        <v>0</v>
      </c>
      <c r="M49" s="120">
        <f>+'II-E-2'!T18</f>
        <v>10525362.25</v>
      </c>
      <c r="N49" s="120">
        <f>+'II-E-2'!U18</f>
        <v>2869720.4100000001</v>
      </c>
      <c r="O49" s="120">
        <f>+'II-E-2'!V18</f>
        <v>115481.33000000194</v>
      </c>
      <c r="P49" s="126">
        <f t="shared" si="1" ref="P49:P51">+J49+M49+N49+O49</f>
        <v>17325713.120000001</v>
      </c>
    </row>
    <row r="50" spans="1:16" ht="12.75">
      <c r="A50" s="30" t="s">
        <v>163</v>
      </c>
      <c r="B50" s="120">
        <f>+'II-E-2'!E19</f>
        <v>203183.26000000001</v>
      </c>
      <c r="C50" s="120">
        <f>+'II-E-2'!F19</f>
        <v>0</v>
      </c>
      <c r="D50" s="120">
        <f>+'II-E-2'!G19</f>
        <v>203183.26000000001</v>
      </c>
      <c r="E50" s="120">
        <f>+'II-E-2'!H19</f>
        <v>13689.699999999983</v>
      </c>
      <c r="F50" s="120">
        <f>+'II-E-2'!I19</f>
        <v>216872.95999999999</v>
      </c>
      <c r="G50" s="120">
        <f>+'II-E-2'!N19</f>
        <v>47755.769999999997</v>
      </c>
      <c r="H50" s="120">
        <f>+'II-E-2'!O19</f>
        <v>0</v>
      </c>
      <c r="I50" s="120">
        <f>+'II-E-2'!P19</f>
        <v>0</v>
      </c>
      <c r="J50" s="120">
        <f>+'II-E-2'!Q19</f>
        <v>47755.769999999997</v>
      </c>
      <c r="K50" s="120">
        <f>+'II-E-2'!R19</f>
        <v>131750.22</v>
      </c>
      <c r="L50" s="120">
        <f>+'II-E-2'!S19</f>
        <v>0</v>
      </c>
      <c r="M50" s="120">
        <f>+'II-E-2'!T19</f>
        <v>131750.22</v>
      </c>
      <c r="N50" s="120">
        <f>+'II-E-2'!U19</f>
        <v>35921.449999999997</v>
      </c>
      <c r="O50" s="120">
        <f>+'II-E-2'!V19</f>
        <v>1445.5200000000041</v>
      </c>
      <c r="P50" s="126">
        <f t="shared" si="1"/>
        <v>216872.96000000002</v>
      </c>
    </row>
    <row r="51" spans="1:16" ht="12.75">
      <c r="A51" s="30" t="s">
        <v>287</v>
      </c>
      <c r="B51" s="120">
        <f>+'II-E-2'!E20</f>
        <v>279263.88</v>
      </c>
      <c r="C51" s="120">
        <f>+'II-E-2'!F20</f>
        <v>0</v>
      </c>
      <c r="D51" s="120">
        <f>+'II-E-2'!G20</f>
        <v>279263.88</v>
      </c>
      <c r="E51" s="120">
        <f>+'II-E-2'!H20</f>
        <v>18815.719999999972</v>
      </c>
      <c r="F51" s="120">
        <f>+'II-E-2'!I20</f>
        <v>298079.59999999998</v>
      </c>
      <c r="G51" s="120">
        <f>+'II-E-2'!N20</f>
        <v>65637.589999999997</v>
      </c>
      <c r="H51" s="120">
        <f>+'II-E-2'!O20</f>
        <v>0</v>
      </c>
      <c r="I51" s="120">
        <f>+'II-E-2'!P20</f>
        <v>0</v>
      </c>
      <c r="J51" s="120">
        <f>+'II-E-2'!Q20</f>
        <v>65637.589999999997</v>
      </c>
      <c r="K51" s="120">
        <f>+'II-E-2'!R20</f>
        <v>181083.20999999999</v>
      </c>
      <c r="L51" s="120">
        <f>+'II-E-2'!S20</f>
        <v>0</v>
      </c>
      <c r="M51" s="120">
        <f>+'II-E-2'!T20</f>
        <v>181083.20999999999</v>
      </c>
      <c r="N51" s="120">
        <f>+'II-E-2'!U20</f>
        <v>49372</v>
      </c>
      <c r="O51" s="120">
        <f>+'II-E-2'!V20</f>
        <v>1986.7999999999884</v>
      </c>
      <c r="P51" s="126">
        <f t="shared" si="1"/>
        <v>298079.59999999998</v>
      </c>
    </row>
    <row r="52" spans="11:15" ht="12.75">
      <c r="K52" s="374"/>
      <c r="N52" s="374"/>
      <c r="O52" s="374"/>
    </row>
    <row r="53" spans="1:16" ht="12.75">
      <c r="A53" s="30" t="s">
        <v>288</v>
      </c>
      <c r="B53" s="120">
        <f>+'II-E-2'!E25</f>
        <v>261783170.5</v>
      </c>
      <c r="C53" s="120">
        <f>+'II-E-2'!F25</f>
        <v>0</v>
      </c>
      <c r="D53" s="120">
        <f>+'II-E-2'!G25</f>
        <v>261783170.5</v>
      </c>
      <c r="E53" s="120">
        <f>+'II-E-2'!H25</f>
        <v>21898713.660000026</v>
      </c>
      <c r="F53" s="120">
        <f>+'II-E-2'!I25</f>
        <v>283681884.16000003</v>
      </c>
      <c r="G53" s="120">
        <f>+'II-E-2'!N25</f>
        <v>122143955.83</v>
      </c>
      <c r="H53" s="120">
        <f>+'II-E-2'!O25</f>
        <v>19017258.84</v>
      </c>
      <c r="I53" s="120">
        <f>+'II-E-2'!P25</f>
        <v>155829.10000000001</v>
      </c>
      <c r="J53" s="120">
        <f>+'II-E-2'!Q25</f>
        <v>141317043.76999998</v>
      </c>
      <c r="K53" s="120">
        <f>+'II-E-2'!R25</f>
        <v>132463225.04000001</v>
      </c>
      <c r="L53" s="120">
        <f>+'II-E-2'!S25</f>
        <v>1555148.23</v>
      </c>
      <c r="M53" s="120">
        <f>+'II-E-2'!T25</f>
        <v>134018373.27000001</v>
      </c>
      <c r="N53" s="120">
        <f>+'II-E-2'!U25</f>
        <v>4504909.1100000003</v>
      </c>
      <c r="O53" s="120">
        <f>+'II-E-2'!V25</f>
        <v>3841558.0100000342</v>
      </c>
      <c r="P53" s="126">
        <f t="shared" si="2" ref="P53">+J53+M53+N53+O53</f>
        <v>283681884.16000003</v>
      </c>
    </row>
    <row r="54" spans="11:15" ht="12.75">
      <c r="K54" s="374"/>
      <c r="N54" s="374"/>
      <c r="O54" s="374"/>
    </row>
    <row r="55" spans="1:16" ht="12.75">
      <c r="A55" s="57" t="s">
        <v>352</v>
      </c>
      <c r="B55" s="120">
        <f>+'II-E-2'!E31</f>
        <v>276888388.69999999</v>
      </c>
      <c r="C55" s="120">
        <f>+'II-E-2'!F31</f>
        <v>0</v>
      </c>
      <c r="D55" s="120">
        <f>+'II-E-2'!G31</f>
        <v>276888388.69999999</v>
      </c>
      <c r="E55" s="120">
        <f>+'II-E-2'!H31</f>
        <v>6194488.3000000119</v>
      </c>
      <c r="F55" s="120">
        <f>+'II-E-2'!I31</f>
        <v>283082877</v>
      </c>
      <c r="G55" s="120">
        <f>+'II-E-2'!N31</f>
        <v>0</v>
      </c>
      <c r="H55" s="120">
        <f>+'II-E-2'!O31</f>
        <v>0</v>
      </c>
      <c r="I55" s="120">
        <f>+'II-E-2'!P31</f>
        <v>0</v>
      </c>
      <c r="J55" s="120">
        <f>+'II-E-2'!Q31</f>
        <v>0</v>
      </c>
      <c r="K55" s="120">
        <f>+'II-E-2'!R31</f>
        <v>283082877</v>
      </c>
      <c r="L55" s="120">
        <f>+'II-E-2'!S31</f>
        <v>0</v>
      </c>
      <c r="M55" s="120">
        <f>+'II-E-2'!T31</f>
        <v>283082877</v>
      </c>
      <c r="N55" s="120">
        <f>+'II-E-2'!U31</f>
        <v>0</v>
      </c>
      <c r="O55" s="120">
        <f>+'II-E-2'!V31</f>
        <v>0</v>
      </c>
      <c r="P55" s="126">
        <f t="shared" si="3" ref="P55:P56">+J55+M55+N55+O55</f>
        <v>283082877</v>
      </c>
    </row>
    <row r="56" spans="1:16" ht="12.75">
      <c r="A56" t="s">
        <v>52</v>
      </c>
      <c r="B56" s="120">
        <f>+'II-E-2'!E30</f>
        <v>23877559.490000002</v>
      </c>
      <c r="C56" s="120">
        <f>+'II-E-2'!F30</f>
        <v>0</v>
      </c>
      <c r="D56" s="120">
        <f>+'II-E-2'!G30</f>
        <v>23877559.490000002</v>
      </c>
      <c r="E56" s="120">
        <f>+'II-E-2'!H30</f>
        <v>3863119.0699999966</v>
      </c>
      <c r="F56" s="120">
        <f>+'II-E-2'!I30</f>
        <v>27740678.559999999</v>
      </c>
      <c r="G56" s="120">
        <f>+'II-E-2'!N30</f>
        <v>4450872.4800000004</v>
      </c>
      <c r="H56" s="120">
        <f>+'II-E-2'!O30</f>
        <v>584511.46999999997</v>
      </c>
      <c r="I56" s="120">
        <f>+'II-E-2'!P30</f>
        <v>11788.23</v>
      </c>
      <c r="J56" s="120">
        <f>+'II-E-2'!Q30</f>
        <v>5047172.1800000006</v>
      </c>
      <c r="K56" s="120">
        <f>+'II-E-2'!R30</f>
        <v>21065900.859999999</v>
      </c>
      <c r="L56" s="120">
        <f>+'II-E-2'!S30</f>
        <v>0</v>
      </c>
      <c r="M56" s="120">
        <f>+'II-E-2'!T30</f>
        <v>21065900.859999999</v>
      </c>
      <c r="N56" s="120">
        <f>+'II-E-2'!U30</f>
        <v>1078537.3899999999</v>
      </c>
      <c r="O56" s="120">
        <f>+'II-E-2'!V30</f>
        <v>549068.12999999966</v>
      </c>
      <c r="P56" s="126">
        <f t="shared" si="3"/>
        <v>27740678.559999999</v>
      </c>
    </row>
    <row r="57" spans="11:15" ht="12.75">
      <c r="K57" s="374"/>
      <c r="N57" s="374"/>
      <c r="O57" s="374"/>
    </row>
    <row r="58" spans="1:16" ht="12.75">
      <c r="A58" s="146" t="s">
        <v>210</v>
      </c>
      <c r="B58" s="120">
        <f>+'II-E-3'!E20</f>
        <v>412784752.89999998</v>
      </c>
      <c r="C58" s="120">
        <f>+'II-E-3'!F20</f>
        <v>0</v>
      </c>
      <c r="D58" s="120">
        <f>+'II-E-3'!G20</f>
        <v>412784752.89999998</v>
      </c>
      <c r="E58" s="120">
        <f>+'II-E-3'!H20</f>
        <v>40679120.960000001</v>
      </c>
      <c r="F58" s="120">
        <f>+'II-E-3'!I20</f>
        <v>453463873.85999995</v>
      </c>
      <c r="G58" s="120">
        <f>+'II-E-3'!N20</f>
        <v>187113184.37000001</v>
      </c>
      <c r="H58" s="120">
        <f>+'II-E-3'!O20</f>
        <v>30202746.68</v>
      </c>
      <c r="I58" s="120">
        <f>+'II-E-3'!P20</f>
        <v>234084.84</v>
      </c>
      <c r="J58" s="120">
        <f>+'II-E-3'!Q20</f>
        <v>217550015.89000002</v>
      </c>
      <c r="K58" s="120">
        <f>+'II-E-3'!R20</f>
        <v>218383546.59</v>
      </c>
      <c r="L58" s="120">
        <f>+'II-E-3'!S20</f>
        <v>2434251</v>
      </c>
      <c r="M58" s="120">
        <f>+'II-E-3'!T20</f>
        <v>220817797.59</v>
      </c>
      <c r="N58" s="120">
        <f>+'II-E-3'!U20</f>
        <v>10153815.380000001</v>
      </c>
      <c r="O58" s="120">
        <f>+'II-E-3'!V20</f>
        <v>4942244.9999999348</v>
      </c>
      <c r="P58" s="126">
        <f t="shared" si="4" ref="P58:P64">+J58+M58+N58+O58</f>
        <v>453463873.85999995</v>
      </c>
    </row>
    <row r="59" spans="1:16" ht="12.75">
      <c r="A59" s="146" t="s">
        <v>224</v>
      </c>
      <c r="B59" s="120">
        <f>+'II-E-3'!E21</f>
        <v>1174249.98</v>
      </c>
      <c r="C59" s="120">
        <f>+'II-E-3'!F21</f>
        <v>0</v>
      </c>
      <c r="D59" s="120">
        <f>+'II-E-3'!G21</f>
        <v>1174249.98</v>
      </c>
      <c r="E59" s="120">
        <f>+'II-E-3'!H21</f>
        <v>-402615.26000000001</v>
      </c>
      <c r="F59" s="120">
        <f>+'II-E-3'!I21</f>
        <v>771634.71999999997</v>
      </c>
      <c r="G59" s="120">
        <f>+'II-E-3'!N21</f>
        <v>580486.72999999998</v>
      </c>
      <c r="H59" s="120">
        <f>+'II-E-3'!O21</f>
        <v>0</v>
      </c>
      <c r="I59" s="120">
        <f>+'II-E-3'!P21</f>
        <v>0</v>
      </c>
      <c r="J59" s="120">
        <f>+'II-E-3'!Q21</f>
        <v>580486.72999999998</v>
      </c>
      <c r="K59" s="120">
        <f>+'II-E-3'!R21</f>
        <v>191147.98999999999</v>
      </c>
      <c r="L59" s="120">
        <f>+'II-E-3'!S21</f>
        <v>0</v>
      </c>
      <c r="M59" s="120">
        <f>+'II-E-3'!T21</f>
        <v>191147.98999999999</v>
      </c>
      <c r="N59" s="120">
        <f>+'II-E-3'!U21</f>
        <v>0</v>
      </c>
      <c r="O59" s="120">
        <f>+'II-E-3'!V21</f>
        <v>0</v>
      </c>
      <c r="P59" s="126">
        <f t="shared" si="4"/>
        <v>771634.71999999997</v>
      </c>
    </row>
    <row r="60" spans="1:16" ht="12.75">
      <c r="A60" s="146" t="s">
        <v>647</v>
      </c>
      <c r="B60" s="120">
        <f>+'II-E-3'!E22</f>
        <v>22126156.32</v>
      </c>
      <c r="C60" s="120">
        <f>+'II-E-3'!F22</f>
        <v>0</v>
      </c>
      <c r="D60" s="120">
        <f>+'II-E-3'!G22</f>
        <v>22126156.32</v>
      </c>
      <c r="E60" s="120">
        <f>+'II-E-3'!H22</f>
        <v>-5892399</v>
      </c>
      <c r="F60" s="120">
        <f>+'II-E-3'!I22</f>
        <v>16233757.32</v>
      </c>
      <c r="G60" s="120">
        <f>+'II-E-3'!N22</f>
        <v>6577848.7800000003</v>
      </c>
      <c r="H60" s="120">
        <f>+'II-E-3'!O22</f>
        <v>1908396.6699999999</v>
      </c>
      <c r="I60" s="120">
        <f>+'II-E-3'!P22</f>
        <v>8391.8999999999996</v>
      </c>
      <c r="J60" s="120">
        <f>+'II-E-3'!Q22</f>
        <v>8494637.3499999996</v>
      </c>
      <c r="K60" s="120">
        <f>+'II-E-3'!R22</f>
        <v>7133574.9500000002</v>
      </c>
      <c r="L60" s="120">
        <f>+'II-E-3'!S22</f>
        <v>156060.32999999999</v>
      </c>
      <c r="M60" s="120">
        <f>+'II-E-3'!T22</f>
        <v>7289635.2800000003</v>
      </c>
      <c r="N60" s="120">
        <f>+'II-E-3'!U22</f>
        <v>242603.98999999999</v>
      </c>
      <c r="O60" s="120">
        <f>+'II-E-3'!V22</f>
        <v>206880.70000000042</v>
      </c>
      <c r="P60" s="126">
        <f t="shared" si="4"/>
        <v>16233757.32</v>
      </c>
    </row>
    <row r="61" spans="1:16" s="374" customFormat="1" ht="12.75">
      <c r="A61" s="146" t="s">
        <v>648</v>
      </c>
      <c r="B61" s="120">
        <f>+'II-E-3'!E23</f>
        <v>30159720</v>
      </c>
      <c r="C61" s="120">
        <f>+'II-E-3'!F23</f>
        <v>0</v>
      </c>
      <c r="D61" s="120">
        <f>+'II-E-3'!G23</f>
        <v>30159720</v>
      </c>
      <c r="E61" s="120">
        <f>+'II-E-3'!H23</f>
        <v>5930086.7999999998</v>
      </c>
      <c r="F61" s="120">
        <f>+'II-E-3'!I23</f>
        <v>36089806.799999997</v>
      </c>
      <c r="G61" s="120">
        <f>+'II-E-3'!N23</f>
        <v>13270077.660000002</v>
      </c>
      <c r="H61" s="120">
        <f>+'II-E-3'!O23</f>
        <v>-127668.07000000001</v>
      </c>
      <c r="I61" s="120">
        <f>+'II-E-3'!P23</f>
        <v>21638.150000000001</v>
      </c>
      <c r="J61" s="120">
        <f>+'II-E-3'!Q23</f>
        <v>13164047.740000002</v>
      </c>
      <c r="K61" s="120">
        <f>+'II-E-3'!R23</f>
        <v>20604260.02</v>
      </c>
      <c r="L61" s="120">
        <f>+'II-E-3'!S23</f>
        <v>-10440.130000000001</v>
      </c>
      <c r="M61" s="120">
        <f>+'II-E-3'!T23</f>
        <v>20593819.890000001</v>
      </c>
      <c r="N61" s="120">
        <f>+'II-E-3'!U23</f>
        <v>2549533.1000000001</v>
      </c>
      <c r="O61" s="120">
        <f>+'II-E-3'!V23</f>
        <v>-217593.92999998515</v>
      </c>
      <c r="P61" s="126">
        <f t="shared" si="5" ref="P61:P62">+J61+M61+N61+O61</f>
        <v>36089806.800000019</v>
      </c>
    </row>
    <row r="62" spans="1:16" s="374" customFormat="1" ht="12.75">
      <c r="A62" s="146" t="s">
        <v>649</v>
      </c>
      <c r="B62" s="120">
        <f>+'II-E-3'!E24</f>
        <v>0</v>
      </c>
      <c r="C62" s="120">
        <f>+'II-E-3'!F24</f>
        <v>0</v>
      </c>
      <c r="D62" s="120">
        <f>+'II-E-3'!G24</f>
        <v>0</v>
      </c>
      <c r="E62" s="120">
        <f>+'II-E-3'!H24</f>
        <v>-1608928.6000000001</v>
      </c>
      <c r="F62" s="120">
        <f>+'II-E-3'!I24</f>
        <v>-1608928.6000000001</v>
      </c>
      <c r="G62" s="120">
        <f>+'II-E-3'!N24</f>
        <v>-1546304.1399999999</v>
      </c>
      <c r="H62" s="120">
        <f>+'II-E-3'!O24</f>
        <v>1591785.54</v>
      </c>
      <c r="I62" s="120">
        <f>+'II-E-3'!P24</f>
        <v>-1972.75</v>
      </c>
      <c r="J62" s="120">
        <f>+'II-E-3'!Q24</f>
        <v>43508.65000000014</v>
      </c>
      <c r="K62" s="120">
        <f>+'II-E-3'!R24</f>
        <v>-1676942.8500000001</v>
      </c>
      <c r="L62" s="120">
        <f>+'II-E-3'!S24</f>
        <v>130169.26</v>
      </c>
      <c r="M62" s="120">
        <f>+'II-E-3'!T24</f>
        <v>-1546773.5900000001</v>
      </c>
      <c r="N62" s="120">
        <f>+'II-E-3'!U24</f>
        <v>-57030.739999999998</v>
      </c>
      <c r="O62" s="120">
        <f>+'II-E-3'!V24</f>
        <v>-48632.919999999918</v>
      </c>
      <c r="P62" s="126">
        <f t="shared" si="5"/>
        <v>-1608928.5999999999</v>
      </c>
    </row>
    <row r="63" spans="1:16" ht="12.75">
      <c r="A63" s="146" t="s">
        <v>1115</v>
      </c>
      <c r="B63" s="120">
        <f>+'II-E-3'!E25</f>
        <v>352219</v>
      </c>
      <c r="C63" s="120">
        <f>+'II-E-3'!F25</f>
        <v>0</v>
      </c>
      <c r="D63" s="120">
        <f>+'II-E-3'!G25</f>
        <v>352219</v>
      </c>
      <c r="E63" s="120">
        <f>+'II-E-3'!H25</f>
        <v>150951</v>
      </c>
      <c r="F63" s="120">
        <f>+'II-E-3'!I25</f>
        <v>503170</v>
      </c>
      <c r="G63" s="120">
        <f>+'II-E-3'!N25</f>
        <v>233587.84</v>
      </c>
      <c r="H63" s="120">
        <f>+'II-E-3'!O25</f>
        <v>0</v>
      </c>
      <c r="I63" s="120">
        <f>+'II-E-3'!P25</f>
        <v>298.00999999999999</v>
      </c>
      <c r="J63" s="120">
        <f>+'II-E-3'!Q25</f>
        <v>233885.85000000001</v>
      </c>
      <c r="K63" s="120">
        <f>+'II-E-3'!R25</f>
        <v>253322.39000000001</v>
      </c>
      <c r="L63" s="120">
        <f>+'II-E-3'!S25</f>
        <v>0</v>
      </c>
      <c r="M63" s="120">
        <f>+'II-E-3'!T25</f>
        <v>253322.39000000001</v>
      </c>
      <c r="N63" s="120">
        <f>+'II-E-3'!U25</f>
        <v>8615.1800000000003</v>
      </c>
      <c r="O63" s="120">
        <f>+'II-E-3'!V25</f>
        <v>7346.580000000009</v>
      </c>
      <c r="P63" s="126">
        <f t="shared" si="4"/>
        <v>503170</v>
      </c>
    </row>
    <row r="64" spans="1:16" s="374" customFormat="1" ht="12.75">
      <c r="A64" s="352" t="s">
        <v>386</v>
      </c>
      <c r="B64" s="120">
        <f>+'II-E-3'!E26</f>
        <v>120366.49000000001</v>
      </c>
      <c r="C64" s="120">
        <f>+'II-E-3'!F26</f>
        <v>0</v>
      </c>
      <c r="D64" s="120">
        <f>+'II-E-3'!G26</f>
        <v>120366.49000000001</v>
      </c>
      <c r="E64" s="120">
        <f>+'II-E-3'!H26</f>
        <v>0</v>
      </c>
      <c r="F64" s="120">
        <f>+'II-E-3'!I26</f>
        <v>120366.49000000001</v>
      </c>
      <c r="G64" s="120">
        <f>+'II-E-3'!N26</f>
        <v>28038.459999999999</v>
      </c>
      <c r="H64" s="120">
        <f>+'II-E-3'!O26</f>
        <v>0</v>
      </c>
      <c r="I64" s="120">
        <f>+'II-E-3'!P26</f>
        <v>0</v>
      </c>
      <c r="J64" s="120">
        <f>+'II-E-3'!Q26</f>
        <v>28038.459999999999</v>
      </c>
      <c r="K64" s="120">
        <f>+'II-E-3'!R26</f>
        <v>85706.160000000003</v>
      </c>
      <c r="L64" s="120">
        <f>+'II-E-3'!S26</f>
        <v>0</v>
      </c>
      <c r="M64" s="120">
        <f>+'II-E-3'!T26</f>
        <v>85706.160000000003</v>
      </c>
      <c r="N64" s="120">
        <f>+'II-E-3'!U26</f>
        <v>4388.0100000000002</v>
      </c>
      <c r="O64" s="120">
        <f>+'II-E-3'!V26</f>
        <v>2233.8599999999951</v>
      </c>
      <c r="P64" s="126">
        <f t="shared" si="4"/>
        <v>120366.48999999999</v>
      </c>
    </row>
    <row r="65" spans="1:16" s="374" customFormat="1" ht="12.75">
      <c r="A65" s="146"/>
      <c r="B65" s="120"/>
      <c r="C65" s="120"/>
      <c r="D65" s="120"/>
      <c r="E65" s="120"/>
      <c r="F65" s="120"/>
      <c r="G65" s="120"/>
      <c r="H65" s="120"/>
      <c r="I65" s="120"/>
      <c r="J65" s="120"/>
      <c r="K65" s="120"/>
      <c r="L65" s="120"/>
      <c r="M65" s="120"/>
      <c r="N65" s="120"/>
      <c r="O65" s="120"/>
      <c r="P65" s="120"/>
    </row>
    <row r="66" spans="1:16" ht="12.75">
      <c r="A66" s="148"/>
      <c r="B66" s="120"/>
      <c r="C66" s="120"/>
      <c r="D66" s="120"/>
      <c r="E66" s="120"/>
      <c r="F66" s="120"/>
      <c r="G66" s="120"/>
      <c r="H66" s="120"/>
      <c r="I66" s="120"/>
      <c r="J66" s="120"/>
      <c r="K66" s="120"/>
      <c r="L66" s="120"/>
      <c r="M66" s="120"/>
      <c r="N66" s="120"/>
      <c r="O66" s="120"/>
      <c r="P66" s="126"/>
    </row>
    <row r="67" spans="11:15" ht="12.75">
      <c r="K67" s="374"/>
      <c r="N67" s="374"/>
      <c r="O67" s="374"/>
    </row>
    <row r="68" spans="1:16" ht="12.75">
      <c r="A68" s="241" t="s">
        <v>395</v>
      </c>
      <c r="B68" s="120">
        <f>+'II-E-3'!E31</f>
        <v>280766.15000000002</v>
      </c>
      <c r="C68" s="120">
        <f>+'II-E-3'!F31</f>
        <v>0</v>
      </c>
      <c r="D68" s="120">
        <f>+'II-E-3'!G31</f>
        <v>280766.15000000002</v>
      </c>
      <c r="E68" s="120">
        <f>+'II-E-3'!H31</f>
        <v>0</v>
      </c>
      <c r="F68" s="120">
        <f>+'II-E-3'!I31</f>
        <v>280766.15000000002</v>
      </c>
      <c r="G68" s="120">
        <f>+'II-E-3'!N31</f>
        <v>130340.76</v>
      </c>
      <c r="H68" s="120">
        <f>+'II-E-3'!O31</f>
        <v>0</v>
      </c>
      <c r="I68" s="120">
        <f>+'II-E-3'!P31</f>
        <v>166.28999999999999</v>
      </c>
      <c r="J68" s="120">
        <f>+'II-E-3'!Q31</f>
        <v>130507.04999999999</v>
      </c>
      <c r="K68" s="120">
        <f>+'II-E-3'!R31</f>
        <v>141352.53</v>
      </c>
      <c r="L68" s="120">
        <f>+'II-E-3'!S31</f>
        <v>0</v>
      </c>
      <c r="M68" s="120">
        <f>+'II-E-3'!T31</f>
        <v>141352.53</v>
      </c>
      <c r="N68" s="120">
        <f>+'II-E-3'!U31</f>
        <v>4807.2200000000003</v>
      </c>
      <c r="O68" s="120">
        <f>+'II-E-3'!V31</f>
        <v>4099.3500000000358</v>
      </c>
      <c r="P68" s="126">
        <f t="shared" si="6" ref="P68:P74">+J68+M68+N68+O68</f>
        <v>280766.14999999997</v>
      </c>
    </row>
    <row r="69" spans="1:16" ht="12.75">
      <c r="A69" s="146" t="s">
        <v>415</v>
      </c>
      <c r="B69" s="120">
        <f>+'II-E-3'!E32</f>
        <v>1697686.1399999999</v>
      </c>
      <c r="C69" s="120">
        <f>+'II-E-3'!F32</f>
        <v>0</v>
      </c>
      <c r="D69" s="120">
        <f>+'II-E-3'!G32</f>
        <v>1697686.1399999999</v>
      </c>
      <c r="E69" s="120">
        <f>+'II-E-3'!H32</f>
        <v>0</v>
      </c>
      <c r="F69" s="120">
        <f>+'II-E-3'!I32</f>
        <v>1697686.1399999999</v>
      </c>
      <c r="G69" s="120">
        <f>+'II-E-3'!N32</f>
        <v>373833.14000000001</v>
      </c>
      <c r="H69" s="120">
        <f>+'II-E-3'!O32</f>
        <v>0</v>
      </c>
      <c r="I69" s="120">
        <f>+'II-E-3'!P32</f>
        <v>0</v>
      </c>
      <c r="J69" s="120">
        <f>+'II-E-3'!Q32</f>
        <v>373833.14000000001</v>
      </c>
      <c r="K69" s="120">
        <f>+'II-E-3'!R32</f>
        <v>1031343.5</v>
      </c>
      <c r="L69" s="120">
        <f>+'II-E-3'!S32</f>
        <v>0</v>
      </c>
      <c r="M69" s="120">
        <f>+'II-E-3'!T32</f>
        <v>1031343.5</v>
      </c>
      <c r="N69" s="120">
        <f>+'II-E-3'!U32</f>
        <v>281193.88</v>
      </c>
      <c r="O69" s="120">
        <f>+'II-E-3'!V32</f>
        <v>11315.619999999995</v>
      </c>
      <c r="P69" s="126">
        <f t="shared" si="6"/>
        <v>1697686.1400000001</v>
      </c>
    </row>
    <row r="70" spans="1:16" ht="12.75">
      <c r="A70" s="146" t="s">
        <v>416</v>
      </c>
      <c r="B70" s="120">
        <f>+'II-E-3'!E33</f>
        <v>207160</v>
      </c>
      <c r="C70" s="120">
        <f>+'II-E-3'!F33</f>
        <v>0</v>
      </c>
      <c r="D70" s="120">
        <f>+'II-E-3'!G33</f>
        <v>207160</v>
      </c>
      <c r="E70" s="120">
        <f>+'II-E-3'!H33</f>
        <v>-207160</v>
      </c>
      <c r="F70" s="120">
        <f>+'II-E-3'!I33</f>
        <v>0</v>
      </c>
      <c r="G70" s="120">
        <f>+'II-E-3'!N33</f>
        <v>0</v>
      </c>
      <c r="H70" s="120">
        <f>+'II-E-3'!O33</f>
        <v>0</v>
      </c>
      <c r="I70" s="120">
        <f>+'II-E-3'!P33</f>
        <v>0</v>
      </c>
      <c r="J70" s="120">
        <f>+'II-E-3'!Q33</f>
        <v>0</v>
      </c>
      <c r="K70" s="120">
        <f>+'II-E-3'!R33</f>
        <v>0</v>
      </c>
      <c r="L70" s="120">
        <f>+'II-E-3'!S33</f>
        <v>0</v>
      </c>
      <c r="M70" s="120">
        <f>+'II-E-3'!T33</f>
        <v>0</v>
      </c>
      <c r="N70" s="120">
        <f>+'II-E-3'!U33</f>
        <v>0</v>
      </c>
      <c r="O70" s="120">
        <f>+'II-E-3'!V33</f>
        <v>0</v>
      </c>
      <c r="P70" s="126">
        <f>+J70+M70+N70+O70</f>
        <v>0</v>
      </c>
    </row>
    <row r="71" spans="1:16" ht="12.75">
      <c r="A71" s="581" t="s">
        <v>646</v>
      </c>
      <c r="B71" s="120">
        <f>+'II-E-3'!E34</f>
        <v>1420342.1399999999</v>
      </c>
      <c r="C71" s="120">
        <f>+'II-E-3'!F34</f>
        <v>0</v>
      </c>
      <c r="D71" s="120">
        <f>+'II-E-3'!G34</f>
        <v>1420342.1399999999</v>
      </c>
      <c r="E71" s="120">
        <f>+'II-E-3'!H34</f>
        <v>0</v>
      </c>
      <c r="F71" s="120">
        <f>+'II-E-3'!I34</f>
        <v>1420342.1399999999</v>
      </c>
      <c r="G71" s="120">
        <f>+'II-E-3'!N34</f>
        <v>312761.56</v>
      </c>
      <c r="H71" s="120">
        <f>+'II-E-3'!O34</f>
        <v>0</v>
      </c>
      <c r="I71" s="120">
        <f>+'II-E-3'!P34</f>
        <v>0</v>
      </c>
      <c r="J71" s="120">
        <f>+'II-E-3'!Q34</f>
        <v>312761.56</v>
      </c>
      <c r="K71" s="120">
        <f>+'II-E-3'!R34</f>
        <v>862857.16000000003</v>
      </c>
      <c r="L71" s="120">
        <f>+'II-E-3'!S34</f>
        <v>0</v>
      </c>
      <c r="M71" s="120">
        <f>+'II-E-3'!T34</f>
        <v>862857.16000000003</v>
      </c>
      <c r="N71" s="120">
        <f>+'II-E-3'!U34</f>
        <v>235256.39999999999</v>
      </c>
      <c r="O71" s="120">
        <f>+'II-E-3'!V34</f>
        <v>9467.0199999998149</v>
      </c>
      <c r="P71" s="126">
        <f t="shared" si="6"/>
        <v>1420342.1399999997</v>
      </c>
    </row>
    <row r="72" spans="1:16" ht="12.75">
      <c r="A72" s="146" t="s">
        <v>60</v>
      </c>
      <c r="B72" s="120">
        <f>+'II-E-3'!E35</f>
        <v>-4969701.4299999997</v>
      </c>
      <c r="C72" s="120">
        <f>+'II-E-3'!F35</f>
        <v>0</v>
      </c>
      <c r="D72" s="120">
        <f>+'II-E-3'!G35</f>
        <v>-4969701.4299999997</v>
      </c>
      <c r="E72" s="120">
        <f>+'II-E-3'!H35</f>
        <v>0</v>
      </c>
      <c r="F72" s="120">
        <f>+'II-E-3'!I35</f>
        <v>-4969701.4299999997</v>
      </c>
      <c r="G72" s="120">
        <f>+'II-E-3'!N35</f>
        <v>-1426489.3000000001</v>
      </c>
      <c r="H72" s="120">
        <f>+'II-E-3'!O35</f>
        <v>0</v>
      </c>
      <c r="I72" s="120">
        <f>+'II-E-3'!P35</f>
        <v>0</v>
      </c>
      <c r="J72" s="120">
        <f>+'II-E-3'!Q35</f>
        <v>-1426489.3000000001</v>
      </c>
      <c r="K72" s="120">
        <f>+'II-E-3'!R35</f>
        <v>-2460478.1699999999</v>
      </c>
      <c r="L72" s="120">
        <f>+'II-E-3'!S35</f>
        <v>0</v>
      </c>
      <c r="M72" s="120">
        <f>+'II-E-3'!T35</f>
        <v>-2460478.1699999999</v>
      </c>
      <c r="N72" s="120">
        <f>+'II-E-3'!U35</f>
        <v>-815018.30000000005</v>
      </c>
      <c r="O72" s="120">
        <f>+'II-E-3'!V35</f>
        <v>-267715.65999999997</v>
      </c>
      <c r="P72" s="126">
        <f t="shared" si="6"/>
        <v>-4969701.4299999997</v>
      </c>
    </row>
    <row r="73" spans="1:16" s="374" customFormat="1" ht="12.75">
      <c r="A73" s="146" t="s">
        <v>1001</v>
      </c>
      <c r="B73" s="120">
        <f>+'II-E-3'!E36</f>
        <v>13309</v>
      </c>
      <c r="C73" s="120">
        <f>+'II-E-3'!F36</f>
        <v>0</v>
      </c>
      <c r="D73" s="120">
        <f>+'II-E-3'!G36</f>
        <v>13309</v>
      </c>
      <c r="E73" s="120">
        <f>+'II-E-3'!H36</f>
        <v>-13309</v>
      </c>
      <c r="F73" s="120">
        <f>+'II-E-3'!I36</f>
        <v>0</v>
      </c>
      <c r="G73" s="120">
        <f>+'II-E-3'!J36</f>
        <v>1</v>
      </c>
      <c r="H73" s="120">
        <f>+'II-E-3'!K36</f>
        <v>0</v>
      </c>
      <c r="I73" s="120">
        <f>+'II-E-3'!L36</f>
        <v>0</v>
      </c>
      <c r="J73" s="120">
        <f>+'II-E-3'!M36</f>
        <v>0</v>
      </c>
      <c r="K73" s="120">
        <f>+'II-E-3'!N36</f>
        <v>0</v>
      </c>
      <c r="L73" s="120">
        <f>+'II-E-3'!O36</f>
        <v>0</v>
      </c>
      <c r="M73" s="120">
        <f>+'II-E-3'!P36</f>
        <v>0</v>
      </c>
      <c r="N73" s="120">
        <f>+'II-E-3'!Q36</f>
        <v>0</v>
      </c>
      <c r="O73" s="120">
        <f>+'II-E-3'!R36</f>
        <v>0</v>
      </c>
      <c r="P73" s="120">
        <f>+'II-E-3'!S36</f>
        <v>0</v>
      </c>
    </row>
    <row r="74" spans="1:16" ht="12.75">
      <c r="A74" s="146" t="s">
        <v>36</v>
      </c>
      <c r="B74" s="120">
        <f>+'II-E-3'!E37</f>
        <v>-294581.10999999999</v>
      </c>
      <c r="C74" s="120">
        <f>+'II-E-3'!F37</f>
        <v>0</v>
      </c>
      <c r="D74" s="120">
        <f>+'II-E-3'!G37</f>
        <v>-294581.10999999999</v>
      </c>
      <c r="E74" s="120">
        <f>+'II-E-3'!H37</f>
        <v>294581.10999999999</v>
      </c>
      <c r="F74" s="120">
        <f>+'II-E-3'!I37</f>
        <v>0</v>
      </c>
      <c r="G74" s="120">
        <f>+'II-E-3'!N37</f>
        <v>0</v>
      </c>
      <c r="H74" s="120">
        <f>+'II-E-3'!O37</f>
        <v>0</v>
      </c>
      <c r="I74" s="120">
        <f>+'II-E-3'!P37</f>
        <v>0</v>
      </c>
      <c r="J74" s="120">
        <f>+'II-E-3'!Q37</f>
        <v>0</v>
      </c>
      <c r="K74" s="120">
        <f>+'II-E-3'!R37</f>
        <v>0</v>
      </c>
      <c r="L74" s="120">
        <f>+'II-E-3'!S37</f>
        <v>0</v>
      </c>
      <c r="M74" s="120">
        <f>+'II-E-3'!T37</f>
        <v>0</v>
      </c>
      <c r="N74" s="120">
        <f>+'II-E-3'!U37</f>
        <v>0</v>
      </c>
      <c r="O74" s="120">
        <f>+'II-E-3'!V37</f>
        <v>0</v>
      </c>
      <c r="P74" s="126">
        <f t="shared" si="6"/>
        <v>0</v>
      </c>
    </row>
    <row r="75" spans="1:16" ht="12.75">
      <c r="A75" s="30"/>
      <c r="B75" s="120"/>
      <c r="C75" s="120"/>
      <c r="D75" s="120"/>
      <c r="E75" s="120"/>
      <c r="F75" s="120"/>
      <c r="G75" s="120"/>
      <c r="H75" s="120"/>
      <c r="I75" s="120"/>
      <c r="J75" s="120"/>
      <c r="K75" s="120"/>
      <c r="L75" s="120"/>
      <c r="M75" s="120"/>
      <c r="N75" s="120"/>
      <c r="O75" s="120"/>
      <c r="P75" s="126"/>
    </row>
    <row r="76" spans="1:16" ht="12.75">
      <c r="A76" s="30"/>
      <c r="B76" s="120"/>
      <c r="C76" s="120"/>
      <c r="D76" s="120"/>
      <c r="E76" s="120"/>
      <c r="F76" s="120"/>
      <c r="G76" s="120"/>
      <c r="H76" s="120"/>
      <c r="I76" s="120"/>
      <c r="J76" s="120"/>
      <c r="K76" s="120"/>
      <c r="L76" s="120"/>
      <c r="M76" s="120"/>
      <c r="N76" s="120"/>
      <c r="O76" s="120"/>
      <c r="P76" s="126"/>
    </row>
    <row r="77" spans="1:16" ht="12.75">
      <c r="A77" s="146" t="s">
        <v>542</v>
      </c>
      <c r="B77" s="394">
        <f>+'II-E-4.1'!E26</f>
        <v>-30673.619999999995</v>
      </c>
      <c r="C77" s="394">
        <f>+'II-E-4.1'!F26</f>
        <v>0</v>
      </c>
      <c r="D77" s="394">
        <f>+'II-E-4.1'!G26</f>
        <v>-30673.619999999995</v>
      </c>
      <c r="E77" s="394">
        <f>+'II-E-4.1'!H26</f>
        <v>23907316.730304793</v>
      </c>
      <c r="F77" s="394">
        <f>+'II-E-4.1'!I26</f>
        <v>23876643.110304788</v>
      </c>
      <c r="G77" s="394">
        <f>+'II-E-4.1'!N26</f>
        <v>338718.48999999999</v>
      </c>
      <c r="H77" s="394">
        <f>+'II-E-4.1'!O26</f>
        <v>806325.84999999998</v>
      </c>
      <c r="I77" s="394">
        <f>+'II-E-4.1'!P26</f>
        <v>0</v>
      </c>
      <c r="J77" s="394">
        <f>+'II-E-4.1'!Q26</f>
        <v>1145044.3400000001</v>
      </c>
      <c r="K77" s="394">
        <f>+'II-E-4.1'!R26</f>
        <v>-2773001.1500000004</v>
      </c>
      <c r="L77" s="394">
        <f>+'II-E-4.1'!S26</f>
        <v>44641.760304789641</v>
      </c>
      <c r="M77" s="394">
        <f>+'II-E-4.1'!T26</f>
        <v>-2728359.3896952104</v>
      </c>
      <c r="N77" s="394">
        <f>+'II-E-4.1'!U26</f>
        <v>25459958.16</v>
      </c>
      <c r="O77" s="394">
        <f>+'II-E-4.1'!V26</f>
        <v>0</v>
      </c>
      <c r="P77" s="531">
        <f t="shared" si="7" ref="P77">+J77+M77+N77+O77</f>
        <v>23876643.110304791</v>
      </c>
    </row>
    <row r="78" spans="1:16" ht="12.75">
      <c r="A78" s="30"/>
      <c r="B78" s="120"/>
      <c r="C78" s="120"/>
      <c r="D78" s="120"/>
      <c r="E78" s="120"/>
      <c r="F78" s="120"/>
      <c r="G78" s="120"/>
      <c r="H78" s="120"/>
      <c r="I78" s="120"/>
      <c r="J78" s="120"/>
      <c r="K78" s="120"/>
      <c r="L78" s="120"/>
      <c r="M78" s="120"/>
      <c r="N78" s="120"/>
      <c r="O78" s="120"/>
      <c r="P78" s="126"/>
    </row>
    <row r="79" spans="1:16" ht="12.75">
      <c r="A79" s="57"/>
      <c r="B79" s="120"/>
      <c r="C79" s="120"/>
      <c r="D79" s="120"/>
      <c r="E79" s="120"/>
      <c r="F79" s="120"/>
      <c r="G79" s="120"/>
      <c r="H79" s="120"/>
      <c r="I79" s="120"/>
      <c r="J79" s="120"/>
      <c r="K79" s="120"/>
      <c r="L79" s="120"/>
      <c r="M79" s="120"/>
      <c r="N79" s="120"/>
      <c r="O79" s="120"/>
      <c r="P79" s="126"/>
    </row>
    <row r="80" spans="1:16" ht="12.75">
      <c r="A80" s="57"/>
      <c r="B80" s="120"/>
      <c r="C80" s="120"/>
      <c r="D80" s="120"/>
      <c r="E80" s="120"/>
      <c r="F80" s="120"/>
      <c r="G80" s="120"/>
      <c r="H80" s="120"/>
      <c r="I80" s="120"/>
      <c r="J80" s="120"/>
      <c r="K80" s="120"/>
      <c r="L80" s="120"/>
      <c r="M80" s="120"/>
      <c r="N80" s="120"/>
      <c r="O80" s="120"/>
      <c r="P80" s="126"/>
    </row>
    <row r="81" spans="1:16" ht="12.75">
      <c r="A81" s="143"/>
      <c r="B81" s="120"/>
      <c r="C81" s="120"/>
      <c r="D81" s="120"/>
      <c r="E81" s="120"/>
      <c r="F81" s="120"/>
      <c r="G81" s="120"/>
      <c r="H81" s="120"/>
      <c r="I81" s="120"/>
      <c r="J81" s="120"/>
      <c r="K81" s="120"/>
      <c r="L81" s="120"/>
      <c r="M81" s="120"/>
      <c r="N81" s="120"/>
      <c r="O81" s="120"/>
      <c r="P81" s="126"/>
    </row>
    <row r="84" spans="1:16" ht="12.75">
      <c r="A84" s="30" t="s">
        <v>196</v>
      </c>
      <c r="B84" s="120">
        <f>+'II-E-4'!E18</f>
        <v>228869.35000000001</v>
      </c>
      <c r="C84" s="120">
        <f>+'II-E-4'!F18</f>
        <v>0</v>
      </c>
      <c r="D84" s="120">
        <f>+'II-E-4'!G18</f>
        <v>228869.35000000001</v>
      </c>
      <c r="E84" s="120">
        <f>+'II-E-4'!H18</f>
        <v>-206051.06</v>
      </c>
      <c r="F84" s="120">
        <f>+'II-E-4'!I18</f>
        <v>22818.290000000001</v>
      </c>
      <c r="G84" s="120">
        <f>+'II-E-4'!N18</f>
        <v>22721.029999999999</v>
      </c>
      <c r="H84" s="120">
        <f>+'II-E-4'!O18</f>
        <v>0</v>
      </c>
      <c r="I84" s="120">
        <f>+'II-E-4'!P18</f>
        <v>0</v>
      </c>
      <c r="J84" s="120">
        <f>+'II-E-4'!Q18</f>
        <v>22721.029999999999</v>
      </c>
      <c r="K84" s="120">
        <f>+'II-E-4'!R18</f>
        <v>97.260000000002037</v>
      </c>
      <c r="L84" s="120">
        <f>+'II-E-4'!S18</f>
        <v>0</v>
      </c>
      <c r="M84" s="120">
        <f>+'II-E-4'!T18</f>
        <v>97.260000000002037</v>
      </c>
      <c r="N84" s="120">
        <f>+'II-E-4'!U18</f>
        <v>0</v>
      </c>
      <c r="O84" s="120">
        <f>+'II-E-4'!V18</f>
        <v>0</v>
      </c>
      <c r="P84" s="126">
        <f t="shared" si="8" ref="P84:P85">+J84+M84+N84+O84</f>
        <v>22818.290000000001</v>
      </c>
    </row>
    <row r="85" spans="1:16" ht="12.75">
      <c r="A85" s="30"/>
      <c r="B85" s="120"/>
      <c r="C85" s="120"/>
      <c r="D85" s="120"/>
      <c r="E85" s="120"/>
      <c r="F85" s="120"/>
      <c r="G85" s="120"/>
      <c r="H85" s="120"/>
      <c r="I85" s="120"/>
      <c r="J85" s="120"/>
      <c r="K85" s="120"/>
      <c r="L85" s="120"/>
      <c r="M85" s="120"/>
      <c r="N85" s="120"/>
      <c r="O85" s="120"/>
      <c r="P85" s="126">
        <f t="shared" si="8"/>
        <v>0</v>
      </c>
    </row>
    <row r="86" spans="11:15" ht="12.75">
      <c r="K86" s="374"/>
      <c r="N86" s="374"/>
      <c r="O86" s="374"/>
    </row>
    <row r="87" spans="1:16" ht="12.75">
      <c r="A87" s="352" t="s">
        <v>594</v>
      </c>
      <c r="B87" s="120">
        <f>+'II-E-5'!E17</f>
        <v>0</v>
      </c>
      <c r="C87" s="120">
        <f>+'II-E-5'!F17</f>
        <v>0</v>
      </c>
      <c r="D87" s="120">
        <f>+'II-E-5'!H17</f>
        <v>0</v>
      </c>
      <c r="E87" s="120">
        <f>+'II-E-5'!I17</f>
        <v>17616778</v>
      </c>
      <c r="F87" s="120">
        <f>+'II-E-5'!J17</f>
        <v>17616778</v>
      </c>
      <c r="G87" s="120">
        <f>+'II-E-5'!O17</f>
        <v>0</v>
      </c>
      <c r="H87" s="120">
        <f>+'II-E-5'!P17</f>
        <v>0</v>
      </c>
      <c r="I87" s="120">
        <f>+'II-E-5'!Q17</f>
        <v>0</v>
      </c>
      <c r="J87" s="120">
        <f>+'II-E-5'!R17</f>
        <v>0</v>
      </c>
      <c r="K87" s="120">
        <f>+'II-E-5'!S17</f>
        <v>17616778</v>
      </c>
      <c r="L87" s="120">
        <f>+'II-E-5'!T17</f>
        <v>0</v>
      </c>
      <c r="M87" s="120">
        <f>+'II-E-5'!U17</f>
        <v>17616778</v>
      </c>
      <c r="N87" s="120">
        <f>+'II-E-5'!V17</f>
        <v>0</v>
      </c>
      <c r="O87" s="120">
        <f>+'II-E-5'!W17</f>
        <v>0</v>
      </c>
      <c r="P87" s="126">
        <f t="shared" si="9" ref="P87:P96">+J87+M87+N87+O87</f>
        <v>17616778</v>
      </c>
    </row>
    <row r="88" spans="1:16" ht="12.75">
      <c r="A88" s="30" t="s">
        <v>284</v>
      </c>
      <c r="B88" s="120">
        <f>+'II-E-5'!E18</f>
        <v>1070706.0600000001</v>
      </c>
      <c r="C88" s="120">
        <f>+'II-E-5'!F18</f>
        <v>0</v>
      </c>
      <c r="D88" s="120">
        <f>+'II-E-5'!H18</f>
        <v>1070706.0600000001</v>
      </c>
      <c r="E88" s="120">
        <f>+'II-E-5'!I18</f>
        <v>0</v>
      </c>
      <c r="F88" s="120">
        <f>+'II-E-5'!J18</f>
        <v>1070706.0600000001</v>
      </c>
      <c r="G88" s="120">
        <f>+'II-E-5'!O18</f>
        <v>0</v>
      </c>
      <c r="H88" s="120">
        <f>+'II-E-5'!P18</f>
        <v>0</v>
      </c>
      <c r="I88" s="120">
        <f>+'II-E-5'!Q18</f>
        <v>0</v>
      </c>
      <c r="J88" s="120">
        <f>+'II-E-5'!R18</f>
        <v>0</v>
      </c>
      <c r="K88" s="120">
        <f>+'II-E-5'!S18</f>
        <v>1070706.0600000001</v>
      </c>
      <c r="L88" s="120">
        <f>+'II-E-5'!T18</f>
        <v>0</v>
      </c>
      <c r="M88" s="120">
        <f>+'II-E-5'!U18</f>
        <v>1070706.0600000001</v>
      </c>
      <c r="N88" s="120">
        <f>+'II-E-5'!V18</f>
        <v>0</v>
      </c>
      <c r="O88" s="120">
        <f>+'II-E-5'!W18</f>
        <v>0</v>
      </c>
      <c r="P88" s="126">
        <f t="shared" si="9"/>
        <v>1070706.0600000001</v>
      </c>
    </row>
    <row r="89" spans="1:16" ht="12.75">
      <c r="A89" s="30" t="s">
        <v>364</v>
      </c>
      <c r="B89" s="120">
        <f>+'II-E-5'!E19</f>
        <v>20397856.600000001</v>
      </c>
      <c r="C89" s="120">
        <f>+'II-E-5'!F19</f>
        <v>0</v>
      </c>
      <c r="D89" s="120">
        <f>+'II-E-5'!H19</f>
        <v>20397856.600000001</v>
      </c>
      <c r="E89" s="120">
        <f>+'II-E-5'!I19</f>
        <v>2070646.8399999999</v>
      </c>
      <c r="F89" s="120">
        <f>+'II-E-5'!J19</f>
        <v>22468503.440000001</v>
      </c>
      <c r="G89" s="120">
        <f>+'II-E-5'!O19</f>
        <v>0</v>
      </c>
      <c r="H89" s="120">
        <f>+'II-E-5'!P19</f>
        <v>0</v>
      </c>
      <c r="I89" s="120">
        <f>+'II-E-5'!Q19</f>
        <v>0</v>
      </c>
      <c r="J89" s="120">
        <f>+'II-E-5'!R19</f>
        <v>0</v>
      </c>
      <c r="K89" s="120">
        <f>+'II-E-5'!S19</f>
        <v>17168857.82</v>
      </c>
      <c r="L89" s="120">
        <f>+'II-E-5'!T19</f>
        <v>0</v>
      </c>
      <c r="M89" s="120">
        <f>+'II-E-5'!U19</f>
        <v>17168857.82</v>
      </c>
      <c r="N89" s="120">
        <f>+'II-E-5'!V19</f>
        <v>5094630.9699999997</v>
      </c>
      <c r="O89" s="120">
        <f>+'II-E-5'!W19</f>
        <v>205014.6500000013</v>
      </c>
      <c r="P89" s="126">
        <f t="shared" si="9"/>
        <v>22468503.440000001</v>
      </c>
    </row>
    <row r="90" spans="1:16" ht="12.75">
      <c r="A90" s="30" t="s">
        <v>285</v>
      </c>
      <c r="B90" s="120">
        <f>+'II-E-5'!E20</f>
        <v>456565.46000000002</v>
      </c>
      <c r="C90" s="120">
        <f>+'II-E-5'!F20</f>
        <v>0</v>
      </c>
      <c r="D90" s="120">
        <f>+'II-E-5'!H20</f>
        <v>456565.46000000002</v>
      </c>
      <c r="E90" s="120">
        <f>+'II-E-5'!I20</f>
        <v>0</v>
      </c>
      <c r="F90" s="120">
        <f>+'II-E-5'!J20</f>
        <v>456565.46000000002</v>
      </c>
      <c r="G90" s="120">
        <f>+'II-E-5'!O20</f>
        <v>0</v>
      </c>
      <c r="H90" s="120">
        <f>+'II-E-5'!P20</f>
        <v>0</v>
      </c>
      <c r="I90" s="120">
        <f>+'II-E-5'!Q20</f>
        <v>0</v>
      </c>
      <c r="J90" s="120">
        <f>+'II-E-5'!R20</f>
        <v>0</v>
      </c>
      <c r="K90" s="120">
        <f>+'II-E-5'!S20</f>
        <v>456565.46000000002</v>
      </c>
      <c r="L90" s="120">
        <f>+'II-E-5'!T20</f>
        <v>0</v>
      </c>
      <c r="M90" s="120">
        <f>+'II-E-5'!U20</f>
        <v>456565.46000000002</v>
      </c>
      <c r="N90" s="120">
        <f>+'II-E-5'!V20</f>
        <v>0</v>
      </c>
      <c r="O90" s="120">
        <f>+'II-E-5'!W20</f>
        <v>0</v>
      </c>
      <c r="P90" s="126">
        <f t="shared" si="9"/>
        <v>456565.46000000002</v>
      </c>
    </row>
    <row r="91" spans="1:16" ht="12.75">
      <c r="A91" s="30" t="s">
        <v>340</v>
      </c>
      <c r="B91" s="120">
        <f>+'II-E-5'!E22</f>
        <v>8281656.0099999998</v>
      </c>
      <c r="C91" s="120">
        <f>+'II-E-5'!F22</f>
        <v>0</v>
      </c>
      <c r="D91" s="120">
        <f>+'II-E-5'!H22</f>
        <v>8281656.0099999998</v>
      </c>
      <c r="E91" s="120">
        <f>+'II-E-5'!I22</f>
        <v>0</v>
      </c>
      <c r="F91" s="120">
        <f>+'II-E-5'!J22</f>
        <v>8281656.0099999998</v>
      </c>
      <c r="G91" s="120">
        <f>+'II-E-5'!O22</f>
        <v>0</v>
      </c>
      <c r="H91" s="120">
        <f>+'II-E-5'!P22</f>
        <v>0</v>
      </c>
      <c r="I91" s="120">
        <f>+'II-E-5'!Q22</f>
        <v>0</v>
      </c>
      <c r="J91" s="120">
        <f>+'II-E-5'!R22</f>
        <v>0</v>
      </c>
      <c r="K91" s="120">
        <f>+'II-E-5'!S22</f>
        <v>8281656.0099999998</v>
      </c>
      <c r="L91" s="120">
        <f>+'II-E-5'!T22</f>
        <v>0</v>
      </c>
      <c r="M91" s="120">
        <f>+'II-E-5'!U22</f>
        <v>8281656.0099999998</v>
      </c>
      <c r="N91" s="120">
        <f>+'II-E-5'!V22</f>
        <v>0</v>
      </c>
      <c r="O91" s="120">
        <f>+'II-E-5'!W22</f>
        <v>0</v>
      </c>
      <c r="P91" s="126">
        <f t="shared" si="9"/>
        <v>8281656.0099999998</v>
      </c>
    </row>
    <row r="92" spans="1:16" ht="12.75">
      <c r="A92" s="30" t="s">
        <v>341</v>
      </c>
      <c r="B92" s="120">
        <f>+'II-E-5'!E23</f>
        <v>2021249.96</v>
      </c>
      <c r="C92" s="120">
        <f>+'II-E-5'!F23</f>
        <v>0</v>
      </c>
      <c r="D92" s="120">
        <f>+'II-E-5'!H23</f>
        <v>2021249.96</v>
      </c>
      <c r="E92" s="120">
        <f>+'II-E-5'!I23</f>
        <v>0</v>
      </c>
      <c r="F92" s="120">
        <f>+'II-E-5'!J23</f>
        <v>2021249.96</v>
      </c>
      <c r="G92" s="120">
        <f>+'II-E-5'!O23</f>
        <v>961339</v>
      </c>
      <c r="H92" s="120">
        <f>+'II-E-5'!P23</f>
        <v>0</v>
      </c>
      <c r="I92" s="120">
        <f>+'II-E-5'!Q23</f>
        <v>0</v>
      </c>
      <c r="J92" s="120">
        <f>+'II-E-5'!R23</f>
        <v>961339</v>
      </c>
      <c r="K92" s="120">
        <f>+'II-E-5'!S23</f>
        <v>1059910.96</v>
      </c>
      <c r="L92" s="120">
        <f>+'II-E-5'!T23</f>
        <v>0</v>
      </c>
      <c r="M92" s="120">
        <f>+'II-E-5'!U23</f>
        <v>1059910.96</v>
      </c>
      <c r="N92" s="120">
        <f>+'II-E-5'!V23</f>
        <v>0</v>
      </c>
      <c r="O92" s="120">
        <f>+'II-E-5'!W23</f>
        <v>0</v>
      </c>
      <c r="P92" s="126">
        <f t="shared" si="9"/>
        <v>2021249.96</v>
      </c>
    </row>
    <row r="93" spans="1:16" ht="12.75">
      <c r="A93" s="30" t="s">
        <v>342</v>
      </c>
      <c r="B93" s="120">
        <f>+'II-E-5'!E24</f>
        <v>14538318.33</v>
      </c>
      <c r="C93" s="120">
        <f>+'II-E-5'!F24</f>
        <v>0</v>
      </c>
      <c r="D93" s="120">
        <f>+'II-E-5'!H24</f>
        <v>14538318.33</v>
      </c>
      <c r="E93" s="120">
        <f>+'II-E-5'!I24</f>
        <v>0</v>
      </c>
      <c r="F93" s="120">
        <f>+'II-E-5'!J24</f>
        <v>14538318.33</v>
      </c>
      <c r="G93" s="120">
        <f>+'II-E-5'!O24</f>
        <v>14538318.33</v>
      </c>
      <c r="H93" s="120">
        <f>+'II-E-5'!P24</f>
        <v>0</v>
      </c>
      <c r="I93" s="120">
        <f>+'II-E-5'!Q24</f>
        <v>0</v>
      </c>
      <c r="J93" s="120">
        <f>+'II-E-5'!R24</f>
        <v>14538318.33</v>
      </c>
      <c r="K93" s="120">
        <f>+'II-E-5'!S24</f>
        <v>0</v>
      </c>
      <c r="L93" s="120">
        <f>+'II-E-5'!T24</f>
        <v>0</v>
      </c>
      <c r="M93" s="120">
        <f>+'II-E-5'!U24</f>
        <v>0</v>
      </c>
      <c r="N93" s="120">
        <f>+'II-E-5'!V24</f>
        <v>0</v>
      </c>
      <c r="O93" s="120">
        <f>+'II-E-5'!W24</f>
        <v>0</v>
      </c>
      <c r="P93" s="126">
        <f t="shared" si="9"/>
        <v>14538318.33</v>
      </c>
    </row>
    <row r="94" spans="1:16" ht="12.75">
      <c r="A94" s="30" t="s">
        <v>339</v>
      </c>
      <c r="B94" s="120">
        <f>+'II-E-5'!E25</f>
        <v>625806.56000000006</v>
      </c>
      <c r="C94" s="120">
        <f>+'II-E-5'!F25</f>
        <v>0</v>
      </c>
      <c r="D94" s="120">
        <f>+'II-E-5'!H25</f>
        <v>625806.56000000006</v>
      </c>
      <c r="E94" s="120">
        <f>+'II-E-5'!I25</f>
        <v>0</v>
      </c>
      <c r="F94" s="120">
        <f>+'II-E-5'!J25</f>
        <v>625806.56000000006</v>
      </c>
      <c r="G94" s="120">
        <f>+'II-E-5'!O25</f>
        <v>609106.56000000006</v>
      </c>
      <c r="H94" s="120">
        <f>+'II-E-5'!P25</f>
        <v>0</v>
      </c>
      <c r="I94" s="120">
        <f>+'II-E-5'!Q25</f>
        <v>0</v>
      </c>
      <c r="J94" s="120">
        <f>+'II-E-5'!R25</f>
        <v>609106.56000000006</v>
      </c>
      <c r="K94" s="120">
        <f>+'II-E-5'!S25</f>
        <v>16700</v>
      </c>
      <c r="L94" s="120">
        <f>+'II-E-5'!T25</f>
        <v>0</v>
      </c>
      <c r="M94" s="120">
        <f>+'II-E-5'!U25</f>
        <v>16700</v>
      </c>
      <c r="N94" s="120">
        <f>+'II-E-5'!V25</f>
        <v>0</v>
      </c>
      <c r="O94" s="120">
        <f>+'II-E-5'!W25</f>
        <v>0</v>
      </c>
      <c r="P94" s="126">
        <f t="shared" si="9"/>
        <v>625806.56000000006</v>
      </c>
    </row>
    <row r="95" spans="1:16" ht="12.75">
      <c r="A95" s="30" t="s">
        <v>343</v>
      </c>
      <c r="B95" s="120">
        <f>+'II-E-5'!E26</f>
        <v>57320.669999999998</v>
      </c>
      <c r="C95" s="120">
        <f>+'II-E-5'!F26</f>
        <v>305804.40000000002</v>
      </c>
      <c r="D95" s="120">
        <f>+'II-E-5'!H26</f>
        <v>363125.07000000001</v>
      </c>
      <c r="E95" s="120">
        <f>+'II-E-5'!I26</f>
        <v>101558.97</v>
      </c>
      <c r="F95" s="120">
        <f>+'II-E-5'!J26</f>
        <v>464684.04000000004</v>
      </c>
      <c r="G95" s="120">
        <f>+'II-E-5'!O26</f>
        <v>464684.04000000004</v>
      </c>
      <c r="H95" s="120">
        <f>+'II-E-5'!P26</f>
        <v>0</v>
      </c>
      <c r="I95" s="120">
        <f>+'II-E-5'!Q26</f>
        <v>0</v>
      </c>
      <c r="J95" s="120">
        <f>+'II-E-5'!R26</f>
        <v>464684.04000000004</v>
      </c>
      <c r="K95" s="120">
        <f>+'II-E-5'!S26</f>
        <v>0</v>
      </c>
      <c r="L95" s="120">
        <f>+'II-E-5'!T26</f>
        <v>0</v>
      </c>
      <c r="M95" s="120">
        <f>+'II-E-5'!U26</f>
        <v>0</v>
      </c>
      <c r="N95" s="120">
        <f>+'II-E-5'!V26</f>
        <v>0</v>
      </c>
      <c r="O95" s="120">
        <f>+'II-E-5'!W26</f>
        <v>0</v>
      </c>
      <c r="P95" s="126">
        <f t="shared" si="9"/>
        <v>464684.04000000004</v>
      </c>
    </row>
    <row r="96" spans="1:16" ht="12.75">
      <c r="A96" t="s">
        <v>286</v>
      </c>
      <c r="B96" s="120">
        <f>+'II-E-5'!E27</f>
        <v>23481635.879999999</v>
      </c>
      <c r="C96" s="120">
        <f>+'II-E-5'!F27</f>
        <v>9283183.1999999993</v>
      </c>
      <c r="D96" s="120">
        <f>+'II-E-5'!H27</f>
        <v>32764819.079999998</v>
      </c>
      <c r="E96" s="120">
        <f>+'II-E-5'!I27</f>
        <v>-228124.59</v>
      </c>
      <c r="F96" s="120">
        <f>+'II-E-5'!J27</f>
        <v>32536694.489999998</v>
      </c>
      <c r="G96" s="120">
        <f>+'II-E-5'!O27</f>
        <v>25312076.5</v>
      </c>
      <c r="H96" s="120">
        <f>+'II-E-5'!P27</f>
        <v>239326.69999999998</v>
      </c>
      <c r="I96" s="120">
        <f>+'II-E-5'!Q27</f>
        <v>898483.62</v>
      </c>
      <c r="J96" s="120">
        <f>+'II-E-5'!R27</f>
        <v>26449886.82</v>
      </c>
      <c r="K96" s="120">
        <f>+'II-E-5'!S27</f>
        <v>6086807.6699999981</v>
      </c>
      <c r="L96" s="120">
        <f>+'II-E-5'!T27</f>
        <v>0</v>
      </c>
      <c r="M96" s="120">
        <f>+'II-E-5'!U27</f>
        <v>6086807.6699999981</v>
      </c>
      <c r="N96" s="120">
        <f>+'II-E-5'!V27</f>
        <v>0</v>
      </c>
      <c r="O96" s="120">
        <f>+'II-E-5'!W27</f>
        <v>0</v>
      </c>
      <c r="P96" s="126">
        <f t="shared" si="9"/>
        <v>32536694.489999998</v>
      </c>
    </row>
    <row r="97" spans="2:16" s="347" customFormat="1" ht="13.5" thickBot="1">
      <c r="B97" s="386">
        <f t="shared" si="10" ref="B97:G97">SUM(B87:B96)</f>
        <v>70931115.530000001</v>
      </c>
      <c r="C97" s="386">
        <f t="shared" si="10"/>
        <v>9588987.5999999996</v>
      </c>
      <c r="D97" s="386">
        <f t="shared" si="10"/>
        <v>80520103.129999995</v>
      </c>
      <c r="E97" s="386">
        <f t="shared" si="10"/>
        <v>19560859.219999999</v>
      </c>
      <c r="F97" s="386">
        <f t="shared" si="10"/>
        <v>100080962.34999999</v>
      </c>
      <c r="G97" s="386">
        <f t="shared" si="10"/>
        <v>41885524.43</v>
      </c>
      <c r="H97" s="386">
        <f t="shared" si="11" ref="H97:O97">SUM(H87:H96)</f>
        <v>239326.69999999998</v>
      </c>
      <c r="I97" s="386">
        <f t="shared" si="11"/>
        <v>898483.62</v>
      </c>
      <c r="J97" s="386">
        <f t="shared" si="11"/>
        <v>43023334.75</v>
      </c>
      <c r="K97" s="386">
        <f t="shared" si="11"/>
        <v>51757981.979999989</v>
      </c>
      <c r="L97" s="386">
        <f t="shared" si="11"/>
        <v>0</v>
      </c>
      <c r="M97" s="386">
        <f t="shared" si="11"/>
        <v>51757981.979999989</v>
      </c>
      <c r="N97" s="386">
        <f t="shared" si="11"/>
        <v>5094630.9699999997</v>
      </c>
      <c r="O97" s="386">
        <f t="shared" si="11"/>
        <v>205014.6500000013</v>
      </c>
      <c r="P97" s="386">
        <f t="shared" si="12" ref="P97">SUM(P87:P96)</f>
        <v>100080962.34999999</v>
      </c>
    </row>
    <row r="98" spans="11:15" ht="13.5" thickTop="1">
      <c r="K98" s="374"/>
      <c r="N98" s="374"/>
      <c r="O98" s="374"/>
    </row>
    <row r="99" spans="1:16" ht="12.75">
      <c r="A99" s="115" t="s">
        <v>335</v>
      </c>
      <c r="B99" s="120">
        <f>+'II-E-4.1'!E26</f>
        <v>-30673.619999999995</v>
      </c>
      <c r="C99" s="120">
        <f>+'II-E-4.1'!F26</f>
        <v>0</v>
      </c>
      <c r="D99" s="120">
        <f>+'II-E-4.1'!G26</f>
        <v>-30673.619999999995</v>
      </c>
      <c r="E99" s="120">
        <f>+'II-E-4.1'!H26</f>
        <v>23907316.730304793</v>
      </c>
      <c r="F99" s="120">
        <f>+'II-E-4.1'!I26</f>
        <v>23876643.110304788</v>
      </c>
      <c r="G99" s="120">
        <f>+'II-E-4.1'!N26</f>
        <v>338718.48999999999</v>
      </c>
      <c r="H99" s="120">
        <f>+'II-E-4.1'!O26</f>
        <v>806325.84999999998</v>
      </c>
      <c r="I99" s="120">
        <f>+'II-E-4.1'!P26</f>
        <v>0</v>
      </c>
      <c r="J99" s="120">
        <f>+'II-E-4.1'!Q26</f>
        <v>1145044.3400000001</v>
      </c>
      <c r="K99" s="120">
        <f>+'II-E-4.1'!R26</f>
        <v>-2773001.1500000004</v>
      </c>
      <c r="L99" s="120">
        <f>+'II-E-4.1'!S26</f>
        <v>44641.760304789641</v>
      </c>
      <c r="M99" s="120">
        <f>+'II-E-4.1'!T26</f>
        <v>-2728359.3896952104</v>
      </c>
      <c r="N99" s="120">
        <f>+'II-E-4.1'!U26</f>
        <v>25459958.16</v>
      </c>
      <c r="O99" s="120">
        <f>+'II-E-4.1'!V26</f>
        <v>0</v>
      </c>
      <c r="P99" s="126">
        <f t="shared" si="13" ref="P99">+J99+M99+N99+O99</f>
        <v>23876643.110304791</v>
      </c>
    </row>
    <row r="100" spans="11:15" ht="12.75">
      <c r="K100" s="374"/>
      <c r="N100" s="374"/>
      <c r="O100" s="374"/>
    </row>
    <row r="101" spans="1:17" s="120" customFormat="1" ht="12.75">
      <c r="A101" s="117" t="s">
        <v>226</v>
      </c>
      <c r="B101" s="120">
        <f>ROUND(+'II-E-3'!E55,2)</f>
        <v>141205419.99000001</v>
      </c>
      <c r="C101" s="120">
        <f>ROUND(+'II-E-3'!F55,2)</f>
        <v>0</v>
      </c>
      <c r="D101" s="120">
        <f>ROUND(+'II-E-3'!G55,2)</f>
        <v>141205419.99000001</v>
      </c>
      <c r="E101" s="120">
        <f>ROUND(+'II-E-3'!H55,2)</f>
        <v>24895344.16</v>
      </c>
      <c r="F101" s="120">
        <f>ROUND(+'II-E-3'!I55,2)</f>
        <v>166100764.15000001</v>
      </c>
      <c r="G101" s="120">
        <f>ROUND(+'II-E-3'!N55,2)</f>
        <v>71526722.879999995</v>
      </c>
      <c r="H101" s="120">
        <f>ROUND(+'II-E-3'!O55,2)</f>
        <v>11188506.380000001</v>
      </c>
      <c r="I101" s="120">
        <f>ROUND(+'II-E-3'!P55,2)</f>
        <v>84120.350000000006</v>
      </c>
      <c r="J101" s="120">
        <f>SUM(G101:I101)</f>
        <v>82799349.609999984</v>
      </c>
      <c r="K101" s="120">
        <f>ROUND(+'II-E-3'!R55,2)</f>
        <v>78221384.959999993</v>
      </c>
      <c r="L101" s="120">
        <f>ROUND(+'II-E-3'!S55,2)</f>
        <v>896728.59999999998</v>
      </c>
      <c r="M101" s="120">
        <f>SUM(K101:L101)</f>
        <v>79118113.559999987</v>
      </c>
      <c r="N101" s="120">
        <f>ROUND(+'II-E-3'!U55,2)</f>
        <v>1649124.52</v>
      </c>
      <c r="O101" s="120">
        <f>ROUND(+'II-E-3'!V55,2)</f>
        <v>2534176.46</v>
      </c>
      <c r="P101" s="120">
        <f t="shared" si="14" ref="P101">+J101+M101+N101+O101</f>
        <v>166100764.14999998</v>
      </c>
      <c r="Q101" s="120" t="b">
        <f>+F101=+P101</f>
        <v>1</v>
      </c>
    </row>
    <row r="103" spans="2:16" ht="12.75">
      <c r="B103" s="120"/>
      <c r="C103" s="120"/>
      <c r="D103" s="120"/>
      <c r="E103" s="120"/>
      <c r="F103" s="120"/>
      <c r="G103" s="120"/>
      <c r="H103" s="120"/>
      <c r="I103" s="120"/>
      <c r="J103" s="120"/>
      <c r="K103" s="120"/>
      <c r="L103" s="120"/>
      <c r="M103" s="120"/>
      <c r="N103" s="120"/>
      <c r="O103" s="120"/>
      <c r="P103" s="120"/>
    </row>
  </sheetData>
  <pageMargins left="0.75" right="0.75" top="1" bottom="1" header="0.5" footer="0.5"/>
  <pageSetup orientation="portrait" r:id="rId1"/>
  <headerFooter alignWithMargins="0">
    <oddHeader xml:space="preserve">&amp;C&amp;B
ADFIT
Discretionary Revenue
</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6">
    <tabColor rgb="FF00B050"/>
  </sheetPr>
  <dimension ref="A1:Y107"/>
  <sheetViews>
    <sheetView zoomScale="85" zoomScaleNormal="85" workbookViewId="0" topLeftCell="A1">
      <pane xSplit="4" ySplit="13" topLeftCell="G38" activePane="bottomRight" state="frozen"/>
      <selection pane="topLeft" activeCell="E14" sqref="E14"/>
      <selection pane="bottomLeft" activeCell="E14" sqref="E14"/>
      <selection pane="topRight" activeCell="E14" sqref="E14"/>
      <selection pane="bottomRight" activeCell="E14" sqref="E14"/>
    </sheetView>
  </sheetViews>
  <sheetFormatPr defaultColWidth="9.14428571428571" defaultRowHeight="12.75" customHeight="1"/>
  <cols>
    <col min="1" max="1" width="11.2857142857143" style="58" customWidth="1"/>
    <col min="2" max="2" width="18.7142857142857" style="60" customWidth="1"/>
    <col min="3" max="3" width="29.4285714285714" style="60" bestFit="1" customWidth="1"/>
    <col min="4" max="4" width="10.7142857142857" style="60" bestFit="1" customWidth="1"/>
    <col min="5" max="5" width="13.7142857142857" style="60" bestFit="1" customWidth="1"/>
    <col min="6" max="6" width="17.2857142857143" style="60" bestFit="1" customWidth="1"/>
    <col min="7" max="7" width="13.7142857142857" style="60" bestFit="1" customWidth="1"/>
    <col min="8" max="8" width="13.4285714285714" style="60" bestFit="1" customWidth="1"/>
    <col min="9" max="9" width="13.7142857142857" style="60" bestFit="1" customWidth="1"/>
    <col min="10" max="10" width="10.2857142857143" style="60" bestFit="1" customWidth="1"/>
    <col min="11" max="11" width="13.7142857142857" style="65" bestFit="1" customWidth="1"/>
    <col min="12" max="12" width="4.42857142857143" style="60" customWidth="1"/>
    <col min="13" max="13" width="7.71428571428571" style="65" customWidth="1"/>
    <col min="14" max="14" width="13.7142857142857" style="60" bestFit="1" customWidth="1"/>
    <col min="15" max="22" width="13.7142857142857" style="60" customWidth="1"/>
    <col min="23" max="23" width="15.2857142857143" style="60" bestFit="1" customWidth="1"/>
    <col min="24" max="24" width="8.14285714285714" style="60" bestFit="1" customWidth="1"/>
    <col min="25" max="25" width="18.1428571428571" style="60" bestFit="1" customWidth="1"/>
    <col min="26" max="16384" width="9.14285714285714" style="60"/>
  </cols>
  <sheetData>
    <row r="1" spans="1:23" ht="12.75">
      <c r="A1" s="34" t="str">
        <f>+'[3]Input Data'!$A$9</f>
        <v>2022 RATE CASE</v>
      </c>
      <c r="B1" s="58"/>
      <c r="C1" s="58"/>
      <c r="D1" s="58"/>
      <c r="E1" s="58"/>
      <c r="F1" s="88"/>
      <c r="G1" s="58"/>
      <c r="H1" s="58"/>
      <c r="I1" s="58"/>
      <c r="J1" s="58"/>
      <c r="K1" s="59"/>
      <c r="L1" s="58"/>
      <c r="M1" s="59"/>
      <c r="N1" s="30"/>
      <c r="O1" s="30"/>
      <c r="P1" s="30"/>
      <c r="Q1" s="30"/>
      <c r="R1" s="58"/>
      <c r="S1" s="58"/>
      <c r="T1" s="58"/>
      <c r="U1" s="58"/>
      <c r="V1" s="58"/>
      <c r="W1" s="58"/>
    </row>
    <row r="2" spans="1:23" ht="12.75">
      <c r="A2" s="34" t="str">
        <f>+'[3]Input Data'!$A$2</f>
        <v>ONCOR ELECTRIC DELIVERY COMPANY LLC</v>
      </c>
      <c r="B2" s="58"/>
      <c r="C2" s="58"/>
      <c r="D2" s="58"/>
      <c r="E2" s="58"/>
      <c r="F2" s="88"/>
      <c r="G2" s="58"/>
      <c r="H2" s="58"/>
      <c r="I2" s="58"/>
      <c r="J2" s="58"/>
      <c r="K2" s="59"/>
      <c r="L2" s="58"/>
      <c r="M2" s="59"/>
      <c r="N2" s="30"/>
      <c r="O2" s="30"/>
      <c r="P2" s="30"/>
      <c r="Q2" s="30"/>
      <c r="R2" s="58"/>
      <c r="S2" s="58"/>
      <c r="T2" s="58"/>
      <c r="U2" s="58"/>
      <c r="V2" s="58"/>
      <c r="W2" s="58"/>
    </row>
    <row r="3" spans="1:23" ht="12.75">
      <c r="A3" s="33" t="str">
        <f>CONCATENATE('[3]Schedule Sponsors'!$A$82,'[3]Schedule Sponsors'!$B$82)</f>
        <v>II-E-1   DEPRECIATION EXPENSE</v>
      </c>
      <c r="B3" s="30"/>
      <c r="D3" s="58"/>
      <c r="E3" s="58"/>
      <c r="F3" s="61"/>
      <c r="G3" s="58"/>
      <c r="H3" s="58"/>
      <c r="I3" s="58"/>
      <c r="J3" s="58"/>
      <c r="K3" s="59"/>
      <c r="L3" s="58"/>
      <c r="M3" s="59"/>
      <c r="N3" s="54"/>
      <c r="O3" s="54"/>
      <c r="P3" s="54"/>
      <c r="Q3" s="54"/>
      <c r="R3" s="58"/>
      <c r="S3" s="58"/>
      <c r="T3" s="58"/>
      <c r="U3" s="58"/>
      <c r="V3" s="58"/>
      <c r="W3" s="58"/>
    </row>
    <row r="4" spans="1:23" ht="12.75">
      <c r="A4" s="92" t="str">
        <f>+'[3]Input Data'!$A$4</f>
        <v>TEST YEAR ENDING DECEMBER 31, 2021</v>
      </c>
      <c r="B4" s="30"/>
      <c r="D4" s="58"/>
      <c r="E4" s="58"/>
      <c r="F4" s="61"/>
      <c r="G4" s="58"/>
      <c r="H4" s="58"/>
      <c r="I4" s="58"/>
      <c r="J4" s="58"/>
      <c r="K4" s="59"/>
      <c r="L4" s="58"/>
      <c r="M4" s="59"/>
      <c r="N4" s="54"/>
      <c r="O4" s="54"/>
      <c r="P4" s="54"/>
      <c r="Q4" s="54"/>
      <c r="R4" s="58"/>
      <c r="S4" s="58"/>
      <c r="T4" s="58"/>
      <c r="U4" s="58"/>
      <c r="V4" s="58"/>
      <c r="W4" s="58"/>
    </row>
    <row r="5" spans="1:23" ht="12.75">
      <c r="A5" s="33" t="str">
        <f>CONCATENATE("SPONSOR: ",'[3]Schedule Sponsors'!$D$82)</f>
        <v>SPONSOR: W. ALAN LEDBETTER &amp;&amp; D. WATSON</v>
      </c>
      <c r="B5" s="30"/>
      <c r="D5" s="58"/>
      <c r="E5" s="58"/>
      <c r="F5" s="58"/>
      <c r="G5" s="58"/>
      <c r="H5" s="58"/>
      <c r="I5" s="58"/>
      <c r="J5" s="58"/>
      <c r="K5" s="59"/>
      <c r="L5" s="58"/>
      <c r="M5" s="59"/>
      <c r="N5" s="58"/>
      <c r="O5" s="58"/>
      <c r="P5" s="58"/>
      <c r="Q5" s="58"/>
      <c r="R5" s="58"/>
      <c r="S5" s="58"/>
      <c r="T5" s="58"/>
      <c r="U5" s="58"/>
      <c r="V5" s="58"/>
      <c r="W5" s="58"/>
    </row>
    <row r="6" spans="2:23" ht="12.75">
      <c r="B6" s="30"/>
      <c r="D6" s="58"/>
      <c r="E6" s="58"/>
      <c r="F6" s="58"/>
      <c r="G6" s="58"/>
      <c r="H6" s="58"/>
      <c r="I6" s="58"/>
      <c r="J6" s="58"/>
      <c r="K6" s="59"/>
      <c r="L6" s="58"/>
      <c r="M6" s="59"/>
      <c r="N6" s="58"/>
      <c r="O6" s="58"/>
      <c r="P6" s="58"/>
      <c r="Q6" s="58"/>
      <c r="R6" s="58"/>
      <c r="S6" s="58"/>
      <c r="T6" s="58"/>
      <c r="U6" s="58"/>
      <c r="V6" s="58"/>
      <c r="W6" s="58"/>
    </row>
    <row r="7" spans="2:23" ht="12.75">
      <c r="B7" s="30"/>
      <c r="D7" s="58"/>
      <c r="E7" s="58"/>
      <c r="F7" s="58"/>
      <c r="G7" s="58"/>
      <c r="H7" s="58"/>
      <c r="I7" s="58"/>
      <c r="J7" s="58"/>
      <c r="K7" s="59"/>
      <c r="L7" s="58"/>
      <c r="M7" s="59"/>
      <c r="N7" s="58"/>
      <c r="O7" s="58"/>
      <c r="P7" s="58"/>
      <c r="Q7" s="58"/>
      <c r="R7" s="58"/>
      <c r="S7" s="58"/>
      <c r="T7" s="58"/>
      <c r="U7" s="58"/>
      <c r="V7" s="58"/>
      <c r="W7" s="58"/>
    </row>
    <row r="8" spans="2:23" ht="12.75">
      <c r="B8" s="62"/>
      <c r="C8" s="58"/>
      <c r="D8" s="58"/>
      <c r="E8" s="58"/>
      <c r="F8" s="58"/>
      <c r="G8" s="58"/>
      <c r="H8" s="58"/>
      <c r="I8" s="58"/>
      <c r="J8" s="58"/>
      <c r="K8" s="59"/>
      <c r="L8" s="58"/>
      <c r="M8" s="59"/>
      <c r="N8" s="58"/>
      <c r="O8" s="58"/>
      <c r="P8" s="58"/>
      <c r="Q8" s="58"/>
      <c r="R8" s="58"/>
      <c r="S8" s="58"/>
      <c r="T8" s="58"/>
      <c r="U8" s="58"/>
      <c r="V8" s="58"/>
      <c r="W8" s="58"/>
    </row>
    <row r="9" spans="2:23" ht="13.5" thickBot="1">
      <c r="B9" s="58" t="s">
        <v>72</v>
      </c>
      <c r="C9" s="58"/>
      <c r="D9" s="58"/>
      <c r="E9" s="63"/>
      <c r="F9" s="63"/>
      <c r="G9" s="63"/>
      <c r="H9" s="63"/>
      <c r="I9" s="63"/>
      <c r="J9" s="63"/>
      <c r="K9" s="63"/>
      <c r="L9" s="63"/>
      <c r="M9" s="63"/>
      <c r="N9" s="63"/>
      <c r="O9" s="63"/>
      <c r="P9" s="63"/>
      <c r="Q9" s="63"/>
      <c r="R9" s="63"/>
      <c r="S9" s="63"/>
      <c r="T9" s="63"/>
      <c r="U9" s="63"/>
      <c r="V9" s="63"/>
      <c r="W9" s="63"/>
    </row>
    <row r="10" spans="1:23" s="62" customFormat="1" ht="12.75">
      <c r="A10" s="35"/>
      <c r="B10" s="35"/>
      <c r="C10" s="35"/>
      <c r="D10" s="35"/>
      <c r="E10" s="35"/>
      <c r="F10" s="35"/>
      <c r="G10" s="36" t="s">
        <v>66</v>
      </c>
      <c r="H10" s="36" t="s">
        <v>400</v>
      </c>
      <c r="I10" s="36" t="s">
        <v>67</v>
      </c>
      <c r="J10" s="36" t="s">
        <v>84</v>
      </c>
      <c r="K10" s="36" t="s">
        <v>280</v>
      </c>
      <c r="L10" s="35"/>
      <c r="M10" s="36" t="s">
        <v>357</v>
      </c>
      <c r="N10" s="36"/>
      <c r="O10" s="36"/>
      <c r="P10" s="36"/>
      <c r="Q10" s="36"/>
      <c r="R10" s="36"/>
      <c r="S10" s="36"/>
      <c r="T10" s="36"/>
      <c r="U10" s="36"/>
      <c r="V10" s="36"/>
      <c r="W10" s="36"/>
    </row>
    <row r="11" spans="1:23" s="62" customFormat="1" ht="12.75">
      <c r="A11" s="37" t="s">
        <v>252</v>
      </c>
      <c r="B11" s="37" t="s">
        <v>74</v>
      </c>
      <c r="C11" s="37"/>
      <c r="D11" s="37" t="s">
        <v>71</v>
      </c>
      <c r="E11" s="53" t="s">
        <v>76</v>
      </c>
      <c r="F11" s="37" t="s">
        <v>77</v>
      </c>
      <c r="G11" s="37" t="s">
        <v>68</v>
      </c>
      <c r="H11" s="37" t="s">
        <v>401</v>
      </c>
      <c r="I11" s="37" t="s">
        <v>66</v>
      </c>
      <c r="J11" s="37" t="s">
        <v>280</v>
      </c>
      <c r="K11" s="37" t="s">
        <v>47</v>
      </c>
      <c r="L11" s="37" t="s">
        <v>79</v>
      </c>
      <c r="M11" s="37" t="s">
        <v>80</v>
      </c>
      <c r="N11" s="37"/>
      <c r="O11" s="169" t="s">
        <v>628</v>
      </c>
      <c r="P11" s="169" t="s">
        <v>629</v>
      </c>
      <c r="Q11" s="169" t="s">
        <v>631</v>
      </c>
      <c r="R11" s="37"/>
      <c r="S11" s="169" t="s">
        <v>628</v>
      </c>
      <c r="T11" s="169" t="s">
        <v>631</v>
      </c>
      <c r="U11" s="37"/>
      <c r="V11" s="37"/>
      <c r="W11" s="37"/>
    </row>
    <row r="12" spans="1:23" s="62" customFormat="1" ht="12.75">
      <c r="A12" s="37" t="s">
        <v>279</v>
      </c>
      <c r="B12" s="37" t="s">
        <v>213</v>
      </c>
      <c r="C12" s="37" t="s">
        <v>69</v>
      </c>
      <c r="D12" s="37" t="s">
        <v>73</v>
      </c>
      <c r="E12" s="53" t="s">
        <v>81</v>
      </c>
      <c r="F12" s="37" t="s">
        <v>82</v>
      </c>
      <c r="G12" s="37" t="s">
        <v>83</v>
      </c>
      <c r="H12" s="37" t="s">
        <v>402</v>
      </c>
      <c r="I12" s="37" t="s">
        <v>68</v>
      </c>
      <c r="J12" s="37" t="s">
        <v>80</v>
      </c>
      <c r="K12" s="37" t="s">
        <v>84</v>
      </c>
      <c r="L12" s="37" t="s">
        <v>85</v>
      </c>
      <c r="M12" s="37" t="s">
        <v>86</v>
      </c>
      <c r="N12" s="37" t="s">
        <v>208</v>
      </c>
      <c r="O12" s="169" t="s">
        <v>208</v>
      </c>
      <c r="P12" s="169" t="s">
        <v>630</v>
      </c>
      <c r="Q12" s="169" t="s">
        <v>208</v>
      </c>
      <c r="R12" s="37" t="s">
        <v>209</v>
      </c>
      <c r="S12" s="169" t="s">
        <v>209</v>
      </c>
      <c r="T12" s="169" t="s">
        <v>209</v>
      </c>
      <c r="U12" s="37" t="s">
        <v>203</v>
      </c>
      <c r="V12" s="37" t="s">
        <v>291</v>
      </c>
      <c r="W12" s="37" t="s">
        <v>78</v>
      </c>
    </row>
    <row r="13" spans="1:23" s="62" customFormat="1" ht="13.5" thickBot="1">
      <c r="A13" s="38"/>
      <c r="B13" s="56" t="s">
        <v>237</v>
      </c>
      <c r="C13" s="56" t="s">
        <v>238</v>
      </c>
      <c r="D13" s="56" t="s">
        <v>239</v>
      </c>
      <c r="E13" s="56" t="s">
        <v>240</v>
      </c>
      <c r="F13" s="56" t="s">
        <v>241</v>
      </c>
      <c r="G13" s="56" t="s">
        <v>242</v>
      </c>
      <c r="H13" s="56" t="s">
        <v>243</v>
      </c>
      <c r="I13" s="56" t="s">
        <v>244</v>
      </c>
      <c r="J13" s="56" t="s">
        <v>245</v>
      </c>
      <c r="K13" s="56" t="s">
        <v>246</v>
      </c>
      <c r="L13" s="56" t="s">
        <v>247</v>
      </c>
      <c r="M13" s="56" t="s">
        <v>248</v>
      </c>
      <c r="N13" s="56" t="s">
        <v>249</v>
      </c>
      <c r="O13" s="220" t="s">
        <v>250</v>
      </c>
      <c r="P13" s="220" t="s">
        <v>251</v>
      </c>
      <c r="Q13" s="220" t="s">
        <v>148</v>
      </c>
      <c r="R13" s="220" t="s">
        <v>281</v>
      </c>
      <c r="S13" s="220" t="s">
        <v>292</v>
      </c>
      <c r="T13" s="220" t="s">
        <v>293</v>
      </c>
      <c r="U13" s="220" t="s">
        <v>509</v>
      </c>
      <c r="V13" s="220" t="s">
        <v>510</v>
      </c>
      <c r="W13" s="220" t="s">
        <v>511</v>
      </c>
    </row>
    <row r="14" spans="1:23" s="58" customFormat="1" ht="12.75" customHeight="1">
      <c r="A14" s="66"/>
      <c r="B14" s="66"/>
      <c r="C14" s="66"/>
      <c r="D14" s="66"/>
      <c r="E14" s="66"/>
      <c r="F14" s="66"/>
      <c r="G14" s="66"/>
      <c r="H14" s="66"/>
      <c r="I14" s="66"/>
      <c r="J14" s="66"/>
      <c r="K14" s="67"/>
      <c r="L14" s="66"/>
      <c r="M14" s="67"/>
      <c r="N14" s="66"/>
      <c r="O14" s="66"/>
      <c r="P14" s="66"/>
      <c r="Q14" s="66"/>
      <c r="R14" s="66"/>
      <c r="S14" s="66"/>
      <c r="T14" s="66"/>
      <c r="U14" s="66"/>
      <c r="V14" s="66"/>
      <c r="W14" s="66"/>
    </row>
    <row r="15" spans="1:13" s="34" customFormat="1" ht="12.75">
      <c r="A15" s="44">
        <v>1</v>
      </c>
      <c r="B15" s="43" t="s">
        <v>156</v>
      </c>
      <c r="D15" s="45" t="s">
        <v>231</v>
      </c>
      <c r="K15" s="45"/>
      <c r="M15" s="45"/>
    </row>
    <row r="16" spans="1:13" s="30" customFormat="1" ht="12.75">
      <c r="A16" s="44">
        <v>2</v>
      </c>
      <c r="D16" s="44"/>
      <c r="K16" s="44"/>
      <c r="M16" s="44"/>
    </row>
    <row r="17" spans="1:13" s="34" customFormat="1" ht="12.75">
      <c r="A17" s="44">
        <v>3</v>
      </c>
      <c r="B17" s="34" t="s">
        <v>204</v>
      </c>
      <c r="D17" s="45" t="s">
        <v>231</v>
      </c>
      <c r="K17" s="45"/>
      <c r="M17" s="45"/>
    </row>
    <row r="18" spans="1:25" s="30" customFormat="1" ht="12.75">
      <c r="A18" s="44">
        <v>4</v>
      </c>
      <c r="B18" s="30" t="s">
        <v>87</v>
      </c>
      <c r="C18" s="30" t="s">
        <v>88</v>
      </c>
      <c r="D18" s="44"/>
      <c r="E18" s="377">
        <v>0</v>
      </c>
      <c r="F18" s="164">
        <v>0</v>
      </c>
      <c r="G18" s="164">
        <f>+E18+F18</f>
        <v>0</v>
      </c>
      <c r="H18" s="385">
        <v>0</v>
      </c>
      <c r="I18" s="164">
        <f>+G18+H18</f>
        <v>0</v>
      </c>
      <c r="J18" s="140">
        <v>1</v>
      </c>
      <c r="K18" s="164">
        <f>+I18*J18</f>
        <v>0</v>
      </c>
      <c r="L18" s="164"/>
      <c r="M18" s="164"/>
      <c r="N18" s="385">
        <v>0</v>
      </c>
      <c r="O18" s="385">
        <v>0</v>
      </c>
      <c r="P18" s="385">
        <v>0</v>
      </c>
      <c r="Q18" s="385">
        <f>SUM(N18:P18)</f>
        <v>0</v>
      </c>
      <c r="R18" s="385">
        <v>0</v>
      </c>
      <c r="S18" s="385">
        <v>0</v>
      </c>
      <c r="T18" s="385">
        <f>SUM(R18:S18)</f>
        <v>0</v>
      </c>
      <c r="U18" s="385">
        <v>0</v>
      </c>
      <c r="V18" s="385">
        <v>0</v>
      </c>
      <c r="W18" s="164">
        <f>+Q18+T18+U18+V18</f>
        <v>0</v>
      </c>
      <c r="X18" s="47" t="b">
        <f>+K18=W18</f>
        <v>1</v>
      </c>
      <c r="Y18" s="47">
        <f>+K18-W18</f>
        <v>0</v>
      </c>
    </row>
    <row r="19" spans="1:25" s="30" customFormat="1" ht="12.75">
      <c r="A19" s="44">
        <v>5</v>
      </c>
      <c r="B19" s="30" t="s">
        <v>90</v>
      </c>
      <c r="C19" s="30" t="s">
        <v>205</v>
      </c>
      <c r="D19" s="44"/>
      <c r="E19" s="376">
        <v>0</v>
      </c>
      <c r="F19" s="40">
        <v>0</v>
      </c>
      <c r="G19" s="40">
        <f>+E19+F19</f>
        <v>0</v>
      </c>
      <c r="H19" s="384">
        <v>0</v>
      </c>
      <c r="I19" s="40">
        <f>+G19+H19</f>
        <v>0</v>
      </c>
      <c r="J19" s="140">
        <v>1</v>
      </c>
      <c r="K19" s="94">
        <f>+I19*J19</f>
        <v>0</v>
      </c>
      <c r="L19" s="40"/>
      <c r="M19" s="44"/>
      <c r="N19" s="384">
        <v>0</v>
      </c>
      <c r="O19" s="384">
        <v>0</v>
      </c>
      <c r="P19" s="384">
        <v>0</v>
      </c>
      <c r="Q19" s="384">
        <f t="shared" si="0" ref="Q19:Q20">SUM(N19:P19)</f>
        <v>0</v>
      </c>
      <c r="R19" s="384">
        <v>0</v>
      </c>
      <c r="S19" s="384">
        <v>0</v>
      </c>
      <c r="T19" s="384">
        <f t="shared" si="1" ref="T19:T20">SUM(R19:S19)</f>
        <v>0</v>
      </c>
      <c r="U19" s="384">
        <v>0</v>
      </c>
      <c r="V19" s="384">
        <v>0</v>
      </c>
      <c r="W19" s="40">
        <f t="shared" si="2" ref="W19:W20">+Q19+T19+U19+V19</f>
        <v>0</v>
      </c>
      <c r="X19" s="47" t="b">
        <f>+K19=W19</f>
        <v>1</v>
      </c>
      <c r="Y19" s="47">
        <f>+K19-W19</f>
        <v>0</v>
      </c>
    </row>
    <row r="20" spans="1:25" s="30" customFormat="1" ht="12.75">
      <c r="A20" s="44">
        <v>6</v>
      </c>
      <c r="B20" s="30" t="s">
        <v>91</v>
      </c>
      <c r="C20" s="30" t="s">
        <v>92</v>
      </c>
      <c r="D20" s="44"/>
      <c r="E20" s="384">
        <v>66473342.299999997</v>
      </c>
      <c r="F20" s="40">
        <v>0</v>
      </c>
      <c r="G20" s="40">
        <f>+E20+F20</f>
        <v>66473342.299999997</v>
      </c>
      <c r="H20" s="384">
        <v>14030207.949999999</v>
      </c>
      <c r="I20" s="40">
        <f>+G20+H20</f>
        <v>80503550.25</v>
      </c>
      <c r="J20" s="140">
        <v>1</v>
      </c>
      <c r="K20" s="94">
        <f>+I20*J20</f>
        <v>80503550.25</v>
      </c>
      <c r="L20" s="40"/>
      <c r="M20" s="44"/>
      <c r="N20" s="384">
        <v>25229268.949999999</v>
      </c>
      <c r="O20" s="384">
        <v>0</v>
      </c>
      <c r="P20" s="384">
        <v>0</v>
      </c>
      <c r="Q20" s="384">
        <f t="shared" si="0"/>
        <v>25229268.949999999</v>
      </c>
      <c r="R20" s="384">
        <v>29112436.41</v>
      </c>
      <c r="S20" s="384">
        <v>0</v>
      </c>
      <c r="T20" s="384">
        <f t="shared" si="1"/>
        <v>29112436.41</v>
      </c>
      <c r="U20" s="384">
        <v>3894383</v>
      </c>
      <c r="V20" s="384">
        <v>22267461.890000001</v>
      </c>
      <c r="W20" s="40">
        <f t="shared" si="2"/>
        <v>80503550.25</v>
      </c>
      <c r="X20" s="47" t="b">
        <f>+K20=W20</f>
        <v>1</v>
      </c>
      <c r="Y20" s="139">
        <f>+K20-W20</f>
        <v>0</v>
      </c>
    </row>
    <row r="21" spans="1:23" s="30" customFormat="1" ht="12.75">
      <c r="A21" s="44">
        <v>7</v>
      </c>
      <c r="D21" s="44"/>
      <c r="E21" s="122"/>
      <c r="F21" s="122"/>
      <c r="G21" s="122"/>
      <c r="H21" s="122"/>
      <c r="I21" s="122"/>
      <c r="J21" s="140"/>
      <c r="K21" s="124"/>
      <c r="L21" s="40"/>
      <c r="M21" s="44"/>
      <c r="N21" s="122"/>
      <c r="O21" s="122"/>
      <c r="P21" s="122"/>
      <c r="Q21" s="122"/>
      <c r="R21" s="123"/>
      <c r="S21" s="123"/>
      <c r="T21" s="123"/>
      <c r="U21" s="123"/>
      <c r="V21" s="123"/>
      <c r="W21" s="123"/>
    </row>
    <row r="22" spans="1:25" s="46" customFormat="1" ht="12.75">
      <c r="A22" s="44">
        <v>8</v>
      </c>
      <c r="C22" s="91" t="s">
        <v>89</v>
      </c>
      <c r="E22" s="165">
        <f>SUM(E18:E20)</f>
        <v>66473342.299999997</v>
      </c>
      <c r="F22" s="165">
        <f>SUM(F18:F20)</f>
        <v>0</v>
      </c>
      <c r="G22" s="165">
        <f t="shared" si="3" ref="G22:K22">SUM(G18:G20)</f>
        <v>66473342.299999997</v>
      </c>
      <c r="H22" s="165">
        <f>SUM(H18:H20)</f>
        <v>14030207.949999999</v>
      </c>
      <c r="I22" s="165">
        <f t="shared" si="3"/>
        <v>80503550.25</v>
      </c>
      <c r="J22" s="142"/>
      <c r="K22" s="165">
        <f t="shared" si="3"/>
        <v>80503550.25</v>
      </c>
      <c r="L22" s="165"/>
      <c r="M22" s="165"/>
      <c r="N22" s="165">
        <f t="shared" si="4" ref="N22:P22">SUM(N18:N20)</f>
        <v>25229268.949999999</v>
      </c>
      <c r="O22" s="165">
        <f t="shared" si="4"/>
        <v>0</v>
      </c>
      <c r="P22" s="165">
        <f t="shared" si="4"/>
        <v>0</v>
      </c>
      <c r="Q22" s="165">
        <f t="shared" si="5" ref="Q22:W22">SUM(Q18:Q20)</f>
        <v>25229268.949999999</v>
      </c>
      <c r="R22" s="165">
        <f t="shared" si="5"/>
        <v>29112436.41</v>
      </c>
      <c r="S22" s="165">
        <f t="shared" si="5"/>
        <v>0</v>
      </c>
      <c r="T22" s="165">
        <f t="shared" si="5"/>
        <v>29112436.41</v>
      </c>
      <c r="U22" s="165">
        <f t="shared" si="5"/>
        <v>3894383</v>
      </c>
      <c r="V22" s="165">
        <f t="shared" si="5"/>
        <v>22267461.890000001</v>
      </c>
      <c r="W22" s="165">
        <f t="shared" si="5"/>
        <v>80503550.25</v>
      </c>
      <c r="X22" s="47" t="b">
        <f>+K22=W22</f>
        <v>1</v>
      </c>
      <c r="Y22" s="139">
        <f>+K22-W22</f>
        <v>0</v>
      </c>
    </row>
    <row r="23" spans="1:23" s="30" customFormat="1" ht="12.75">
      <c r="A23" s="44">
        <v>9</v>
      </c>
      <c r="D23" s="44"/>
      <c r="E23" s="40"/>
      <c r="F23" s="40"/>
      <c r="G23" s="40"/>
      <c r="H23" s="40"/>
      <c r="I23" s="40"/>
      <c r="J23" s="140"/>
      <c r="K23" s="44"/>
      <c r="L23" s="40"/>
      <c r="M23" s="44"/>
      <c r="N23" s="40"/>
      <c r="O23" s="40"/>
      <c r="P23" s="40"/>
      <c r="Q23" s="40"/>
      <c r="R23" s="40"/>
      <c r="S23" s="40"/>
      <c r="T23" s="40"/>
      <c r="U23" s="40"/>
      <c r="V23" s="40"/>
      <c r="W23" s="40"/>
    </row>
    <row r="24" spans="1:23" s="34" customFormat="1" ht="12.75">
      <c r="A24" s="44">
        <v>10</v>
      </c>
      <c r="B24" s="34" t="s">
        <v>157</v>
      </c>
      <c r="D24" s="45" t="s">
        <v>231</v>
      </c>
      <c r="E24" s="46"/>
      <c r="F24" s="46"/>
      <c r="G24" s="46"/>
      <c r="H24" s="46"/>
      <c r="I24" s="46"/>
      <c r="J24" s="142"/>
      <c r="K24" s="45"/>
      <c r="L24" s="46"/>
      <c r="M24" s="45"/>
      <c r="N24" s="46"/>
      <c r="O24" s="46"/>
      <c r="P24" s="46"/>
      <c r="Q24" s="46"/>
      <c r="R24" s="46"/>
      <c r="S24" s="46"/>
      <c r="T24" s="46"/>
      <c r="U24" s="46"/>
      <c r="V24" s="46"/>
      <c r="W24" s="46"/>
    </row>
    <row r="25" spans="1:25" s="30" customFormat="1" ht="12.75">
      <c r="A25" s="44">
        <v>11</v>
      </c>
      <c r="B25" s="30" t="s">
        <v>94</v>
      </c>
      <c r="C25" s="30" t="s">
        <v>95</v>
      </c>
      <c r="D25" s="44"/>
      <c r="E25" s="379">
        <v>4913439.5300000003</v>
      </c>
      <c r="F25" s="164">
        <v>0</v>
      </c>
      <c r="G25" s="164">
        <f t="shared" si="6" ref="G25:G34">+E25+F25</f>
        <v>4913439.5300000003</v>
      </c>
      <c r="H25" s="385">
        <v>1109541.6499999999</v>
      </c>
      <c r="I25" s="164">
        <f>+G25+H25</f>
        <v>6022981.1799999997</v>
      </c>
      <c r="J25" s="140">
        <v>1</v>
      </c>
      <c r="K25" s="164">
        <f t="shared" si="7" ref="K25:K34">+I25*J25</f>
        <v>6022981.1799999997</v>
      </c>
      <c r="L25" s="164"/>
      <c r="M25" s="164"/>
      <c r="N25" s="385">
        <v>5100259.5199999996</v>
      </c>
      <c r="O25" s="385">
        <v>922721.66000000003</v>
      </c>
      <c r="P25" s="385">
        <v>0</v>
      </c>
      <c r="Q25" s="385">
        <f t="shared" si="8" ref="Q25:Q34">SUM(N25:P25)</f>
        <v>6022981.1799999997</v>
      </c>
      <c r="R25" s="385">
        <v>0</v>
      </c>
      <c r="S25" s="385">
        <v>0</v>
      </c>
      <c r="T25" s="385">
        <f t="shared" si="9" ref="T25:T34">SUM(R25:S25)</f>
        <v>0</v>
      </c>
      <c r="U25" s="385">
        <v>0</v>
      </c>
      <c r="V25" s="385">
        <v>0</v>
      </c>
      <c r="W25" s="164">
        <f t="shared" si="10" ref="W25:W34">+Q25+T25+U25+V25</f>
        <v>6022981.1799999997</v>
      </c>
      <c r="X25" s="47" t="b">
        <f t="shared" si="11" ref="X25:X34">+K25=W25</f>
        <v>1</v>
      </c>
      <c r="Y25" s="47">
        <f t="shared" si="12" ref="Y25:Y34">+K25-W25</f>
        <v>0</v>
      </c>
    </row>
    <row r="26" spans="1:25" s="30" customFormat="1" ht="12.75">
      <c r="A26" s="44">
        <v>12</v>
      </c>
      <c r="B26" s="30" t="s">
        <v>96</v>
      </c>
      <c r="C26" s="30" t="s">
        <v>93</v>
      </c>
      <c r="D26" s="44"/>
      <c r="E26" s="378">
        <v>10775221.470000001</v>
      </c>
      <c r="F26" s="40">
        <v>0</v>
      </c>
      <c r="G26" s="40">
        <f t="shared" si="6"/>
        <v>10775221.470000001</v>
      </c>
      <c r="H26" s="384">
        <v>928205.53000000003</v>
      </c>
      <c r="I26" s="40">
        <f t="shared" si="13" ref="I26:I34">+G26+H26</f>
        <v>11703427</v>
      </c>
      <c r="J26" s="140">
        <v>1</v>
      </c>
      <c r="K26" s="94">
        <f t="shared" si="7"/>
        <v>11703427</v>
      </c>
      <c r="L26" s="40"/>
      <c r="M26" s="44"/>
      <c r="N26" s="384">
        <v>8975976.0800000001</v>
      </c>
      <c r="O26" s="384">
        <v>2684504.6099999999</v>
      </c>
      <c r="P26" s="384">
        <v>42946.309999999998</v>
      </c>
      <c r="Q26" s="384">
        <f t="shared" si="8"/>
        <v>11703427</v>
      </c>
      <c r="R26" s="384">
        <v>0</v>
      </c>
      <c r="S26" s="384">
        <v>0</v>
      </c>
      <c r="T26" s="384">
        <f t="shared" si="9"/>
        <v>0</v>
      </c>
      <c r="U26" s="384">
        <v>0</v>
      </c>
      <c r="V26" s="384">
        <v>0</v>
      </c>
      <c r="W26" s="40">
        <f t="shared" si="10"/>
        <v>11703427</v>
      </c>
      <c r="X26" s="47" t="b">
        <f t="shared" si="11"/>
        <v>1</v>
      </c>
      <c r="Y26" s="139">
        <f t="shared" si="12"/>
        <v>0</v>
      </c>
    </row>
    <row r="27" spans="1:25" s="30" customFormat="1" ht="12.75">
      <c r="A27" s="44">
        <v>13</v>
      </c>
      <c r="B27" s="30" t="s">
        <v>97</v>
      </c>
      <c r="C27" s="30" t="s">
        <v>98</v>
      </c>
      <c r="D27" s="44"/>
      <c r="E27" s="378">
        <v>92918739.400000006</v>
      </c>
      <c r="F27" s="40">
        <v>0</v>
      </c>
      <c r="G27" s="40">
        <f t="shared" si="6"/>
        <v>92918739.400000006</v>
      </c>
      <c r="H27" s="384">
        <v>644075.33999999997</v>
      </c>
      <c r="I27" s="40">
        <f t="shared" si="13"/>
        <v>93562814.74000001</v>
      </c>
      <c r="J27" s="140">
        <v>1</v>
      </c>
      <c r="K27" s="94">
        <f t="shared" si="7"/>
        <v>93562814.74000001</v>
      </c>
      <c r="L27" s="40"/>
      <c r="M27" s="44"/>
      <c r="N27" s="384">
        <v>74546797.340000004</v>
      </c>
      <c r="O27" s="384">
        <v>7636960.5800000001</v>
      </c>
      <c r="P27" s="384">
        <v>865432.82999999996</v>
      </c>
      <c r="Q27" s="384">
        <f t="shared" si="8"/>
        <v>83049190.75</v>
      </c>
      <c r="R27" s="384">
        <v>9346418.3000000007</v>
      </c>
      <c r="S27" s="384">
        <v>1167205.6899999999</v>
      </c>
      <c r="T27" s="384">
        <f t="shared" si="9"/>
        <v>10513623.99</v>
      </c>
      <c r="U27" s="384">
        <v>0</v>
      </c>
      <c r="V27" s="384">
        <v>0</v>
      </c>
      <c r="W27" s="40">
        <f t="shared" si="10"/>
        <v>93562814.739999995</v>
      </c>
      <c r="X27" s="47" t="b">
        <f t="shared" si="11"/>
        <v>1</v>
      </c>
      <c r="Y27" s="139">
        <f t="shared" si="12"/>
        <v>0</v>
      </c>
    </row>
    <row r="28" spans="1:25" s="30" customFormat="1" ht="12.75">
      <c r="A28" s="44">
        <v>14</v>
      </c>
      <c r="B28" s="30" t="s">
        <v>99</v>
      </c>
      <c r="C28" s="30" t="s">
        <v>100</v>
      </c>
      <c r="D28" s="44"/>
      <c r="E28" s="378">
        <v>40488982.020000003</v>
      </c>
      <c r="F28" s="40">
        <v>0</v>
      </c>
      <c r="G28" s="40">
        <f t="shared" si="6"/>
        <v>40488982.020000003</v>
      </c>
      <c r="H28" s="384">
        <v>-2748148.6699999999</v>
      </c>
      <c r="I28" s="40">
        <f t="shared" si="13"/>
        <v>37740833.350000001</v>
      </c>
      <c r="J28" s="140">
        <v>1</v>
      </c>
      <c r="K28" s="94">
        <f t="shared" si="7"/>
        <v>37740833.350000001</v>
      </c>
      <c r="L28" s="40"/>
      <c r="M28" s="44"/>
      <c r="N28" s="384">
        <v>28031957.32</v>
      </c>
      <c r="O28" s="384">
        <v>9708876.0299999993</v>
      </c>
      <c r="P28" s="384">
        <v>0</v>
      </c>
      <c r="Q28" s="384">
        <f t="shared" si="8"/>
        <v>37740833.350000001</v>
      </c>
      <c r="R28" s="384">
        <v>0</v>
      </c>
      <c r="S28" s="384">
        <v>0</v>
      </c>
      <c r="T28" s="384">
        <f t="shared" si="9"/>
        <v>0</v>
      </c>
      <c r="U28" s="384">
        <v>0</v>
      </c>
      <c r="V28" s="384">
        <v>0</v>
      </c>
      <c r="W28" s="40">
        <f t="shared" si="10"/>
        <v>37740833.350000001</v>
      </c>
      <c r="X28" s="47" t="b">
        <f t="shared" si="11"/>
        <v>1</v>
      </c>
      <c r="Y28" s="139">
        <f t="shared" si="12"/>
        <v>0</v>
      </c>
    </row>
    <row r="29" spans="1:25" s="30" customFormat="1" ht="12.75">
      <c r="A29" s="44">
        <v>15</v>
      </c>
      <c r="B29" s="30" t="s">
        <v>101</v>
      </c>
      <c r="C29" s="30" t="s">
        <v>102</v>
      </c>
      <c r="D29" s="44"/>
      <c r="E29" s="378">
        <v>106002253.68000001</v>
      </c>
      <c r="F29" s="40">
        <v>0</v>
      </c>
      <c r="G29" s="40">
        <f t="shared" si="6"/>
        <v>106002253.68000001</v>
      </c>
      <c r="H29" s="384">
        <v>-16137941.279999999</v>
      </c>
      <c r="I29" s="40">
        <f t="shared" si="13"/>
        <v>89864312.400000006</v>
      </c>
      <c r="J29" s="140">
        <v>1</v>
      </c>
      <c r="K29" s="94">
        <f t="shared" si="7"/>
        <v>89864312.400000006</v>
      </c>
      <c r="L29" s="40"/>
      <c r="M29" s="44"/>
      <c r="N29" s="384">
        <v>82845413.170000002</v>
      </c>
      <c r="O29" s="384">
        <v>7018899.2300000004</v>
      </c>
      <c r="P29" s="384">
        <v>0</v>
      </c>
      <c r="Q29" s="384">
        <f t="shared" si="8"/>
        <v>89864312.400000006</v>
      </c>
      <c r="R29" s="384">
        <v>0</v>
      </c>
      <c r="S29" s="384">
        <v>0</v>
      </c>
      <c r="T29" s="384">
        <f t="shared" si="9"/>
        <v>0</v>
      </c>
      <c r="U29" s="384">
        <v>0</v>
      </c>
      <c r="V29" s="384">
        <v>0</v>
      </c>
      <c r="W29" s="40">
        <f t="shared" si="10"/>
        <v>89864312.400000006</v>
      </c>
      <c r="X29" s="47" t="b">
        <f t="shared" si="11"/>
        <v>1</v>
      </c>
      <c r="Y29" s="139">
        <f t="shared" si="12"/>
        <v>0</v>
      </c>
    </row>
    <row r="30" spans="1:25" s="30" customFormat="1" ht="12.75">
      <c r="A30" s="44">
        <v>16</v>
      </c>
      <c r="B30" s="30" t="s">
        <v>103</v>
      </c>
      <c r="C30" s="30" t="s">
        <v>104</v>
      </c>
      <c r="D30" s="44"/>
      <c r="E30" s="378">
        <v>97114930.790000007</v>
      </c>
      <c r="F30" s="40">
        <v>0</v>
      </c>
      <c r="G30" s="40">
        <f t="shared" si="6"/>
        <v>97114930.790000007</v>
      </c>
      <c r="H30" s="384">
        <v>-14419884.41</v>
      </c>
      <c r="I30" s="40">
        <f t="shared" si="13"/>
        <v>82695046.38000001</v>
      </c>
      <c r="J30" s="140">
        <v>1</v>
      </c>
      <c r="K30" s="94">
        <f t="shared" si="7"/>
        <v>82695046.38000001</v>
      </c>
      <c r="L30" s="40"/>
      <c r="M30" s="44"/>
      <c r="N30" s="384">
        <v>70542836.260000005</v>
      </c>
      <c r="O30" s="384">
        <v>12152210.119999999</v>
      </c>
      <c r="P30" s="384">
        <v>0</v>
      </c>
      <c r="Q30" s="384">
        <f t="shared" si="8"/>
        <v>82695046.38000001</v>
      </c>
      <c r="R30" s="384">
        <v>0</v>
      </c>
      <c r="S30" s="384">
        <v>0</v>
      </c>
      <c r="T30" s="384">
        <f t="shared" si="9"/>
        <v>0</v>
      </c>
      <c r="U30" s="384">
        <v>0</v>
      </c>
      <c r="V30" s="384">
        <v>0</v>
      </c>
      <c r="W30" s="40">
        <f t="shared" si="10"/>
        <v>82695046.38000001</v>
      </c>
      <c r="X30" s="47" t="b">
        <f t="shared" si="11"/>
        <v>1</v>
      </c>
      <c r="Y30" s="139">
        <f t="shared" si="12"/>
        <v>0</v>
      </c>
    </row>
    <row r="31" spans="1:25" s="30" customFormat="1" ht="12.75">
      <c r="A31" s="44">
        <v>17</v>
      </c>
      <c r="B31" s="30" t="s">
        <v>105</v>
      </c>
      <c r="C31" s="30" t="s">
        <v>389</v>
      </c>
      <c r="D31" s="44"/>
      <c r="E31" s="378">
        <v>1240955.0700000001</v>
      </c>
      <c r="F31" s="40">
        <v>0</v>
      </c>
      <c r="G31" s="40">
        <f t="shared" si="6"/>
        <v>1240955.0700000001</v>
      </c>
      <c r="H31" s="384">
        <v>-184350.10999999999</v>
      </c>
      <c r="I31" s="40">
        <f t="shared" si="13"/>
        <v>1056604.96</v>
      </c>
      <c r="J31" s="140">
        <v>1</v>
      </c>
      <c r="K31" s="94">
        <f t="shared" si="7"/>
        <v>1056604.96</v>
      </c>
      <c r="L31" s="40"/>
      <c r="M31" s="44"/>
      <c r="N31" s="384">
        <v>1056604.96</v>
      </c>
      <c r="O31" s="384">
        <v>0</v>
      </c>
      <c r="P31" s="384">
        <v>0</v>
      </c>
      <c r="Q31" s="384">
        <f t="shared" si="8"/>
        <v>1056604.96</v>
      </c>
      <c r="R31" s="384">
        <v>0</v>
      </c>
      <c r="S31" s="384">
        <v>0</v>
      </c>
      <c r="T31" s="384">
        <f t="shared" si="9"/>
        <v>0</v>
      </c>
      <c r="U31" s="384">
        <v>0</v>
      </c>
      <c r="V31" s="384">
        <v>0</v>
      </c>
      <c r="W31" s="40">
        <f t="shared" si="10"/>
        <v>1056604.96</v>
      </c>
      <c r="X31" s="47" t="b">
        <f t="shared" si="11"/>
        <v>1</v>
      </c>
      <c r="Y31" s="139">
        <f t="shared" si="12"/>
        <v>0</v>
      </c>
    </row>
    <row r="32" spans="1:25" s="30" customFormat="1" ht="12.75">
      <c r="A32" s="44">
        <v>18</v>
      </c>
      <c r="B32" s="30" t="s">
        <v>107</v>
      </c>
      <c r="C32" s="49" t="s">
        <v>108</v>
      </c>
      <c r="D32" s="44"/>
      <c r="E32" s="378">
        <v>2161130.75</v>
      </c>
      <c r="F32" s="40">
        <v>0</v>
      </c>
      <c r="G32" s="40">
        <f t="shared" si="6"/>
        <v>2161130.75</v>
      </c>
      <c r="H32" s="384">
        <v>-245699.64999999999</v>
      </c>
      <c r="I32" s="40">
        <f t="shared" si="13"/>
        <v>1915431.1000000001</v>
      </c>
      <c r="J32" s="140">
        <v>1</v>
      </c>
      <c r="K32" s="94">
        <f t="shared" si="7"/>
        <v>1915431.1000000001</v>
      </c>
      <c r="L32" s="40"/>
      <c r="M32" s="44"/>
      <c r="N32" s="384">
        <v>1915431.1000000001</v>
      </c>
      <c r="O32" s="384">
        <v>0</v>
      </c>
      <c r="P32" s="384">
        <v>0</v>
      </c>
      <c r="Q32" s="384">
        <f t="shared" si="8"/>
        <v>1915431.1000000001</v>
      </c>
      <c r="R32" s="384">
        <v>0</v>
      </c>
      <c r="S32" s="384">
        <v>0</v>
      </c>
      <c r="T32" s="384">
        <f t="shared" si="9"/>
        <v>0</v>
      </c>
      <c r="U32" s="384">
        <v>0</v>
      </c>
      <c r="V32" s="384">
        <v>0</v>
      </c>
      <c r="W32" s="40">
        <f t="shared" si="10"/>
        <v>1915431.1000000001</v>
      </c>
      <c r="X32" s="47" t="b">
        <f t="shared" si="11"/>
        <v>1</v>
      </c>
      <c r="Y32" s="139">
        <f t="shared" si="12"/>
        <v>0</v>
      </c>
    </row>
    <row r="33" spans="1:25" s="30" customFormat="1" ht="12.75">
      <c r="A33" s="44">
        <v>19</v>
      </c>
      <c r="B33" s="30" t="s">
        <v>109</v>
      </c>
      <c r="C33" s="30" t="s">
        <v>110</v>
      </c>
      <c r="D33" s="44"/>
      <c r="E33" s="378">
        <v>0</v>
      </c>
      <c r="F33" s="40">
        <v>0</v>
      </c>
      <c r="G33" s="40">
        <f t="shared" si="6"/>
        <v>0</v>
      </c>
      <c r="H33" s="384">
        <v>0</v>
      </c>
      <c r="I33" s="40">
        <f t="shared" si="13"/>
        <v>0</v>
      </c>
      <c r="J33" s="140">
        <v>1</v>
      </c>
      <c r="K33" s="94">
        <f t="shared" si="7"/>
        <v>0</v>
      </c>
      <c r="L33" s="40"/>
      <c r="M33" s="44"/>
      <c r="N33" s="384">
        <v>0</v>
      </c>
      <c r="O33" s="384">
        <v>0</v>
      </c>
      <c r="P33" s="384">
        <v>0</v>
      </c>
      <c r="Q33" s="384">
        <f t="shared" si="8"/>
        <v>0</v>
      </c>
      <c r="R33" s="384">
        <v>0</v>
      </c>
      <c r="S33" s="384">
        <v>0</v>
      </c>
      <c r="T33" s="384">
        <f t="shared" si="9"/>
        <v>0</v>
      </c>
      <c r="U33" s="384">
        <v>0</v>
      </c>
      <c r="V33" s="384">
        <v>0</v>
      </c>
      <c r="W33" s="40">
        <f t="shared" si="10"/>
        <v>0</v>
      </c>
      <c r="X33" s="47" t="b">
        <f t="shared" si="11"/>
        <v>1</v>
      </c>
      <c r="Y33" s="139">
        <f t="shared" si="12"/>
        <v>0</v>
      </c>
    </row>
    <row r="34" spans="1:25" s="30" customFormat="1" ht="12.75">
      <c r="A34" s="44">
        <v>20</v>
      </c>
      <c r="C34" s="30" t="s">
        <v>146</v>
      </c>
      <c r="D34" s="44"/>
      <c r="E34" s="378">
        <v>0</v>
      </c>
      <c r="F34" s="40">
        <v>0</v>
      </c>
      <c r="G34" s="40">
        <f t="shared" si="6"/>
        <v>0</v>
      </c>
      <c r="H34" s="384">
        <v>0</v>
      </c>
      <c r="I34" s="40">
        <f t="shared" si="13"/>
        <v>0</v>
      </c>
      <c r="J34" s="140">
        <v>1</v>
      </c>
      <c r="K34" s="94">
        <f t="shared" si="7"/>
        <v>0</v>
      </c>
      <c r="L34" s="40"/>
      <c r="M34" s="44"/>
      <c r="N34" s="384">
        <v>0</v>
      </c>
      <c r="O34" s="384">
        <v>0</v>
      </c>
      <c r="P34" s="384">
        <v>0</v>
      </c>
      <c r="Q34" s="384">
        <f t="shared" si="8"/>
        <v>0</v>
      </c>
      <c r="R34" s="384">
        <v>0</v>
      </c>
      <c r="S34" s="384">
        <v>0</v>
      </c>
      <c r="T34" s="384">
        <f t="shared" si="9"/>
        <v>0</v>
      </c>
      <c r="U34" s="384">
        <v>0</v>
      </c>
      <c r="V34" s="384">
        <v>0</v>
      </c>
      <c r="W34" s="40">
        <f t="shared" si="10"/>
        <v>0</v>
      </c>
      <c r="X34" s="47" t="b">
        <f t="shared" si="11"/>
        <v>1</v>
      </c>
      <c r="Y34" s="139">
        <f t="shared" si="12"/>
        <v>0</v>
      </c>
    </row>
    <row r="35" spans="1:23" s="30" customFormat="1" ht="12.75">
      <c r="A35" s="44">
        <v>21</v>
      </c>
      <c r="D35" s="44"/>
      <c r="E35" s="122"/>
      <c r="F35" s="122"/>
      <c r="G35" s="122"/>
      <c r="H35" s="122"/>
      <c r="I35" s="122"/>
      <c r="J35" s="140"/>
      <c r="K35" s="122"/>
      <c r="L35" s="40"/>
      <c r="M35" s="44"/>
      <c r="N35" s="122"/>
      <c r="O35" s="122"/>
      <c r="P35" s="122"/>
      <c r="Q35" s="122"/>
      <c r="R35" s="122"/>
      <c r="S35" s="122"/>
      <c r="T35" s="122"/>
      <c r="U35" s="122"/>
      <c r="V35" s="122"/>
      <c r="W35" s="122"/>
    </row>
    <row r="36" spans="1:25" s="46" customFormat="1" ht="12.75">
      <c r="A36" s="44">
        <v>22</v>
      </c>
      <c r="C36" s="91" t="s">
        <v>89</v>
      </c>
      <c r="E36" s="165">
        <f>SUM(E25:E34)</f>
        <v>355615652.71000004</v>
      </c>
      <c r="F36" s="165">
        <f>SUM(F25:F34)</f>
        <v>0</v>
      </c>
      <c r="G36" s="165">
        <f>SUM(G25:G34)</f>
        <v>355615652.71000004</v>
      </c>
      <c r="H36" s="165">
        <f>SUM(H25:H34)</f>
        <v>-31054201.599999998</v>
      </c>
      <c r="I36" s="165">
        <f>SUM(I25:I34)</f>
        <v>324561451.11000001</v>
      </c>
      <c r="J36" s="142"/>
      <c r="K36" s="165">
        <f>SUM(K25:K34)</f>
        <v>324561451.11000001</v>
      </c>
      <c r="L36" s="165"/>
      <c r="M36" s="165"/>
      <c r="N36" s="165">
        <f t="shared" si="14" ref="N36:P36">SUM(N25:N34)</f>
        <v>273015275.75</v>
      </c>
      <c r="O36" s="165">
        <f t="shared" si="14"/>
        <v>40124172.229999997</v>
      </c>
      <c r="P36" s="165">
        <f t="shared" si="14"/>
        <v>908379.1399999999</v>
      </c>
      <c r="Q36" s="165">
        <f t="shared" si="15" ref="Q36:W36">SUM(Q25:Q34)</f>
        <v>314047827.12</v>
      </c>
      <c r="R36" s="165">
        <f t="shared" si="15"/>
        <v>9346418.3000000007</v>
      </c>
      <c r="S36" s="165">
        <f t="shared" si="15"/>
        <v>1167205.6899999999</v>
      </c>
      <c r="T36" s="165">
        <f t="shared" si="15"/>
        <v>10513623.99</v>
      </c>
      <c r="U36" s="165">
        <f t="shared" si="15"/>
        <v>0</v>
      </c>
      <c r="V36" s="165">
        <f t="shared" si="15"/>
        <v>0</v>
      </c>
      <c r="W36" s="165">
        <f t="shared" si="15"/>
        <v>324561451.11000001</v>
      </c>
      <c r="X36" s="47" t="b">
        <f>+K36=W36</f>
        <v>1</v>
      </c>
      <c r="Y36" s="139">
        <f>+K36-W36</f>
        <v>0</v>
      </c>
    </row>
    <row r="37" spans="1:23" s="30" customFormat="1" ht="12.75">
      <c r="A37" s="44">
        <v>23</v>
      </c>
      <c r="D37" s="44"/>
      <c r="E37" s="40"/>
      <c r="F37" s="40"/>
      <c r="G37" s="40"/>
      <c r="H37" s="40"/>
      <c r="I37" s="40"/>
      <c r="J37" s="140"/>
      <c r="K37" s="44"/>
      <c r="L37" s="40"/>
      <c r="M37" s="44"/>
      <c r="N37" s="40"/>
      <c r="O37" s="40"/>
      <c r="P37" s="40"/>
      <c r="Q37" s="40"/>
      <c r="R37" s="40"/>
      <c r="S37" s="40"/>
      <c r="T37" s="40"/>
      <c r="U37" s="40"/>
      <c r="V37" s="40"/>
      <c r="W37" s="40"/>
    </row>
    <row r="38" spans="1:23" s="34" customFormat="1" ht="12.75">
      <c r="A38" s="44">
        <v>24</v>
      </c>
      <c r="B38" s="34" t="s">
        <v>70</v>
      </c>
      <c r="D38" s="45" t="s">
        <v>231</v>
      </c>
      <c r="E38" s="46"/>
      <c r="F38" s="46"/>
      <c r="G38" s="46"/>
      <c r="H38" s="46"/>
      <c r="I38" s="46"/>
      <c r="J38" s="142"/>
      <c r="K38" s="45"/>
      <c r="L38" s="46"/>
      <c r="M38" s="45"/>
      <c r="N38" s="46"/>
      <c r="O38" s="46"/>
      <c r="P38" s="46"/>
      <c r="Q38" s="46"/>
      <c r="R38" s="46"/>
      <c r="S38" s="46"/>
      <c r="T38" s="46"/>
      <c r="U38" s="46"/>
      <c r="V38" s="46"/>
      <c r="W38" s="46"/>
    </row>
    <row r="39" spans="1:25" s="30" customFormat="1" ht="12.75">
      <c r="A39" s="44">
        <v>25</v>
      </c>
      <c r="B39" s="30" t="s">
        <v>111</v>
      </c>
      <c r="C39" s="30" t="s">
        <v>95</v>
      </c>
      <c r="D39" s="44"/>
      <c r="E39" s="381">
        <v>281466.77000000002</v>
      </c>
      <c r="F39" s="164">
        <v>0</v>
      </c>
      <c r="G39" s="164">
        <f t="shared" si="16" ref="G39:G52">+E39+F39</f>
        <v>281466.77000000002</v>
      </c>
      <c r="H39" s="385">
        <v>29562.73</v>
      </c>
      <c r="I39" s="164">
        <f t="shared" si="17" ref="I39:I52">+G39+H39</f>
        <v>311029.5</v>
      </c>
      <c r="J39" s="140">
        <v>1</v>
      </c>
      <c r="K39" s="164">
        <f t="shared" si="18" ref="K39:K52">+I39*J39</f>
        <v>311029.5</v>
      </c>
      <c r="L39" s="164"/>
      <c r="M39" s="164"/>
      <c r="N39" s="385">
        <v>18272.91</v>
      </c>
      <c r="O39" s="385">
        <v>0</v>
      </c>
      <c r="P39" s="385">
        <v>0</v>
      </c>
      <c r="Q39" s="385">
        <f t="shared" si="19" ref="Q39:Q52">SUM(N39:P39)</f>
        <v>18272.91</v>
      </c>
      <c r="R39" s="385">
        <v>292756.59000000003</v>
      </c>
      <c r="S39" s="385">
        <v>0</v>
      </c>
      <c r="T39" s="385">
        <f t="shared" si="20" ref="T39:T52">SUM(R39:S39)</f>
        <v>292756.59000000003</v>
      </c>
      <c r="U39" s="385">
        <v>0</v>
      </c>
      <c r="V39" s="385">
        <v>0</v>
      </c>
      <c r="W39" s="164">
        <f t="shared" si="21" ref="W39:W52">+Q39+T39+U39+V39</f>
        <v>311029.5</v>
      </c>
      <c r="X39" s="47" t="b">
        <f t="shared" si="22" ref="X39:X52">+K39=W39</f>
        <v>1</v>
      </c>
      <c r="Y39" s="47">
        <f t="shared" si="23" ref="Y39:Y52">+K39-W39</f>
        <v>0</v>
      </c>
    </row>
    <row r="40" spans="1:25" s="30" customFormat="1" ht="12.75">
      <c r="A40" s="44">
        <v>26</v>
      </c>
      <c r="B40" s="30" t="s">
        <v>112</v>
      </c>
      <c r="C40" s="49" t="s">
        <v>93</v>
      </c>
      <c r="D40" s="44"/>
      <c r="E40" s="380">
        <v>4542781.0300000003</v>
      </c>
      <c r="F40" s="40">
        <v>0</v>
      </c>
      <c r="G40" s="40">
        <f t="shared" si="16"/>
        <v>4542781.0300000003</v>
      </c>
      <c r="H40" s="384">
        <v>208729.66</v>
      </c>
      <c r="I40" s="40">
        <f t="shared" si="17"/>
        <v>4751510.6900000004</v>
      </c>
      <c r="J40" s="140">
        <v>1</v>
      </c>
      <c r="K40" s="94">
        <f t="shared" si="18"/>
        <v>4751510.6900000004</v>
      </c>
      <c r="L40" s="40"/>
      <c r="M40" s="44"/>
      <c r="N40" s="384">
        <v>1108084.46</v>
      </c>
      <c r="O40" s="384">
        <v>334391.34000000003</v>
      </c>
      <c r="P40" s="384">
        <v>0</v>
      </c>
      <c r="Q40" s="384">
        <f t="shared" si="19"/>
        <v>1442475.8000000001</v>
      </c>
      <c r="R40" s="384">
        <v>2856983.6299999999</v>
      </c>
      <c r="S40" s="384">
        <v>452051.26000000001</v>
      </c>
      <c r="T40" s="384">
        <f t="shared" si="20"/>
        <v>3309034.8899999997</v>
      </c>
      <c r="U40" s="384">
        <v>0</v>
      </c>
      <c r="V40" s="384">
        <v>0</v>
      </c>
      <c r="W40" s="40">
        <f t="shared" si="21"/>
        <v>4751510.6899999995</v>
      </c>
      <c r="X40" s="47" t="b">
        <f t="shared" si="22"/>
        <v>1</v>
      </c>
      <c r="Y40" s="139">
        <f t="shared" si="23"/>
        <v>0</v>
      </c>
    </row>
    <row r="41" spans="1:25" s="30" customFormat="1" ht="12.75">
      <c r="A41" s="44">
        <v>27</v>
      </c>
      <c r="B41" s="30" t="s">
        <v>113</v>
      </c>
      <c r="C41" s="30" t="s">
        <v>98</v>
      </c>
      <c r="D41" s="44"/>
      <c r="E41" s="380">
        <v>39554852.890000001</v>
      </c>
      <c r="F41" s="40">
        <v>0</v>
      </c>
      <c r="G41" s="40">
        <f t="shared" si="16"/>
        <v>39554852.890000001</v>
      </c>
      <c r="H41" s="384">
        <v>11244352.279999999</v>
      </c>
      <c r="I41" s="40">
        <f t="shared" si="17"/>
        <v>50799205.170000002</v>
      </c>
      <c r="J41" s="140">
        <v>1</v>
      </c>
      <c r="K41" s="94">
        <f t="shared" si="18"/>
        <v>50799205.170000002</v>
      </c>
      <c r="L41" s="40"/>
      <c r="M41" s="44"/>
      <c r="N41" s="384">
        <v>11922944.300000001</v>
      </c>
      <c r="O41" s="384">
        <v>818319.29000000004</v>
      </c>
      <c r="P41" s="384">
        <v>0</v>
      </c>
      <c r="Q41" s="384">
        <f t="shared" si="19"/>
        <v>12741263.59</v>
      </c>
      <c r="R41" s="384">
        <v>36683880.890000001</v>
      </c>
      <c r="S41" s="384">
        <v>1374060.6899999999</v>
      </c>
      <c r="T41" s="384">
        <f t="shared" si="20"/>
        <v>38057941.579999998</v>
      </c>
      <c r="U41" s="384">
        <v>0</v>
      </c>
      <c r="V41" s="384">
        <v>0</v>
      </c>
      <c r="W41" s="40">
        <f t="shared" si="21"/>
        <v>50799205.170000002</v>
      </c>
      <c r="X41" s="47" t="b">
        <f t="shared" si="22"/>
        <v>1</v>
      </c>
      <c r="Y41" s="139">
        <f t="shared" si="23"/>
        <v>0</v>
      </c>
    </row>
    <row r="42" spans="1:25" s="30" customFormat="1" ht="12.75">
      <c r="A42" s="44">
        <v>28</v>
      </c>
      <c r="B42" s="30" t="s">
        <v>114</v>
      </c>
      <c r="C42" s="30" t="s">
        <v>115</v>
      </c>
      <c r="D42" s="44"/>
      <c r="E42" s="380">
        <v>0</v>
      </c>
      <c r="F42" s="40">
        <v>0</v>
      </c>
      <c r="G42" s="40">
        <f t="shared" si="16"/>
        <v>0</v>
      </c>
      <c r="H42" s="384">
        <v>0</v>
      </c>
      <c r="I42" s="40">
        <f t="shared" si="17"/>
        <v>0</v>
      </c>
      <c r="J42" s="140">
        <v>1</v>
      </c>
      <c r="K42" s="94">
        <f t="shared" si="18"/>
        <v>0</v>
      </c>
      <c r="L42" s="40"/>
      <c r="M42" s="44"/>
      <c r="N42" s="384">
        <v>0</v>
      </c>
      <c r="O42" s="384">
        <v>0</v>
      </c>
      <c r="P42" s="384">
        <v>0</v>
      </c>
      <c r="Q42" s="384">
        <f t="shared" si="19"/>
        <v>0</v>
      </c>
      <c r="R42" s="384">
        <v>0</v>
      </c>
      <c r="S42" s="384">
        <v>0</v>
      </c>
      <c r="T42" s="384">
        <f t="shared" si="20"/>
        <v>0</v>
      </c>
      <c r="U42" s="384">
        <v>0</v>
      </c>
      <c r="V42" s="384">
        <v>0</v>
      </c>
      <c r="W42" s="40">
        <f t="shared" si="21"/>
        <v>0</v>
      </c>
      <c r="X42" s="47" t="b">
        <f t="shared" si="22"/>
        <v>1</v>
      </c>
      <c r="Y42" s="139">
        <f t="shared" si="23"/>
        <v>0</v>
      </c>
    </row>
    <row r="43" spans="1:25" s="30" customFormat="1" ht="12.75">
      <c r="A43" s="44">
        <v>29</v>
      </c>
      <c r="B43" s="30" t="s">
        <v>116</v>
      </c>
      <c r="C43" s="57" t="s">
        <v>392</v>
      </c>
      <c r="D43" s="44"/>
      <c r="E43" s="380">
        <v>74733174.650000006</v>
      </c>
      <c r="F43" s="40">
        <v>0</v>
      </c>
      <c r="G43" s="40">
        <f t="shared" si="16"/>
        <v>74733174.650000006</v>
      </c>
      <c r="H43" s="384">
        <v>20353503.780000001</v>
      </c>
      <c r="I43" s="40">
        <f t="shared" si="17"/>
        <v>95086678.430000007</v>
      </c>
      <c r="J43" s="140">
        <v>1</v>
      </c>
      <c r="K43" s="94">
        <f t="shared" si="18"/>
        <v>95086678.430000007</v>
      </c>
      <c r="L43" s="40"/>
      <c r="M43" s="44"/>
      <c r="N43" s="384">
        <v>0</v>
      </c>
      <c r="O43" s="384">
        <v>0</v>
      </c>
      <c r="P43" s="384">
        <v>0</v>
      </c>
      <c r="Q43" s="384">
        <f t="shared" si="19"/>
        <v>0</v>
      </c>
      <c r="R43" s="384">
        <v>95063645.810000002</v>
      </c>
      <c r="S43" s="384">
        <v>23032.619999999999</v>
      </c>
      <c r="T43" s="384">
        <f t="shared" si="20"/>
        <v>95086678.430000007</v>
      </c>
      <c r="U43" s="384">
        <v>0</v>
      </c>
      <c r="V43" s="384">
        <v>0</v>
      </c>
      <c r="W43" s="40">
        <f t="shared" si="21"/>
        <v>95086678.430000007</v>
      </c>
      <c r="X43" s="47" t="b">
        <f t="shared" si="22"/>
        <v>1</v>
      </c>
      <c r="Y43" s="139">
        <f t="shared" si="23"/>
        <v>0</v>
      </c>
    </row>
    <row r="44" spans="1:25" s="30" customFormat="1" ht="12.75">
      <c r="A44" s="44">
        <v>30</v>
      </c>
      <c r="B44" s="30" t="s">
        <v>118</v>
      </c>
      <c r="C44" s="30" t="s">
        <v>104</v>
      </c>
      <c r="D44" s="44"/>
      <c r="E44" s="380">
        <v>45802707.130000003</v>
      </c>
      <c r="F44" s="40">
        <v>0</v>
      </c>
      <c r="G44" s="40">
        <f t="shared" si="16"/>
        <v>45802707.130000003</v>
      </c>
      <c r="H44" s="384">
        <v>7586839.7199999997</v>
      </c>
      <c r="I44" s="40">
        <f t="shared" si="17"/>
        <v>53389546.850000001</v>
      </c>
      <c r="J44" s="140">
        <v>1</v>
      </c>
      <c r="K44" s="94">
        <f t="shared" si="18"/>
        <v>53389546.850000001</v>
      </c>
      <c r="L44" s="40"/>
      <c r="M44" s="44"/>
      <c r="N44" s="384">
        <v>0</v>
      </c>
      <c r="O44" s="384">
        <v>0</v>
      </c>
      <c r="P44" s="384">
        <v>0</v>
      </c>
      <c r="Q44" s="384">
        <f t="shared" si="19"/>
        <v>0</v>
      </c>
      <c r="R44" s="384">
        <v>53354376.829999998</v>
      </c>
      <c r="S44" s="384">
        <v>35170.019999999997</v>
      </c>
      <c r="T44" s="384">
        <f t="shared" si="20"/>
        <v>53389546.850000001</v>
      </c>
      <c r="U44" s="384">
        <v>0</v>
      </c>
      <c r="V44" s="384">
        <v>0</v>
      </c>
      <c r="W44" s="40">
        <f t="shared" si="21"/>
        <v>53389546.850000001</v>
      </c>
      <c r="X44" s="47" t="b">
        <f t="shared" si="22"/>
        <v>1</v>
      </c>
      <c r="Y44" s="139">
        <f t="shared" si="23"/>
        <v>0</v>
      </c>
    </row>
    <row r="45" spans="1:25" s="30" customFormat="1" ht="12.75">
      <c r="A45" s="44">
        <v>31</v>
      </c>
      <c r="B45" s="30" t="s">
        <v>119</v>
      </c>
      <c r="C45" s="30" t="s">
        <v>120</v>
      </c>
      <c r="D45" s="44"/>
      <c r="E45" s="380">
        <v>19956854.43</v>
      </c>
      <c r="F45" s="40">
        <v>0</v>
      </c>
      <c r="G45" s="40">
        <f t="shared" si="16"/>
        <v>19956854.43</v>
      </c>
      <c r="H45" s="384">
        <v>3633848.8900000001</v>
      </c>
      <c r="I45" s="40">
        <f t="shared" si="17"/>
        <v>23590703.32</v>
      </c>
      <c r="J45" s="140">
        <v>1</v>
      </c>
      <c r="K45" s="94">
        <f t="shared" si="18"/>
        <v>23590703.32</v>
      </c>
      <c r="L45" s="40"/>
      <c r="M45" s="44"/>
      <c r="N45" s="384">
        <v>0</v>
      </c>
      <c r="O45" s="384">
        <v>0</v>
      </c>
      <c r="P45" s="384">
        <v>0</v>
      </c>
      <c r="Q45" s="384">
        <f t="shared" si="19"/>
        <v>0</v>
      </c>
      <c r="R45" s="384">
        <v>23578853.789999999</v>
      </c>
      <c r="S45" s="384">
        <v>11849.530000000001</v>
      </c>
      <c r="T45" s="384">
        <f t="shared" si="20"/>
        <v>23590703.32</v>
      </c>
      <c r="U45" s="384">
        <v>0</v>
      </c>
      <c r="V45" s="384">
        <v>0</v>
      </c>
      <c r="W45" s="40">
        <f t="shared" si="21"/>
        <v>23590703.32</v>
      </c>
      <c r="X45" s="47" t="b">
        <f t="shared" si="22"/>
        <v>1</v>
      </c>
      <c r="Y45" s="139">
        <f t="shared" si="23"/>
        <v>0</v>
      </c>
    </row>
    <row r="46" spans="1:25" s="30" customFormat="1" ht="12.75">
      <c r="A46" s="44">
        <v>32</v>
      </c>
      <c r="B46" s="30" t="s">
        <v>121</v>
      </c>
      <c r="C46" s="49" t="s">
        <v>122</v>
      </c>
      <c r="D46" s="44"/>
      <c r="E46" s="380">
        <v>63649774.159999996</v>
      </c>
      <c r="F46" s="40">
        <v>0</v>
      </c>
      <c r="G46" s="40">
        <f t="shared" si="16"/>
        <v>63649774.159999996</v>
      </c>
      <c r="H46" s="384">
        <v>-6872861.5999999996</v>
      </c>
      <c r="I46" s="40">
        <f t="shared" si="17"/>
        <v>56776912.559999995</v>
      </c>
      <c r="J46" s="140">
        <v>1</v>
      </c>
      <c r="K46" s="94">
        <f t="shared" si="18"/>
        <v>56776912.559999995</v>
      </c>
      <c r="L46" s="40"/>
      <c r="M46" s="44"/>
      <c r="N46" s="384">
        <v>0</v>
      </c>
      <c r="O46" s="384">
        <v>0</v>
      </c>
      <c r="P46" s="384">
        <v>0</v>
      </c>
      <c r="Q46" s="384">
        <f t="shared" si="19"/>
        <v>0</v>
      </c>
      <c r="R46" s="384">
        <v>56736034.090000004</v>
      </c>
      <c r="S46" s="384">
        <v>40878.470000000001</v>
      </c>
      <c r="T46" s="384">
        <f t="shared" si="20"/>
        <v>56776912.560000002</v>
      </c>
      <c r="U46" s="384">
        <v>0</v>
      </c>
      <c r="V46" s="384">
        <v>0</v>
      </c>
      <c r="W46" s="40">
        <f t="shared" si="21"/>
        <v>56776912.560000002</v>
      </c>
      <c r="X46" s="47" t="b">
        <f t="shared" si="22"/>
        <v>1</v>
      </c>
      <c r="Y46" s="139">
        <f t="shared" si="23"/>
        <v>0</v>
      </c>
    </row>
    <row r="47" spans="1:25" s="30" customFormat="1" ht="12.75">
      <c r="A47" s="44">
        <v>33</v>
      </c>
      <c r="B47" s="30" t="s">
        <v>123</v>
      </c>
      <c r="C47" s="30" t="s">
        <v>124</v>
      </c>
      <c r="D47" s="44"/>
      <c r="E47" s="380">
        <v>57024701.850000001</v>
      </c>
      <c r="F47" s="40">
        <v>0</v>
      </c>
      <c r="G47" s="40">
        <f t="shared" si="16"/>
        <v>57024701.850000001</v>
      </c>
      <c r="H47" s="384">
        <v>-320946.97999999998</v>
      </c>
      <c r="I47" s="40">
        <f t="shared" si="17"/>
        <v>56703754.870000005</v>
      </c>
      <c r="J47" s="140">
        <v>1</v>
      </c>
      <c r="K47" s="94">
        <f t="shared" si="18"/>
        <v>56703754.870000005</v>
      </c>
      <c r="L47" s="40"/>
      <c r="M47" s="44"/>
      <c r="N47" s="384">
        <v>0</v>
      </c>
      <c r="O47" s="384">
        <v>0</v>
      </c>
      <c r="P47" s="384">
        <v>0</v>
      </c>
      <c r="Q47" s="384">
        <f t="shared" si="19"/>
        <v>0</v>
      </c>
      <c r="R47" s="384">
        <v>56703640.140000001</v>
      </c>
      <c r="S47" s="384">
        <v>114.73</v>
      </c>
      <c r="T47" s="384">
        <f t="shared" si="20"/>
        <v>56703754.869999997</v>
      </c>
      <c r="U47" s="384">
        <v>0</v>
      </c>
      <c r="V47" s="384">
        <v>0</v>
      </c>
      <c r="W47" s="40">
        <f t="shared" si="21"/>
        <v>56703754.869999997</v>
      </c>
      <c r="X47" s="47" t="b">
        <f t="shared" si="22"/>
        <v>1</v>
      </c>
      <c r="Y47" s="139">
        <f t="shared" si="23"/>
        <v>0</v>
      </c>
    </row>
    <row r="48" spans="1:25" s="30" customFormat="1" ht="12.75">
      <c r="A48" s="44">
        <v>34</v>
      </c>
      <c r="B48" s="30" t="s">
        <v>125</v>
      </c>
      <c r="C48" s="49" t="s">
        <v>126</v>
      </c>
      <c r="D48" s="44"/>
      <c r="E48" s="380">
        <v>44489242.560000002</v>
      </c>
      <c r="F48" s="40">
        <v>0</v>
      </c>
      <c r="G48" s="40">
        <f t="shared" si="16"/>
        <v>44489242.560000002</v>
      </c>
      <c r="H48" s="384">
        <v>5757477.7199999997</v>
      </c>
      <c r="I48" s="40">
        <f t="shared" si="17"/>
        <v>50246720.280000001</v>
      </c>
      <c r="J48" s="140">
        <v>1</v>
      </c>
      <c r="K48" s="94">
        <f t="shared" si="18"/>
        <v>50246720.280000001</v>
      </c>
      <c r="L48" s="40"/>
      <c r="M48" s="44"/>
      <c r="N48" s="384">
        <v>0</v>
      </c>
      <c r="O48" s="384">
        <v>0</v>
      </c>
      <c r="P48" s="384">
        <v>0</v>
      </c>
      <c r="Q48" s="384">
        <f t="shared" si="19"/>
        <v>0</v>
      </c>
      <c r="R48" s="384">
        <v>50246720.280000001</v>
      </c>
      <c r="S48" s="384">
        <v>0</v>
      </c>
      <c r="T48" s="384">
        <f t="shared" si="20"/>
        <v>50246720.280000001</v>
      </c>
      <c r="U48" s="384">
        <v>0</v>
      </c>
      <c r="V48" s="384">
        <v>0</v>
      </c>
      <c r="W48" s="40">
        <f t="shared" si="21"/>
        <v>50246720.280000001</v>
      </c>
      <c r="X48" s="47" t="b">
        <f t="shared" si="22"/>
        <v>1</v>
      </c>
      <c r="Y48" s="139">
        <f t="shared" si="23"/>
        <v>0</v>
      </c>
    </row>
    <row r="49" spans="1:25" s="30" customFormat="1" ht="12.75">
      <c r="A49" s="44">
        <v>35</v>
      </c>
      <c r="B49" s="30" t="s">
        <v>127</v>
      </c>
      <c r="C49" s="30" t="s">
        <v>128</v>
      </c>
      <c r="D49" s="44"/>
      <c r="E49" s="380">
        <v>13791584.69</v>
      </c>
      <c r="F49" s="40">
        <v>0</v>
      </c>
      <c r="G49" s="40">
        <f t="shared" si="16"/>
        <v>13791584.69</v>
      </c>
      <c r="H49" s="384">
        <v>3403710.1499999999</v>
      </c>
      <c r="I49" s="40">
        <f t="shared" si="17"/>
        <v>17195294.84</v>
      </c>
      <c r="J49" s="140">
        <v>1</v>
      </c>
      <c r="K49" s="94">
        <f t="shared" si="18"/>
        <v>17195294.84</v>
      </c>
      <c r="L49" s="40"/>
      <c r="M49" s="44"/>
      <c r="N49" s="384">
        <v>0</v>
      </c>
      <c r="O49" s="384">
        <v>0</v>
      </c>
      <c r="P49" s="384">
        <v>0</v>
      </c>
      <c r="Q49" s="384">
        <f t="shared" si="19"/>
        <v>0</v>
      </c>
      <c r="R49" s="384">
        <v>0</v>
      </c>
      <c r="S49" s="384">
        <v>0</v>
      </c>
      <c r="T49" s="384">
        <f t="shared" si="20"/>
        <v>0</v>
      </c>
      <c r="U49" s="384">
        <v>17195294.84</v>
      </c>
      <c r="V49" s="384">
        <v>0</v>
      </c>
      <c r="W49" s="40">
        <f t="shared" si="21"/>
        <v>17195294.84</v>
      </c>
      <c r="X49" s="47" t="b">
        <f t="shared" si="22"/>
        <v>1</v>
      </c>
      <c r="Y49" s="139">
        <f t="shared" si="23"/>
        <v>0</v>
      </c>
    </row>
    <row r="50" spans="1:25" s="30" customFormat="1" ht="12.75">
      <c r="A50" s="44">
        <v>36</v>
      </c>
      <c r="B50" s="30" t="s">
        <v>129</v>
      </c>
      <c r="C50" s="30" t="s">
        <v>130</v>
      </c>
      <c r="D50" s="44"/>
      <c r="E50" s="380">
        <v>1571209.6100000001</v>
      </c>
      <c r="F50" s="40">
        <v>0</v>
      </c>
      <c r="G50" s="40">
        <f>+E50+F50</f>
        <v>1571209.6100000001</v>
      </c>
      <c r="H50" s="384">
        <v>818933.81000000006</v>
      </c>
      <c r="I50" s="40">
        <f>+G50+H50</f>
        <v>2390143.4199999999</v>
      </c>
      <c r="J50" s="140">
        <v>1</v>
      </c>
      <c r="K50" s="94">
        <f>+I50*J50</f>
        <v>2390143.4199999999</v>
      </c>
      <c r="L50" s="40"/>
      <c r="M50" s="44"/>
      <c r="N50" s="384">
        <v>0</v>
      </c>
      <c r="O50" s="384">
        <v>0</v>
      </c>
      <c r="P50" s="384">
        <v>0</v>
      </c>
      <c r="Q50" s="384">
        <f t="shared" si="19"/>
        <v>0</v>
      </c>
      <c r="R50" s="384">
        <v>2390143.4199999999</v>
      </c>
      <c r="S50" s="384">
        <v>0</v>
      </c>
      <c r="T50" s="384">
        <f t="shared" si="20"/>
        <v>2390143.4199999999</v>
      </c>
      <c r="U50" s="384">
        <v>0</v>
      </c>
      <c r="V50" s="384">
        <v>0</v>
      </c>
      <c r="W50" s="40">
        <f t="shared" si="21"/>
        <v>2390143.4199999999</v>
      </c>
      <c r="X50" s="47" t="b">
        <f t="shared" si="22"/>
        <v>1</v>
      </c>
      <c r="Y50" s="139">
        <f t="shared" si="23"/>
        <v>0</v>
      </c>
    </row>
    <row r="51" spans="1:25" s="30" customFormat="1" ht="12.75">
      <c r="A51" s="44">
        <v>37</v>
      </c>
      <c r="B51" s="30" t="s">
        <v>131</v>
      </c>
      <c r="C51" s="30" t="s">
        <v>132</v>
      </c>
      <c r="D51" s="44"/>
      <c r="E51" s="380">
        <v>0</v>
      </c>
      <c r="F51" s="40">
        <v>0</v>
      </c>
      <c r="G51" s="40">
        <f t="shared" si="16"/>
        <v>0</v>
      </c>
      <c r="H51" s="384">
        <v>0</v>
      </c>
      <c r="I51" s="40">
        <f t="shared" si="17"/>
        <v>0</v>
      </c>
      <c r="J51" s="140">
        <v>1</v>
      </c>
      <c r="K51" s="94">
        <f t="shared" si="18"/>
        <v>0</v>
      </c>
      <c r="L51" s="40"/>
      <c r="M51" s="44"/>
      <c r="N51" s="384">
        <v>0</v>
      </c>
      <c r="O51" s="384">
        <v>0</v>
      </c>
      <c r="P51" s="384">
        <v>0</v>
      </c>
      <c r="Q51" s="384">
        <f t="shared" si="19"/>
        <v>0</v>
      </c>
      <c r="R51" s="384">
        <v>0</v>
      </c>
      <c r="S51" s="384">
        <v>0</v>
      </c>
      <c r="T51" s="384">
        <f t="shared" si="20"/>
        <v>0</v>
      </c>
      <c r="U51" s="384">
        <v>0</v>
      </c>
      <c r="V51" s="384">
        <v>0</v>
      </c>
      <c r="W51" s="40">
        <f t="shared" si="21"/>
        <v>0</v>
      </c>
      <c r="X51" s="47" t="b">
        <f t="shared" si="22"/>
        <v>1</v>
      </c>
      <c r="Y51" s="139">
        <f t="shared" si="23"/>
        <v>0</v>
      </c>
    </row>
    <row r="52" spans="1:25" s="30" customFormat="1" ht="12.75">
      <c r="A52" s="44">
        <v>38</v>
      </c>
      <c r="B52" s="30" t="s">
        <v>158</v>
      </c>
      <c r="C52" s="30" t="s">
        <v>133</v>
      </c>
      <c r="D52" s="44"/>
      <c r="E52" s="380">
        <v>15830672.6</v>
      </c>
      <c r="F52" s="40">
        <v>0</v>
      </c>
      <c r="G52" s="40">
        <f t="shared" si="16"/>
        <v>15830672.6</v>
      </c>
      <c r="H52" s="384">
        <v>5183362.7699999996</v>
      </c>
      <c r="I52" s="40">
        <f t="shared" si="17"/>
        <v>21014035.369999997</v>
      </c>
      <c r="J52" s="140">
        <v>1</v>
      </c>
      <c r="K52" s="94">
        <f t="shared" si="18"/>
        <v>21014035.369999997</v>
      </c>
      <c r="L52" s="40"/>
      <c r="M52" s="44"/>
      <c r="N52" s="384">
        <v>0</v>
      </c>
      <c r="O52" s="384">
        <v>0</v>
      </c>
      <c r="P52" s="384">
        <v>0</v>
      </c>
      <c r="Q52" s="384">
        <f t="shared" si="19"/>
        <v>0</v>
      </c>
      <c r="R52" s="384">
        <v>21013686.960000001</v>
      </c>
      <c r="S52" s="384">
        <v>348.41000000000003</v>
      </c>
      <c r="T52" s="384">
        <f t="shared" si="20"/>
        <v>21014035.370000001</v>
      </c>
      <c r="U52" s="384">
        <v>0</v>
      </c>
      <c r="V52" s="384">
        <v>0</v>
      </c>
      <c r="W52" s="40">
        <f t="shared" si="21"/>
        <v>21014035.370000001</v>
      </c>
      <c r="X52" s="47" t="b">
        <f t="shared" si="22"/>
        <v>1</v>
      </c>
      <c r="Y52" s="139">
        <f t="shared" si="23"/>
        <v>0</v>
      </c>
    </row>
    <row r="53" spans="1:23" s="30" customFormat="1" ht="12.75">
      <c r="A53" s="44">
        <v>39</v>
      </c>
      <c r="D53" s="44"/>
      <c r="E53" s="122"/>
      <c r="F53" s="122"/>
      <c r="G53" s="122"/>
      <c r="H53" s="122"/>
      <c r="I53" s="122"/>
      <c r="J53" s="140"/>
      <c r="K53" s="122"/>
      <c r="L53" s="40"/>
      <c r="M53" s="44"/>
      <c r="N53" s="122"/>
      <c r="O53" s="122"/>
      <c r="P53" s="122"/>
      <c r="Q53" s="122"/>
      <c r="R53" s="122"/>
      <c r="S53" s="122"/>
      <c r="T53" s="122"/>
      <c r="U53" s="122"/>
      <c r="V53" s="122"/>
      <c r="W53" s="122"/>
    </row>
    <row r="54" spans="1:25" s="46" customFormat="1" ht="12.75">
      <c r="A54" s="44">
        <v>40</v>
      </c>
      <c r="C54" s="91" t="s">
        <v>89</v>
      </c>
      <c r="E54" s="165">
        <f>SUM(E39:E52)</f>
        <v>381229022.37000006</v>
      </c>
      <c r="F54" s="165">
        <f>SUM(F39:F52)</f>
        <v>0</v>
      </c>
      <c r="G54" s="165">
        <f>SUM(G39:G52)</f>
        <v>381229022.37000006</v>
      </c>
      <c r="H54" s="165">
        <f>SUM(H39:H52)</f>
        <v>51026512.930000007</v>
      </c>
      <c r="I54" s="165">
        <f>SUM(I39:I52)</f>
        <v>432255535.29999995</v>
      </c>
      <c r="J54" s="142"/>
      <c r="K54" s="165">
        <f>SUM(K39:K52)</f>
        <v>432255535.29999995</v>
      </c>
      <c r="L54" s="165"/>
      <c r="M54" s="165"/>
      <c r="N54" s="165">
        <f t="shared" si="24" ref="N54:P54">SUM(N39:N52)</f>
        <v>13049301.67</v>
      </c>
      <c r="O54" s="165">
        <f t="shared" si="24"/>
        <v>1152710.6300000001</v>
      </c>
      <c r="P54" s="165">
        <f t="shared" si="24"/>
        <v>0</v>
      </c>
      <c r="Q54" s="165">
        <f t="shared" si="25" ref="Q54:W54">SUM(Q39:Q52)</f>
        <v>14202012.300000001</v>
      </c>
      <c r="R54" s="165">
        <f t="shared" si="25"/>
        <v>398920722.42999995</v>
      </c>
      <c r="S54" s="165">
        <f t="shared" si="25"/>
        <v>1937505.73</v>
      </c>
      <c r="T54" s="165">
        <f t="shared" si="25"/>
        <v>400858228.16000003</v>
      </c>
      <c r="U54" s="165">
        <f t="shared" si="25"/>
        <v>17195294.84</v>
      </c>
      <c r="V54" s="165">
        <f t="shared" si="25"/>
        <v>0</v>
      </c>
      <c r="W54" s="165">
        <f t="shared" si="25"/>
        <v>432255535.29999995</v>
      </c>
      <c r="X54" s="47" t="b">
        <f>+K54=W54</f>
        <v>1</v>
      </c>
      <c r="Y54" s="139">
        <f>+K54-W54</f>
        <v>0</v>
      </c>
    </row>
    <row r="55" spans="1:23" s="30" customFormat="1" ht="12.75">
      <c r="A55" s="44">
        <v>41</v>
      </c>
      <c r="D55" s="44"/>
      <c r="E55" s="40"/>
      <c r="F55" s="40"/>
      <c r="G55" s="40"/>
      <c r="H55" s="40"/>
      <c r="I55" s="40"/>
      <c r="J55" s="140"/>
      <c r="K55" s="44"/>
      <c r="L55" s="40"/>
      <c r="M55" s="44"/>
      <c r="N55" s="40"/>
      <c r="O55" s="40"/>
      <c r="P55" s="40"/>
      <c r="Q55" s="40"/>
      <c r="R55" s="40"/>
      <c r="S55" s="40"/>
      <c r="T55" s="40"/>
      <c r="U55" s="40"/>
      <c r="V55" s="40"/>
      <c r="W55" s="40"/>
    </row>
    <row r="56" spans="1:23" s="34" customFormat="1" ht="12.75">
      <c r="A56" s="44">
        <v>42</v>
      </c>
      <c r="B56" s="51" t="s">
        <v>159</v>
      </c>
      <c r="D56" s="45" t="s">
        <v>231</v>
      </c>
      <c r="E56" s="46"/>
      <c r="F56" s="46"/>
      <c r="G56" s="46"/>
      <c r="H56" s="46"/>
      <c r="I56" s="46"/>
      <c r="J56" s="142"/>
      <c r="K56" s="45"/>
      <c r="L56" s="46"/>
      <c r="M56" s="45"/>
      <c r="N56" s="46"/>
      <c r="O56" s="46"/>
      <c r="P56" s="46"/>
      <c r="Q56" s="46"/>
      <c r="R56" s="46"/>
      <c r="S56" s="46"/>
      <c r="T56" s="46"/>
      <c r="U56" s="46"/>
      <c r="V56" s="46"/>
      <c r="W56" s="46"/>
    </row>
    <row r="57" spans="1:23" s="30" customFormat="1" ht="12.75">
      <c r="A57" s="44">
        <v>43</v>
      </c>
      <c r="D57" s="44"/>
      <c r="E57" s="40"/>
      <c r="F57" s="40"/>
      <c r="G57" s="40"/>
      <c r="H57" s="40"/>
      <c r="I57" s="40"/>
      <c r="J57" s="140"/>
      <c r="L57" s="40"/>
      <c r="M57" s="44"/>
      <c r="N57" s="40"/>
      <c r="O57" s="40"/>
      <c r="P57" s="40"/>
      <c r="Q57" s="40"/>
      <c r="R57" s="40"/>
      <c r="S57" s="40"/>
      <c r="T57" s="40"/>
      <c r="U57" s="40"/>
      <c r="V57" s="40"/>
      <c r="W57" s="40"/>
    </row>
    <row r="58" spans="1:25" s="30" customFormat="1" ht="12.75">
      <c r="A58" s="44">
        <v>44</v>
      </c>
      <c r="B58" s="30" t="s">
        <v>214</v>
      </c>
      <c r="C58" s="30" t="s">
        <v>95</v>
      </c>
      <c r="D58" s="44"/>
      <c r="E58" s="383">
        <v>2971.3099999999999</v>
      </c>
      <c r="F58" s="164">
        <v>0</v>
      </c>
      <c r="G58" s="164">
        <f t="shared" si="26" ref="G58:G69">+E58+F58</f>
        <v>2971.3099999999999</v>
      </c>
      <c r="H58" s="385">
        <v>-54.960000000000001</v>
      </c>
      <c r="I58" s="164">
        <f t="shared" si="27" ref="I58:I69">+G58+H58</f>
        <v>2916.3499999999999</v>
      </c>
      <c r="J58" s="140">
        <v>1</v>
      </c>
      <c r="K58" s="164">
        <f t="shared" si="28" ref="K58:K69">+I58*J58</f>
        <v>2916.3499999999999</v>
      </c>
      <c r="L58" s="164"/>
      <c r="M58" s="164"/>
      <c r="N58" s="385">
        <v>1237.1900000000001</v>
      </c>
      <c r="O58" s="385">
        <v>0</v>
      </c>
      <c r="P58" s="385">
        <v>0</v>
      </c>
      <c r="Q58" s="385">
        <f t="shared" si="29" ref="Q58:Q69">SUM(N58:P58)</f>
        <v>1237.1900000000001</v>
      </c>
      <c r="R58" s="385">
        <v>1610.53</v>
      </c>
      <c r="S58" s="385">
        <v>0</v>
      </c>
      <c r="T58" s="385">
        <f t="shared" si="30" ref="T58:T69">SUM(R58:S58)</f>
        <v>1610.53</v>
      </c>
      <c r="U58" s="385">
        <v>68.370000000000005</v>
      </c>
      <c r="V58" s="385">
        <v>0.26000000000000001</v>
      </c>
      <c r="W58" s="164">
        <f t="shared" si="31" ref="W58:W69">+Q58+T58+U58+V58</f>
        <v>2916.3500000000004</v>
      </c>
      <c r="X58" s="47" t="b">
        <f t="shared" si="32" ref="X58:X69">+K58=W58</f>
        <v>1</v>
      </c>
      <c r="Y58" s="47">
        <f t="shared" si="33" ref="Y58:Y69">+K58-W58</f>
        <v>0</v>
      </c>
    </row>
    <row r="59" spans="1:25" s="30" customFormat="1" ht="12.75">
      <c r="A59" s="44">
        <v>45</v>
      </c>
      <c r="B59" s="30" t="s">
        <v>134</v>
      </c>
      <c r="C59" s="30" t="s">
        <v>93</v>
      </c>
      <c r="D59" s="44"/>
      <c r="E59" s="382">
        <v>5757277.5800000001</v>
      </c>
      <c r="F59" s="40">
        <v>0</v>
      </c>
      <c r="G59" s="40">
        <f t="shared" si="26"/>
        <v>5757277.5800000001</v>
      </c>
      <c r="H59" s="384">
        <v>-338696.96999999997</v>
      </c>
      <c r="I59" s="40">
        <f t="shared" si="27"/>
        <v>5418580.6100000003</v>
      </c>
      <c r="J59" s="140">
        <v>1</v>
      </c>
      <c r="K59" s="94">
        <f t="shared" si="28"/>
        <v>5418580.6100000003</v>
      </c>
      <c r="L59" s="40"/>
      <c r="M59" s="44"/>
      <c r="N59" s="384">
        <v>1759074</v>
      </c>
      <c r="O59" s="384">
        <v>28312.470000000001</v>
      </c>
      <c r="P59" s="384">
        <v>0</v>
      </c>
      <c r="Q59" s="384">
        <f t="shared" si="29"/>
        <v>1787386.47</v>
      </c>
      <c r="R59" s="384">
        <v>2871490.2400000002</v>
      </c>
      <c r="S59" s="384">
        <v>0</v>
      </c>
      <c r="T59" s="384">
        <f t="shared" si="30"/>
        <v>2871490.2400000002</v>
      </c>
      <c r="U59" s="384">
        <v>489731.73999999999</v>
      </c>
      <c r="V59" s="384">
        <v>269972.15999999997</v>
      </c>
      <c r="W59" s="40">
        <f t="shared" si="31"/>
        <v>5418580.6100000003</v>
      </c>
      <c r="X59" s="47" t="b">
        <f t="shared" si="32"/>
        <v>1</v>
      </c>
      <c r="Y59" s="139">
        <f t="shared" si="33"/>
        <v>0</v>
      </c>
    </row>
    <row r="60" spans="1:25" s="30" customFormat="1" ht="12.75">
      <c r="A60" s="44">
        <v>46</v>
      </c>
      <c r="B60" s="30" t="s">
        <v>135</v>
      </c>
      <c r="C60" s="30" t="s">
        <v>0</v>
      </c>
      <c r="D60" s="44"/>
      <c r="E60" s="382">
        <v>19576588.149999999</v>
      </c>
      <c r="F60" s="40">
        <v>0</v>
      </c>
      <c r="G60" s="40">
        <f t="shared" si="26"/>
        <v>19576588.149999999</v>
      </c>
      <c r="H60" s="384">
        <v>19228223.170000002</v>
      </c>
      <c r="I60" s="40">
        <f t="shared" si="27"/>
        <v>38804811.32</v>
      </c>
      <c r="J60" s="140">
        <v>1</v>
      </c>
      <c r="K60" s="94">
        <f t="shared" si="28"/>
        <v>38804811.32</v>
      </c>
      <c r="L60" s="40"/>
      <c r="M60" s="44"/>
      <c r="N60" s="384">
        <v>8707087.5</v>
      </c>
      <c r="O60" s="384">
        <v>108726.84</v>
      </c>
      <c r="P60" s="384">
        <v>0</v>
      </c>
      <c r="Q60" s="384">
        <f t="shared" si="29"/>
        <v>8815814.3399999999</v>
      </c>
      <c r="R60" s="384">
        <v>11253947.6</v>
      </c>
      <c r="S60" s="384">
        <v>0</v>
      </c>
      <c r="T60" s="384">
        <f t="shared" si="30"/>
        <v>11253947.6</v>
      </c>
      <c r="U60" s="384">
        <v>8476613.7300000004</v>
      </c>
      <c r="V60" s="384">
        <v>10258435.65</v>
      </c>
      <c r="W60" s="40">
        <f t="shared" si="31"/>
        <v>38804811.32</v>
      </c>
      <c r="X60" s="47" t="b">
        <f t="shared" si="32"/>
        <v>1</v>
      </c>
      <c r="Y60" s="139">
        <f t="shared" si="33"/>
        <v>0</v>
      </c>
    </row>
    <row r="61" spans="1:25" s="30" customFormat="1" ht="12.75">
      <c r="A61" s="44">
        <v>47</v>
      </c>
      <c r="B61" s="30" t="s">
        <v>136</v>
      </c>
      <c r="C61" s="30" t="s">
        <v>222</v>
      </c>
      <c r="D61" s="44"/>
      <c r="E61" s="382">
        <v>1695681.99</v>
      </c>
      <c r="F61" s="40">
        <v>0</v>
      </c>
      <c r="G61" s="40">
        <f t="shared" si="26"/>
        <v>1695681.99</v>
      </c>
      <c r="H61" s="384">
        <v>52479.529999999999</v>
      </c>
      <c r="I61" s="40">
        <f t="shared" si="27"/>
        <v>1748161.52</v>
      </c>
      <c r="J61" s="140">
        <v>1</v>
      </c>
      <c r="K61" s="94">
        <f t="shared" si="28"/>
        <v>1748161.52</v>
      </c>
      <c r="L61" s="40"/>
      <c r="M61" s="44"/>
      <c r="N61" s="384">
        <v>630540.13</v>
      </c>
      <c r="O61" s="384">
        <v>104358.81</v>
      </c>
      <c r="P61" s="384">
        <v>0</v>
      </c>
      <c r="Q61" s="384">
        <f t="shared" si="29"/>
        <v>734898.93999999994</v>
      </c>
      <c r="R61" s="384">
        <v>1013262.58</v>
      </c>
      <c r="S61" s="384">
        <v>0</v>
      </c>
      <c r="T61" s="384">
        <f t="shared" si="30"/>
        <v>1013262.58</v>
      </c>
      <c r="U61" s="384">
        <v>0</v>
      </c>
      <c r="V61" s="384">
        <v>0</v>
      </c>
      <c r="W61" s="40">
        <f t="shared" si="31"/>
        <v>1748161.52</v>
      </c>
      <c r="X61" s="47" t="b">
        <f t="shared" si="32"/>
        <v>1</v>
      </c>
      <c r="Y61" s="139">
        <f t="shared" si="33"/>
        <v>0</v>
      </c>
    </row>
    <row r="62" spans="1:25" s="30" customFormat="1" ht="12.75">
      <c r="A62" s="44">
        <v>48</v>
      </c>
      <c r="B62" s="30" t="s">
        <v>137</v>
      </c>
      <c r="C62" s="30" t="s">
        <v>221</v>
      </c>
      <c r="D62" s="44"/>
      <c r="E62" s="382">
        <v>176640.51999999999</v>
      </c>
      <c r="F62" s="40">
        <v>0</v>
      </c>
      <c r="G62" s="40">
        <f t="shared" si="26"/>
        <v>176640.51999999999</v>
      </c>
      <c r="H62" s="384">
        <v>101793.53</v>
      </c>
      <c r="I62" s="40">
        <f t="shared" si="27"/>
        <v>278434.04999999999</v>
      </c>
      <c r="J62" s="140">
        <v>1</v>
      </c>
      <c r="K62" s="94">
        <f t="shared" si="28"/>
        <v>278434.04999999999</v>
      </c>
      <c r="L62" s="40"/>
      <c r="M62" s="44"/>
      <c r="N62" s="384">
        <v>66490.550000000003</v>
      </c>
      <c r="O62" s="384">
        <v>0</v>
      </c>
      <c r="P62" s="384">
        <v>0</v>
      </c>
      <c r="Q62" s="384">
        <f t="shared" si="29"/>
        <v>66490.550000000003</v>
      </c>
      <c r="R62" s="384">
        <v>179893.10999999999</v>
      </c>
      <c r="S62" s="384">
        <v>0</v>
      </c>
      <c r="T62" s="384">
        <f t="shared" si="30"/>
        <v>179893.10999999999</v>
      </c>
      <c r="U62" s="384">
        <v>32050.389999999999</v>
      </c>
      <c r="V62" s="384">
        <v>0</v>
      </c>
      <c r="W62" s="40">
        <f t="shared" si="31"/>
        <v>278434.04999999999</v>
      </c>
      <c r="X62" s="47" t="b">
        <f t="shared" si="32"/>
        <v>1</v>
      </c>
      <c r="Y62" s="139">
        <f t="shared" si="33"/>
        <v>0</v>
      </c>
    </row>
    <row r="63" spans="1:25" s="30" customFormat="1" ht="12.75">
      <c r="A63" s="44">
        <v>49</v>
      </c>
      <c r="B63" s="30" t="s">
        <v>138</v>
      </c>
      <c r="C63" s="30" t="s">
        <v>220</v>
      </c>
      <c r="D63" s="44"/>
      <c r="E63" s="382">
        <v>1167326.7</v>
      </c>
      <c r="F63" s="40">
        <v>0</v>
      </c>
      <c r="G63" s="40">
        <f t="shared" si="26"/>
        <v>1167326.7</v>
      </c>
      <c r="H63" s="384">
        <v>1596999.5800000001</v>
      </c>
      <c r="I63" s="40">
        <f t="shared" si="27"/>
        <v>2764326.2800000003</v>
      </c>
      <c r="J63" s="140">
        <v>1</v>
      </c>
      <c r="K63" s="94">
        <f t="shared" si="28"/>
        <v>2764326.2800000003</v>
      </c>
      <c r="L63" s="40"/>
      <c r="M63" s="44"/>
      <c r="N63" s="384">
        <v>981369.34999999998</v>
      </c>
      <c r="O63" s="384">
        <v>8335.0900000000001</v>
      </c>
      <c r="P63" s="384">
        <v>0</v>
      </c>
      <c r="Q63" s="384">
        <f t="shared" si="29"/>
        <v>989704.43999999994</v>
      </c>
      <c r="R63" s="384">
        <v>1613751</v>
      </c>
      <c r="S63" s="384">
        <v>0</v>
      </c>
      <c r="T63" s="384">
        <f t="shared" si="30"/>
        <v>1613751</v>
      </c>
      <c r="U63" s="384">
        <v>160870.84</v>
      </c>
      <c r="V63" s="384">
        <v>0</v>
      </c>
      <c r="W63" s="40">
        <f t="shared" si="31"/>
        <v>2764326.2799999998</v>
      </c>
      <c r="X63" s="47" t="b">
        <f t="shared" si="32"/>
        <v>1</v>
      </c>
      <c r="Y63" s="139">
        <f t="shared" si="33"/>
        <v>0</v>
      </c>
    </row>
    <row r="64" spans="1:25" s="30" customFormat="1" ht="12.75">
      <c r="A64" s="44">
        <v>50</v>
      </c>
      <c r="B64" s="30" t="s">
        <v>139</v>
      </c>
      <c r="C64" s="30" t="s">
        <v>219</v>
      </c>
      <c r="D64" s="44"/>
      <c r="E64" s="382">
        <v>2691979.6499999999</v>
      </c>
      <c r="F64" s="40">
        <v>0</v>
      </c>
      <c r="G64" s="40">
        <f t="shared" si="26"/>
        <v>2691979.6499999999</v>
      </c>
      <c r="H64" s="384">
        <v>677919.68000000005</v>
      </c>
      <c r="I64" s="40">
        <f t="shared" si="27"/>
        <v>3369899.3300000001</v>
      </c>
      <c r="J64" s="140">
        <v>1</v>
      </c>
      <c r="K64" s="94">
        <f t="shared" si="28"/>
        <v>3369899.3300000001</v>
      </c>
      <c r="L64" s="40"/>
      <c r="M64" s="44"/>
      <c r="N64" s="384">
        <v>1976031.21</v>
      </c>
      <c r="O64" s="384">
        <v>0</v>
      </c>
      <c r="P64" s="384">
        <v>0</v>
      </c>
      <c r="Q64" s="384">
        <f t="shared" si="29"/>
        <v>1976031.21</v>
      </c>
      <c r="R64" s="384">
        <v>1151258.3999999999</v>
      </c>
      <c r="S64" s="384">
        <v>0</v>
      </c>
      <c r="T64" s="384">
        <f t="shared" si="30"/>
        <v>1151258.3999999999</v>
      </c>
      <c r="U64" s="384">
        <v>242609.72</v>
      </c>
      <c r="V64" s="384">
        <v>0</v>
      </c>
      <c r="W64" s="40">
        <f t="shared" si="31"/>
        <v>3369899.3300000001</v>
      </c>
      <c r="X64" s="47" t="b">
        <f t="shared" si="32"/>
        <v>1</v>
      </c>
      <c r="Y64" s="139">
        <f t="shared" si="33"/>
        <v>0</v>
      </c>
    </row>
    <row r="65" spans="1:25" s="30" customFormat="1" ht="12.75">
      <c r="A65" s="44">
        <v>51</v>
      </c>
      <c r="B65" s="30" t="s">
        <v>140</v>
      </c>
      <c r="C65" s="30" t="s">
        <v>141</v>
      </c>
      <c r="D65" s="44"/>
      <c r="E65" s="382">
        <v>366331.37</v>
      </c>
      <c r="F65" s="40">
        <v>0</v>
      </c>
      <c r="G65" s="40">
        <f t="shared" si="26"/>
        <v>366331.37</v>
      </c>
      <c r="H65" s="384">
        <v>369407.84000000003</v>
      </c>
      <c r="I65" s="40">
        <f t="shared" si="27"/>
        <v>735739.20999999996</v>
      </c>
      <c r="J65" s="140">
        <v>1</v>
      </c>
      <c r="K65" s="94">
        <f t="shared" si="28"/>
        <v>735739.20999999996</v>
      </c>
      <c r="L65" s="40"/>
      <c r="M65" s="44"/>
      <c r="N65" s="384">
        <v>175256.89999999999</v>
      </c>
      <c r="O65" s="384">
        <v>19116.779999999999</v>
      </c>
      <c r="P65" s="384">
        <v>0</v>
      </c>
      <c r="Q65" s="384">
        <f t="shared" si="29"/>
        <v>194373.67999999999</v>
      </c>
      <c r="R65" s="384">
        <v>479878.02000000002</v>
      </c>
      <c r="S65" s="384">
        <v>0</v>
      </c>
      <c r="T65" s="384">
        <f t="shared" si="30"/>
        <v>479878.02000000002</v>
      </c>
      <c r="U65" s="384">
        <v>61487.510000000002</v>
      </c>
      <c r="V65" s="384">
        <v>0</v>
      </c>
      <c r="W65" s="40">
        <f t="shared" si="31"/>
        <v>735739.20999999996</v>
      </c>
      <c r="X65" s="47" t="b">
        <f t="shared" si="32"/>
        <v>1</v>
      </c>
      <c r="Y65" s="139">
        <f t="shared" si="33"/>
        <v>0</v>
      </c>
    </row>
    <row r="66" spans="1:25" s="30" customFormat="1" ht="12.75">
      <c r="A66" s="44">
        <v>52</v>
      </c>
      <c r="B66" s="30" t="s">
        <v>142</v>
      </c>
      <c r="C66" s="30" t="s">
        <v>393</v>
      </c>
      <c r="D66" s="44"/>
      <c r="E66" s="382">
        <v>8912461.8000000007</v>
      </c>
      <c r="F66" s="40">
        <v>0</v>
      </c>
      <c r="G66" s="40">
        <f t="shared" si="26"/>
        <v>8912461.8000000007</v>
      </c>
      <c r="H66" s="384">
        <v>780334.60999999999</v>
      </c>
      <c r="I66" s="40">
        <f t="shared" si="27"/>
        <v>9692796.4100000001</v>
      </c>
      <c r="J66" s="140">
        <v>1</v>
      </c>
      <c r="K66" s="94">
        <f t="shared" si="28"/>
        <v>9692796.4100000001</v>
      </c>
      <c r="L66" s="40"/>
      <c r="M66" s="44"/>
      <c r="N66" s="384">
        <v>5746097.6299999999</v>
      </c>
      <c r="O66" s="384">
        <v>1104.72</v>
      </c>
      <c r="P66" s="384">
        <v>0</v>
      </c>
      <c r="Q66" s="384">
        <f t="shared" si="29"/>
        <v>5747202.3499999996</v>
      </c>
      <c r="R66" s="384">
        <v>3522760.3300000001</v>
      </c>
      <c r="S66" s="384">
        <v>0</v>
      </c>
      <c r="T66" s="384">
        <f t="shared" si="30"/>
        <v>3522760.3300000001</v>
      </c>
      <c r="U66" s="384">
        <v>289426.59999999998</v>
      </c>
      <c r="V66" s="384">
        <v>133407.13000000001</v>
      </c>
      <c r="W66" s="40">
        <f t="shared" si="31"/>
        <v>9692796.4100000001</v>
      </c>
      <c r="X66" s="47" t="b">
        <f t="shared" si="32"/>
        <v>1</v>
      </c>
      <c r="Y66" s="139">
        <f t="shared" si="33"/>
        <v>0</v>
      </c>
    </row>
    <row r="67" spans="1:25" s="30" customFormat="1" ht="12.75">
      <c r="A67" s="44">
        <v>53</v>
      </c>
      <c r="B67" s="30" t="s">
        <v>143</v>
      </c>
      <c r="C67" s="30" t="s">
        <v>217</v>
      </c>
      <c r="D67" s="44"/>
      <c r="E67" s="382">
        <v>720383.53000000003</v>
      </c>
      <c r="F67" s="40">
        <v>0</v>
      </c>
      <c r="G67" s="40">
        <f t="shared" si="26"/>
        <v>720383.53000000003</v>
      </c>
      <c r="H67" s="384">
        <v>53807.93</v>
      </c>
      <c r="I67" s="40">
        <f t="shared" si="27"/>
        <v>774191.46000000008</v>
      </c>
      <c r="J67" s="140">
        <v>1</v>
      </c>
      <c r="K67" s="94">
        <f t="shared" si="28"/>
        <v>774191.46000000008</v>
      </c>
      <c r="L67" s="40"/>
      <c r="M67" s="44"/>
      <c r="N67" s="384">
        <v>351222.75</v>
      </c>
      <c r="O67" s="384">
        <v>1425.77</v>
      </c>
      <c r="P67" s="384">
        <v>0</v>
      </c>
      <c r="Q67" s="384">
        <f t="shared" si="29"/>
        <v>352648.52000000002</v>
      </c>
      <c r="R67" s="384">
        <v>349716.01000000001</v>
      </c>
      <c r="S67" s="384">
        <v>0</v>
      </c>
      <c r="T67" s="384">
        <f t="shared" si="30"/>
        <v>349716.01000000001</v>
      </c>
      <c r="U67" s="384">
        <v>71826.929999999993</v>
      </c>
      <c r="V67" s="384">
        <v>0</v>
      </c>
      <c r="W67" s="40">
        <f t="shared" si="31"/>
        <v>774191.45999999996</v>
      </c>
      <c r="X67" s="47" t="b">
        <f t="shared" si="32"/>
        <v>1</v>
      </c>
      <c r="Y67" s="139">
        <f t="shared" si="33"/>
        <v>0</v>
      </c>
    </row>
    <row r="68" spans="1:25" s="30" customFormat="1" ht="12.75">
      <c r="A68" s="44">
        <v>54</v>
      </c>
      <c r="B68" s="30" t="s">
        <v>144</v>
      </c>
      <c r="C68" s="30" t="s">
        <v>216</v>
      </c>
      <c r="D68" s="44"/>
      <c r="E68" s="382">
        <v>0</v>
      </c>
      <c r="F68" s="40">
        <v>0</v>
      </c>
      <c r="G68" s="40">
        <f t="shared" si="26"/>
        <v>0</v>
      </c>
      <c r="H68" s="384">
        <v>0</v>
      </c>
      <c r="I68" s="40">
        <f t="shared" si="27"/>
        <v>0</v>
      </c>
      <c r="J68" s="140">
        <v>1</v>
      </c>
      <c r="K68" s="94">
        <f t="shared" si="28"/>
        <v>0</v>
      </c>
      <c r="L68" s="40"/>
      <c r="M68" s="44"/>
      <c r="N68" s="384">
        <v>0</v>
      </c>
      <c r="O68" s="384">
        <v>0</v>
      </c>
      <c r="P68" s="384">
        <v>0</v>
      </c>
      <c r="Q68" s="384">
        <f t="shared" si="29"/>
        <v>0</v>
      </c>
      <c r="R68" s="384">
        <v>0</v>
      </c>
      <c r="S68" s="384">
        <v>0</v>
      </c>
      <c r="T68" s="384">
        <f t="shared" si="30"/>
        <v>0</v>
      </c>
      <c r="U68" s="384">
        <v>0</v>
      </c>
      <c r="V68" s="384">
        <v>0</v>
      </c>
      <c r="W68" s="40">
        <f t="shared" si="31"/>
        <v>0</v>
      </c>
      <c r="X68" s="47" t="b">
        <f t="shared" si="32"/>
        <v>1</v>
      </c>
      <c r="Y68" s="139">
        <f t="shared" si="33"/>
        <v>0</v>
      </c>
    </row>
    <row r="69" spans="1:25" s="30" customFormat="1" ht="12.75">
      <c r="A69" s="44">
        <v>55</v>
      </c>
      <c r="B69" s="30" t="s">
        <v>144</v>
      </c>
      <c r="C69" s="30" t="s">
        <v>215</v>
      </c>
      <c r="D69" s="44"/>
      <c r="E69" s="382">
        <v>0</v>
      </c>
      <c r="F69" s="40">
        <v>0</v>
      </c>
      <c r="G69" s="40">
        <f t="shared" si="26"/>
        <v>0</v>
      </c>
      <c r="H69" s="384">
        <v>0</v>
      </c>
      <c r="I69" s="40">
        <f t="shared" si="27"/>
        <v>0</v>
      </c>
      <c r="J69" s="140">
        <v>1</v>
      </c>
      <c r="K69" s="94">
        <f t="shared" si="28"/>
        <v>0</v>
      </c>
      <c r="L69" s="40"/>
      <c r="M69" s="44"/>
      <c r="N69" s="384">
        <v>0</v>
      </c>
      <c r="O69" s="384">
        <v>0</v>
      </c>
      <c r="P69" s="384">
        <v>0</v>
      </c>
      <c r="Q69" s="384">
        <f t="shared" si="29"/>
        <v>0</v>
      </c>
      <c r="R69" s="384">
        <v>0</v>
      </c>
      <c r="S69" s="384">
        <v>0</v>
      </c>
      <c r="T69" s="384">
        <f t="shared" si="30"/>
        <v>0</v>
      </c>
      <c r="U69" s="384">
        <v>0</v>
      </c>
      <c r="V69" s="384">
        <v>0</v>
      </c>
      <c r="W69" s="40">
        <f t="shared" si="31"/>
        <v>0</v>
      </c>
      <c r="X69" s="47" t="b">
        <f t="shared" si="32"/>
        <v>1</v>
      </c>
      <c r="Y69" s="139">
        <f t="shared" si="33"/>
        <v>0</v>
      </c>
    </row>
    <row r="70" spans="1:23" s="30" customFormat="1" ht="12.75">
      <c r="A70" s="44">
        <v>56</v>
      </c>
      <c r="D70" s="44"/>
      <c r="E70" s="122"/>
      <c r="F70" s="122"/>
      <c r="G70" s="122"/>
      <c r="H70" s="122"/>
      <c r="I70" s="122"/>
      <c r="J70" s="140"/>
      <c r="K70" s="122"/>
      <c r="L70" s="40"/>
      <c r="M70" s="44"/>
      <c r="N70" s="122"/>
      <c r="O70" s="122"/>
      <c r="P70" s="122"/>
      <c r="Q70" s="122"/>
      <c r="R70" s="122"/>
      <c r="S70" s="122"/>
      <c r="T70" s="122"/>
      <c r="U70" s="122"/>
      <c r="V70" s="122"/>
      <c r="W70" s="122"/>
    </row>
    <row r="71" spans="1:25" s="46" customFormat="1" ht="12.75">
      <c r="A71" s="44">
        <v>57</v>
      </c>
      <c r="C71" s="91" t="s">
        <v>89</v>
      </c>
      <c r="E71" s="165">
        <f>SUM(E58:E69)</f>
        <v>41067642.599999994</v>
      </c>
      <c r="F71" s="165">
        <f>SUM(F58:F69)</f>
        <v>0</v>
      </c>
      <c r="G71" s="165">
        <f>SUM(G58:G69)</f>
        <v>41067642.599999994</v>
      </c>
      <c r="H71" s="165">
        <f>SUM(H58:H69)</f>
        <v>22522213.940000001</v>
      </c>
      <c r="I71" s="165">
        <f>SUM(I58:I69)</f>
        <v>63589856.539999999</v>
      </c>
      <c r="J71" s="165"/>
      <c r="K71" s="165">
        <f>SUM(K58:K69)</f>
        <v>63589856.539999999</v>
      </c>
      <c r="L71" s="165"/>
      <c r="M71" s="165"/>
      <c r="N71" s="165">
        <f t="shared" si="34" ref="N71">SUM(N58:N69)</f>
        <v>20394407.210000001</v>
      </c>
      <c r="O71" s="165">
        <f t="shared" si="35" ref="O71:W71">SUM(O58:O69)</f>
        <v>271380.47999999998</v>
      </c>
      <c r="P71" s="165">
        <f t="shared" si="35"/>
        <v>0</v>
      </c>
      <c r="Q71" s="165">
        <f t="shared" si="35"/>
        <v>20665787.690000001</v>
      </c>
      <c r="R71" s="165">
        <f t="shared" si="35"/>
        <v>22437567.819999997</v>
      </c>
      <c r="S71" s="165">
        <f t="shared" si="35"/>
        <v>0</v>
      </c>
      <c r="T71" s="165">
        <f t="shared" si="35"/>
        <v>22437567.819999997</v>
      </c>
      <c r="U71" s="165">
        <f t="shared" si="35"/>
        <v>9824685.8300000001</v>
      </c>
      <c r="V71" s="165">
        <f t="shared" si="35"/>
        <v>10661815.200000001</v>
      </c>
      <c r="W71" s="165">
        <f t="shared" si="35"/>
        <v>63589856.539999999</v>
      </c>
      <c r="X71" s="47" t="b">
        <f>+K71=W71</f>
        <v>1</v>
      </c>
      <c r="Y71" s="139"/>
    </row>
    <row r="72" spans="1:23" s="30" customFormat="1" ht="12.75">
      <c r="A72" s="44">
        <v>58</v>
      </c>
      <c r="D72" s="44"/>
      <c r="E72" s="165"/>
      <c r="F72" s="165"/>
      <c r="G72" s="165"/>
      <c r="H72" s="165"/>
      <c r="I72" s="165"/>
      <c r="J72" s="165"/>
      <c r="K72" s="165"/>
      <c r="L72" s="165"/>
      <c r="M72" s="165"/>
      <c r="N72" s="165"/>
      <c r="O72" s="165"/>
      <c r="P72" s="165"/>
      <c r="Q72" s="165"/>
      <c r="R72" s="165"/>
      <c r="S72" s="165"/>
      <c r="T72" s="165"/>
      <c r="U72" s="165"/>
      <c r="V72" s="165"/>
      <c r="W72" s="165"/>
    </row>
    <row r="73" spans="1:25" s="34" customFormat="1" ht="12.75">
      <c r="A73" s="44">
        <v>59</v>
      </c>
      <c r="B73" s="34" t="s">
        <v>344</v>
      </c>
      <c r="D73" s="52" t="s">
        <v>231</v>
      </c>
      <c r="E73" s="165">
        <f>+E71+E54+E36+E22</f>
        <v>844385659.98000002</v>
      </c>
      <c r="F73" s="165">
        <f t="shared" si="36" ref="F73:K73">+F71+F54+F36+F22</f>
        <v>0</v>
      </c>
      <c r="G73" s="165">
        <f t="shared" si="36"/>
        <v>844385659.98000002</v>
      </c>
      <c r="H73" s="165">
        <f t="shared" si="36"/>
        <v>56524733.220000014</v>
      </c>
      <c r="I73" s="165">
        <f t="shared" si="36"/>
        <v>900910393.20000005</v>
      </c>
      <c r="J73" s="165"/>
      <c r="K73" s="165">
        <f t="shared" si="36"/>
        <v>900910393.20000005</v>
      </c>
      <c r="L73" s="165"/>
      <c r="M73" s="165"/>
      <c r="N73" s="165">
        <f t="shared" si="37" ref="N73">+N71+N54+N36+N22</f>
        <v>331688253.57999998</v>
      </c>
      <c r="O73" s="165">
        <f t="shared" si="38" ref="O73:W73">+O71+O54+O36+O22</f>
        <v>41548263.339999996</v>
      </c>
      <c r="P73" s="165">
        <f t="shared" si="38"/>
        <v>908379.1399999999</v>
      </c>
      <c r="Q73" s="165">
        <f t="shared" si="38"/>
        <v>374144896.06</v>
      </c>
      <c r="R73" s="165">
        <f t="shared" si="38"/>
        <v>459817144.95999998</v>
      </c>
      <c r="S73" s="165">
        <f t="shared" si="38"/>
        <v>3104711.4199999999</v>
      </c>
      <c r="T73" s="165">
        <f t="shared" si="38"/>
        <v>462921856.38000005</v>
      </c>
      <c r="U73" s="165">
        <f t="shared" si="38"/>
        <v>30914363.670000002</v>
      </c>
      <c r="V73" s="165">
        <f t="shared" si="38"/>
        <v>32929277.090000004</v>
      </c>
      <c r="W73" s="165">
        <f t="shared" si="38"/>
        <v>900910393.20000005</v>
      </c>
      <c r="X73" s="47" t="b">
        <f>+K73=W73</f>
        <v>1</v>
      </c>
      <c r="Y73" s="138">
        <f>+K73-W73</f>
        <v>0</v>
      </c>
    </row>
    <row r="74" spans="1:23" s="30" customFormat="1" ht="12.75">
      <c r="A74" s="44">
        <v>60</v>
      </c>
      <c r="D74" s="44"/>
      <c r="E74" s="40"/>
      <c r="F74" s="40"/>
      <c r="G74" s="40"/>
      <c r="H74" s="40"/>
      <c r="I74" s="40"/>
      <c r="J74" s="140"/>
      <c r="K74" s="45"/>
      <c r="L74" s="40"/>
      <c r="M74" s="44"/>
      <c r="N74" s="40" t="s">
        <v>72</v>
      </c>
      <c r="O74" s="40"/>
      <c r="P74" s="40"/>
      <c r="Q74" s="40"/>
      <c r="R74" s="40"/>
      <c r="S74" s="40"/>
      <c r="T74" s="40"/>
      <c r="U74" s="40"/>
      <c r="V74" s="40"/>
      <c r="W74" s="40"/>
    </row>
    <row r="75" spans="1:25" s="30" customFormat="1" ht="12.75">
      <c r="A75" s="44">
        <v>61</v>
      </c>
      <c r="B75" s="34" t="s">
        <v>390</v>
      </c>
      <c r="D75" s="45" t="s">
        <v>233</v>
      </c>
      <c r="E75" s="164">
        <f>+'II-E-4'!E20</f>
        <v>228869.35000000001</v>
      </c>
      <c r="F75" s="164">
        <f>+'II-E-4'!F20</f>
        <v>0</v>
      </c>
      <c r="G75" s="164">
        <f>+E75+F75</f>
        <v>228869.35000000001</v>
      </c>
      <c r="H75" s="164">
        <f>+'II-E-4'!H20</f>
        <v>-206051.06</v>
      </c>
      <c r="I75" s="164">
        <f>ROUND(+G75+H75,2)</f>
        <v>22818.290000000001</v>
      </c>
      <c r="J75" s="140">
        <v>1</v>
      </c>
      <c r="K75" s="164">
        <f>+I75*J75</f>
        <v>22818.290000000001</v>
      </c>
      <c r="L75" s="164"/>
      <c r="M75" s="164"/>
      <c r="N75" s="164">
        <f>+'II-E-4'!N20</f>
        <v>22721.029999999999</v>
      </c>
      <c r="O75" s="164"/>
      <c r="P75" s="164"/>
      <c r="Q75" s="164">
        <f t="shared" si="39" ref="Q75:Q76">SUM(N75:P75)</f>
        <v>22721.029999999999</v>
      </c>
      <c r="R75" s="164">
        <f>+'II-E-4'!R20</f>
        <v>97.260000000002037</v>
      </c>
      <c r="S75" s="164"/>
      <c r="T75" s="164">
        <f t="shared" si="40" ref="T75:T76">SUM(R75:S75)</f>
        <v>97.260000000002037</v>
      </c>
      <c r="U75" s="164">
        <f>+'II-E-4'!U20</f>
        <v>0</v>
      </c>
      <c r="V75" s="164"/>
      <c r="W75" s="164">
        <f t="shared" si="41" ref="W75:W76">+Q75+T75+U75+V75</f>
        <v>22818.290000000001</v>
      </c>
      <c r="X75" s="47" t="b">
        <f>+K75=W75</f>
        <v>1</v>
      </c>
      <c r="Y75" s="139">
        <f>+K75-W75</f>
        <v>0</v>
      </c>
    </row>
    <row r="76" spans="1:25" s="58" customFormat="1" ht="12.75" customHeight="1">
      <c r="A76" s="44">
        <v>62</v>
      </c>
      <c r="B76" s="62" t="s">
        <v>345</v>
      </c>
      <c r="D76" s="71" t="s">
        <v>316</v>
      </c>
      <c r="E76" s="72">
        <f>+'II-E-4.1'!E26</f>
        <v>-30673.619999999995</v>
      </c>
      <c r="F76" s="72">
        <f>+'II-E-4.1'!F26</f>
        <v>0</v>
      </c>
      <c r="G76" s="40">
        <f>+E76+F76</f>
        <v>-30673.619999999995</v>
      </c>
      <c r="H76" s="72">
        <f>+'II-E-4.1'!H26</f>
        <v>23907316.730304793</v>
      </c>
      <c r="I76" s="40">
        <f>+G76+H76</f>
        <v>23876643.110304791</v>
      </c>
      <c r="J76" s="140">
        <v>1</v>
      </c>
      <c r="K76" s="94">
        <f>+I76*J76</f>
        <v>23876643.110304791</v>
      </c>
      <c r="M76" s="59"/>
      <c r="N76" s="72">
        <f>+'II-E-4.1'!N26</f>
        <v>338718.48999999999</v>
      </c>
      <c r="O76" s="72">
        <f>+'II-E-4.1'!O26</f>
        <v>806325.84999999998</v>
      </c>
      <c r="P76" s="72">
        <f>+'II-E-4.1'!P26</f>
        <v>0</v>
      </c>
      <c r="Q76" s="72">
        <f t="shared" si="39"/>
        <v>1145044.3399999999</v>
      </c>
      <c r="R76" s="72">
        <f>+'II-E-4.1'!R26</f>
        <v>-2773001.1500000004</v>
      </c>
      <c r="S76" s="72">
        <f>+'II-E-4.1'!S26</f>
        <v>44641.760304789641</v>
      </c>
      <c r="T76" s="72">
        <f t="shared" si="40"/>
        <v>-2728359.3896952108</v>
      </c>
      <c r="U76" s="72">
        <f>+'II-E-4.1'!U26</f>
        <v>25459958.16</v>
      </c>
      <c r="V76" s="72">
        <f>+'II-E-4.1'!V26</f>
        <v>0</v>
      </c>
      <c r="W76" s="40">
        <f t="shared" si="41"/>
        <v>23876643.110304788</v>
      </c>
      <c r="X76" s="47" t="b">
        <f>+K76=W76</f>
        <v>1</v>
      </c>
      <c r="Y76" s="117">
        <f>+K76-W76</f>
        <v>0</v>
      </c>
    </row>
    <row r="77" spans="1:13" s="58" customFormat="1" ht="12.75" customHeight="1">
      <c r="A77" s="44">
        <v>63</v>
      </c>
      <c r="E77" s="72"/>
      <c r="K77" s="59"/>
      <c r="M77" s="59"/>
    </row>
    <row r="78" spans="1:25" s="58" customFormat="1" ht="12.75" customHeight="1">
      <c r="A78" s="44">
        <v>64</v>
      </c>
      <c r="B78" s="62" t="s">
        <v>346</v>
      </c>
      <c r="E78" s="165">
        <f>+E73+E75+E76</f>
        <v>844583855.71000004</v>
      </c>
      <c r="F78" s="165">
        <f t="shared" si="42" ref="F78:K78">+F73+F75+F76</f>
        <v>0</v>
      </c>
      <c r="G78" s="165">
        <f t="shared" si="42"/>
        <v>844583855.71000004</v>
      </c>
      <c r="H78" s="165">
        <f t="shared" si="42"/>
        <v>80225998.890304804</v>
      </c>
      <c r="I78" s="165">
        <f t="shared" si="42"/>
        <v>924809854.60030484</v>
      </c>
      <c r="J78" s="165"/>
      <c r="K78" s="165">
        <f t="shared" si="42"/>
        <v>924809854.60030484</v>
      </c>
      <c r="L78" s="165"/>
      <c r="M78" s="165"/>
      <c r="N78" s="165">
        <f t="shared" si="43" ref="N78:W78">+N73+N75+N76</f>
        <v>332049693.09999996</v>
      </c>
      <c r="O78" s="165">
        <f t="shared" si="43"/>
        <v>42354589.189999998</v>
      </c>
      <c r="P78" s="165">
        <f t="shared" si="43"/>
        <v>908379.1399999999</v>
      </c>
      <c r="Q78" s="165">
        <f t="shared" si="43"/>
        <v>375312661.42999995</v>
      </c>
      <c r="R78" s="165">
        <f t="shared" si="43"/>
        <v>457044241.06999999</v>
      </c>
      <c r="S78" s="165">
        <f t="shared" si="43"/>
        <v>3149353.1803047894</v>
      </c>
      <c r="T78" s="165">
        <f t="shared" si="43"/>
        <v>460193594.25030482</v>
      </c>
      <c r="U78" s="165">
        <f t="shared" si="43"/>
        <v>56374321.829999998</v>
      </c>
      <c r="V78" s="165">
        <f t="shared" si="43"/>
        <v>32929277.090000004</v>
      </c>
      <c r="W78" s="165">
        <f t="shared" si="43"/>
        <v>924809854.60030484</v>
      </c>
      <c r="X78" s="47" t="b">
        <f>+K78=W78</f>
        <v>1</v>
      </c>
      <c r="Y78" s="117">
        <f>+K78-W78</f>
        <v>0</v>
      </c>
    </row>
    <row r="79" spans="1:13" s="58" customFormat="1" ht="12.75" customHeight="1">
      <c r="A79" s="44"/>
      <c r="E79" s="97"/>
      <c r="K79" s="59"/>
      <c r="M79" s="59"/>
    </row>
    <row r="80" spans="1:13" s="58" customFormat="1" ht="12.75" customHeight="1">
      <c r="A80" s="44"/>
      <c r="C80" s="98"/>
      <c r="E80" s="97"/>
      <c r="K80" s="59"/>
      <c r="M80" s="59"/>
    </row>
    <row r="81" spans="11:13" s="58" customFormat="1" ht="12.75" customHeight="1">
      <c r="K81" s="59"/>
      <c r="M81" s="59"/>
    </row>
    <row r="82" spans="5:13" s="58" customFormat="1" ht="12.75" customHeight="1">
      <c r="E82" s="136"/>
      <c r="K82" s="59"/>
      <c r="M82" s="59"/>
    </row>
    <row r="83" spans="11:13" s="58" customFormat="1" ht="12.75" customHeight="1">
      <c r="K83" s="59"/>
      <c r="M83" s="59"/>
    </row>
    <row r="84" spans="11:13" s="58" customFormat="1" ht="12.75" customHeight="1">
      <c r="K84" s="59"/>
      <c r="M84" s="59"/>
    </row>
    <row r="85" spans="11:13" s="58" customFormat="1" ht="12.75" customHeight="1">
      <c r="K85" s="59"/>
      <c r="M85" s="59"/>
    </row>
    <row r="86" spans="11:13" s="58" customFormat="1" ht="12.75" customHeight="1">
      <c r="K86" s="59"/>
      <c r="M86" s="59"/>
    </row>
    <row r="87" spans="11:13" s="58" customFormat="1" ht="12.75" customHeight="1">
      <c r="K87" s="59"/>
      <c r="M87" s="59"/>
    </row>
    <row r="88" spans="11:13" s="58" customFormat="1" ht="12.75" customHeight="1">
      <c r="K88" s="59"/>
      <c r="M88" s="59"/>
    </row>
    <row r="89" spans="11:13" s="58" customFormat="1" ht="12.75" customHeight="1">
      <c r="K89" s="59"/>
      <c r="M89" s="59"/>
    </row>
    <row r="90" spans="11:13" s="58" customFormat="1" ht="12.75" customHeight="1">
      <c r="K90" s="59"/>
      <c r="M90" s="59"/>
    </row>
    <row r="91" spans="11:13" s="58" customFormat="1" ht="12.75" customHeight="1">
      <c r="K91" s="59"/>
      <c r="M91" s="59"/>
    </row>
    <row r="92" spans="11:13" s="58" customFormat="1" ht="12.75" customHeight="1">
      <c r="K92" s="59"/>
      <c r="M92" s="59"/>
    </row>
    <row r="93" spans="11:13" s="58" customFormat="1" ht="12.75" customHeight="1">
      <c r="K93" s="59"/>
      <c r="M93" s="59"/>
    </row>
    <row r="94" spans="11:13" s="58" customFormat="1" ht="12.75" customHeight="1">
      <c r="K94" s="59"/>
      <c r="M94" s="59"/>
    </row>
    <row r="95" spans="11:13" s="58" customFormat="1" ht="12.75" customHeight="1">
      <c r="K95" s="59"/>
      <c r="M95" s="59"/>
    </row>
    <row r="96" spans="11:13" s="58" customFormat="1" ht="12.75" customHeight="1">
      <c r="K96" s="59"/>
      <c r="M96" s="59"/>
    </row>
    <row r="97" spans="11:13" s="58" customFormat="1" ht="12.75" customHeight="1">
      <c r="K97" s="59"/>
      <c r="M97" s="59"/>
    </row>
    <row r="98" spans="11:13" s="58" customFormat="1" ht="12.75" customHeight="1">
      <c r="K98" s="59"/>
      <c r="M98" s="59"/>
    </row>
    <row r="99" spans="11:13" s="58" customFormat="1" ht="12.75" customHeight="1">
      <c r="K99" s="59"/>
      <c r="M99" s="59"/>
    </row>
    <row r="100" spans="11:13" s="58" customFormat="1" ht="12.75" customHeight="1">
      <c r="K100" s="59"/>
      <c r="M100" s="59"/>
    </row>
    <row r="101" spans="11:13" s="58" customFormat="1" ht="12.75" customHeight="1">
      <c r="K101" s="59"/>
      <c r="M101" s="59"/>
    </row>
    <row r="102" spans="11:13" s="58" customFormat="1" ht="12.75" customHeight="1">
      <c r="K102" s="59"/>
      <c r="M102" s="59"/>
    </row>
    <row r="103" spans="11:13" s="58" customFormat="1" ht="12.75" customHeight="1">
      <c r="K103" s="59"/>
      <c r="M103" s="59"/>
    </row>
    <row r="104" spans="11:13" s="58" customFormat="1" ht="12.75" customHeight="1">
      <c r="K104" s="59"/>
      <c r="M104" s="59"/>
    </row>
    <row r="105" spans="11:13" s="58" customFormat="1" ht="12.75" customHeight="1">
      <c r="K105" s="59"/>
      <c r="M105" s="59"/>
    </row>
    <row r="106" spans="11:13" s="58" customFormat="1" ht="12.75" customHeight="1">
      <c r="K106" s="59"/>
      <c r="M106" s="59"/>
    </row>
    <row r="107" spans="11:13" s="58" customFormat="1" ht="12.75" customHeight="1">
      <c r="K107" s="59"/>
      <c r="M107" s="59"/>
    </row>
  </sheetData>
  <printOptions horizontalCentered="1"/>
  <pageMargins left="0.5" right="0.5" top="3" bottom="0.5" header="1.5" footer="0.5"/>
  <pageSetup fitToHeight="0" fitToWidth="2" orientation="landscape" pageOrder="overThenDown" scale="55" r:id="rId1"/>
  <headerFooter alignWithMargins="0">
    <oddHeader>&amp;C&amp;B
2022 RATE CASE
ONCOR ELECTRIC DELIVERY COMPANY LLC
II-E-1   DEPRECIATION EXPENSE
TEST YEAR ENDING DECEMBER 31, 2021
SPONSOR: W. ALAN LEDBETTER &amp;&amp; D. WATSON&amp;R&amp;"Arial,Bold"Schedule II-E-1
Page &amp;P of &amp;N</oddHeader>
  </headerFooter>
  <rowBreaks count="1" manualBreakCount="1">
    <brk id="55" max="19" man="1"/>
  </rowBreaks>
  <colBreaks count="1" manualBreakCount="1">
    <brk id="10" min="9" max="77"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7">
    <tabColor rgb="FF92D050"/>
  </sheetPr>
  <dimension ref="A1:Y141"/>
  <sheetViews>
    <sheetView zoomScale="80" zoomScaleNormal="80" workbookViewId="0" topLeftCell="A1">
      <pane xSplit="4" ySplit="13" topLeftCell="H14" activePane="bottomRight" state="frozen"/>
      <selection pane="topLeft" activeCell="B39" sqref="A39:M39"/>
      <selection pane="bottomLeft" activeCell="B39" sqref="A39:M39"/>
      <selection pane="topRight" activeCell="B39" sqref="A39:M39"/>
      <selection pane="bottomRight" activeCell="K43" sqref="K43"/>
    </sheetView>
  </sheetViews>
  <sheetFormatPr defaultColWidth="9.14428571428571" defaultRowHeight="12.75" customHeight="1"/>
  <cols>
    <col min="1" max="1" width="5.71428571428571" style="173" customWidth="1"/>
    <col min="2" max="2" width="8.71428571428571" style="205" customWidth="1"/>
    <col min="3" max="3" width="46.5714285714286" style="205" customWidth="1"/>
    <col min="4" max="4" width="11.7142857142857" style="205" customWidth="1"/>
    <col min="5" max="5" width="18.4285714285714" style="205" bestFit="1" customWidth="1"/>
    <col min="6" max="6" width="17.8571428571429" style="205" bestFit="1" customWidth="1"/>
    <col min="7" max="7" width="18.4285714285714" style="205" bestFit="1" customWidth="1"/>
    <col min="8" max="8" width="16.7142857142857" style="205" bestFit="1" customWidth="1"/>
    <col min="9" max="9" width="18.5714285714286" style="205" bestFit="1" customWidth="1"/>
    <col min="10" max="10" width="10.7142857142857" style="205" bestFit="1" customWidth="1"/>
    <col min="11" max="11" width="18.5714285714286" style="207" bestFit="1" customWidth="1"/>
    <col min="12" max="12" width="3.28571428571429" style="205" bestFit="1" customWidth="1"/>
    <col min="13" max="13" width="20.1428571428571" style="207" bestFit="1" customWidth="1"/>
    <col min="14" max="14" width="16.5714285714286" style="205" bestFit="1" customWidth="1"/>
    <col min="15" max="15" width="16.4285714285714" style="205" bestFit="1" customWidth="1"/>
    <col min="16" max="16" width="12.5714285714286" style="205" bestFit="1" customWidth="1"/>
    <col min="17" max="17" width="17" style="205" bestFit="1" customWidth="1"/>
    <col min="18" max="18" width="17.7142857142857" style="205" bestFit="1" customWidth="1"/>
    <col min="19" max="19" width="14.5714285714286" style="205" bestFit="1" customWidth="1"/>
    <col min="20" max="20" width="16.7142857142857" style="205" customWidth="1"/>
    <col min="21" max="21" width="13.5714285714286" style="205" bestFit="1" customWidth="1"/>
    <col min="22" max="22" width="15.1428571428571" style="205" customWidth="1"/>
    <col min="23" max="23" width="16.2857142857143" style="205" bestFit="1" customWidth="1"/>
    <col min="24" max="24" width="6.85714285714286" style="208" bestFit="1" customWidth="1"/>
    <col min="25" max="25" width="11.4285714285714" style="774" customWidth="1"/>
    <col min="26" max="16384" width="9.14285714285714" style="205"/>
  </cols>
  <sheetData>
    <row r="1" spans="1:1" ht="12.75">
      <c r="A1" s="204" t="str">
        <f>+'[3]Input Data'!$A$9</f>
        <v>2022 RATE CASE</v>
      </c>
    </row>
    <row r="2" spans="1:23" ht="12.75">
      <c r="A2" s="193" t="str">
        <f>+'[3]Input Data'!$A$2</f>
        <v>ONCOR ELECTRIC DELIVERY COMPANY LLC</v>
      </c>
      <c r="B2" s="173"/>
      <c r="C2" s="173"/>
      <c r="D2" s="173"/>
      <c r="E2" s="173"/>
      <c r="F2" s="210"/>
      <c r="G2" s="173"/>
      <c r="H2" s="173"/>
      <c r="I2" s="173"/>
      <c r="J2" s="173"/>
      <c r="K2" s="211"/>
      <c r="L2" s="173"/>
      <c r="M2" s="211"/>
      <c r="N2" s="146"/>
      <c r="O2" s="146"/>
      <c r="P2" s="146"/>
      <c r="Q2" s="146"/>
      <c r="R2" s="173"/>
      <c r="S2" s="173"/>
      <c r="T2" s="173"/>
      <c r="U2" s="173"/>
      <c r="V2" s="173"/>
      <c r="W2" s="173"/>
    </row>
    <row r="3" spans="1:23" ht="12.75">
      <c r="A3" s="192" t="str">
        <f>CONCATENATE('[3]Schedule Sponsors'!$A$83,'[3]Schedule Sponsors'!$B$83)</f>
        <v>II-E-2   TAXES OTHER THAN FEDERAL INCOME TAXES</v>
      </c>
      <c r="B3" s="146"/>
      <c r="D3" s="173"/>
      <c r="E3" s="173"/>
      <c r="F3" s="213"/>
      <c r="G3" s="173"/>
      <c r="H3" s="173"/>
      <c r="I3" s="173"/>
      <c r="J3" s="173"/>
      <c r="K3" s="211"/>
      <c r="L3" s="173"/>
      <c r="M3" s="211"/>
      <c r="N3" s="147"/>
      <c r="O3" s="197"/>
      <c r="P3" s="197"/>
      <c r="Q3" s="197"/>
      <c r="R3" s="173"/>
      <c r="S3" s="173"/>
      <c r="T3" s="173"/>
      <c r="U3" s="173"/>
      <c r="V3" s="173"/>
      <c r="W3" s="173"/>
    </row>
    <row r="4" spans="1:23" ht="12.75">
      <c r="A4" s="192" t="str">
        <f>+'[3]Input Data'!$A$4</f>
        <v>TEST YEAR ENDING DECEMBER 31, 2021</v>
      </c>
      <c r="B4" s="146"/>
      <c r="D4" s="173"/>
      <c r="E4" s="173"/>
      <c r="F4" s="213"/>
      <c r="G4" s="173"/>
      <c r="H4" s="173"/>
      <c r="I4" s="173"/>
      <c r="J4" s="173"/>
      <c r="K4" s="211"/>
      <c r="L4" s="173"/>
      <c r="M4" s="211"/>
      <c r="N4" s="147"/>
      <c r="O4" s="197"/>
      <c r="P4" s="197"/>
      <c r="Q4" s="197"/>
      <c r="R4" s="173"/>
      <c r="S4" s="173"/>
      <c r="T4" s="173"/>
      <c r="U4" s="173"/>
      <c r="V4" s="173"/>
      <c r="W4" s="173"/>
    </row>
    <row r="5" spans="1:23" ht="12.75">
      <c r="A5" s="190" t="str">
        <f>CONCATENATE("SPONSOR: ",'[3]Schedule Sponsors'!$D$83)</f>
        <v>SPONSOR: B. L. CLUTTER</v>
      </c>
      <c r="B5" s="146"/>
      <c r="D5" s="173"/>
      <c r="E5" s="173"/>
      <c r="F5" s="173"/>
      <c r="G5" s="173"/>
      <c r="H5" s="173"/>
      <c r="I5" s="173"/>
      <c r="J5" s="173"/>
      <c r="K5" s="211"/>
      <c r="L5" s="173"/>
      <c r="M5" s="211"/>
      <c r="N5" s="173"/>
      <c r="O5" s="173"/>
      <c r="P5" s="173"/>
      <c r="Q5" s="173"/>
      <c r="R5" s="173"/>
      <c r="S5" s="173"/>
      <c r="T5" s="173"/>
      <c r="U5" s="173"/>
      <c r="V5" s="173"/>
      <c r="W5" s="173"/>
    </row>
    <row r="6" spans="2:23" ht="12.75">
      <c r="B6" s="146"/>
      <c r="D6" s="173"/>
      <c r="E6" s="173"/>
      <c r="F6" s="173"/>
      <c r="G6" s="173"/>
      <c r="H6" s="173"/>
      <c r="I6" s="173"/>
      <c r="J6" s="173"/>
      <c r="K6" s="211"/>
      <c r="L6" s="173"/>
      <c r="M6" s="211"/>
      <c r="N6" s="173"/>
      <c r="O6" s="173"/>
      <c r="P6" s="173"/>
      <c r="Q6" s="173"/>
      <c r="R6" s="173"/>
      <c r="S6" s="173"/>
      <c r="T6" s="173"/>
      <c r="U6" s="173"/>
      <c r="V6" s="173"/>
      <c r="W6" s="173"/>
    </row>
    <row r="7" spans="2:23" ht="12.75">
      <c r="B7" s="146"/>
      <c r="D7" s="173"/>
      <c r="E7" s="173"/>
      <c r="F7" s="173"/>
      <c r="G7" s="173"/>
      <c r="H7" s="173"/>
      <c r="I7" s="173"/>
      <c r="J7" s="173"/>
      <c r="K7" s="211"/>
      <c r="L7" s="173"/>
      <c r="M7" s="211"/>
      <c r="N7" s="173"/>
      <c r="O7" s="173"/>
      <c r="P7" s="173"/>
      <c r="Q7" s="173"/>
      <c r="R7" s="173"/>
      <c r="S7" s="173"/>
      <c r="T7" s="173"/>
      <c r="U7" s="173"/>
      <c r="V7" s="173"/>
      <c r="W7" s="173"/>
    </row>
    <row r="8" spans="2:23" ht="12.75">
      <c r="B8" s="204"/>
      <c r="C8" s="173"/>
      <c r="D8" s="173"/>
      <c r="E8" s="173"/>
      <c r="F8" s="173"/>
      <c r="G8" s="173"/>
      <c r="H8" s="173"/>
      <c r="I8" s="173"/>
      <c r="J8" s="173"/>
      <c r="K8" s="211"/>
      <c r="L8" s="173"/>
      <c r="M8" s="211"/>
      <c r="N8" s="173"/>
      <c r="O8" s="173"/>
      <c r="P8" s="173"/>
      <c r="Q8" s="173"/>
      <c r="R8" s="173"/>
      <c r="S8" s="173"/>
      <c r="T8" s="173"/>
      <c r="U8" s="173"/>
      <c r="V8" s="173"/>
      <c r="W8" s="173"/>
    </row>
    <row r="9" spans="2:23" ht="13.5" thickBot="1">
      <c r="B9" s="173" t="s">
        <v>72</v>
      </c>
      <c r="C9" s="173"/>
      <c r="D9" s="173"/>
      <c r="E9" s="215"/>
      <c r="F9" s="215"/>
      <c r="G9" s="215"/>
      <c r="H9" s="215"/>
      <c r="I9" s="215"/>
      <c r="J9" s="215"/>
      <c r="K9" s="215"/>
      <c r="L9" s="215"/>
      <c r="M9" s="215"/>
      <c r="N9" s="215"/>
      <c r="O9" s="215"/>
      <c r="P9" s="215"/>
      <c r="Q9" s="215"/>
      <c r="R9" s="215"/>
      <c r="S9" s="215"/>
      <c r="T9" s="215"/>
      <c r="U9" s="215"/>
      <c r="V9" s="215"/>
      <c r="W9" s="215"/>
    </row>
    <row r="10" spans="1:25" s="204" customFormat="1" ht="12.75">
      <c r="A10" s="216"/>
      <c r="B10" s="216"/>
      <c r="C10" s="216"/>
      <c r="D10" s="216"/>
      <c r="E10" s="216"/>
      <c r="F10" s="216"/>
      <c r="G10" s="217" t="s">
        <v>66</v>
      </c>
      <c r="H10" s="217" t="s">
        <v>400</v>
      </c>
      <c r="I10" s="217" t="s">
        <v>67</v>
      </c>
      <c r="J10" s="217" t="s">
        <v>84</v>
      </c>
      <c r="K10" s="217" t="s">
        <v>280</v>
      </c>
      <c r="L10" s="216"/>
      <c r="M10" s="217" t="s">
        <v>357</v>
      </c>
      <c r="N10" s="217"/>
      <c r="O10" s="217"/>
      <c r="P10" s="217"/>
      <c r="Q10" s="217"/>
      <c r="R10" s="217"/>
      <c r="S10" s="217"/>
      <c r="T10" s="217"/>
      <c r="U10" s="217"/>
      <c r="V10" s="217"/>
      <c r="W10" s="217"/>
      <c r="X10" s="98"/>
      <c r="Y10" s="775"/>
    </row>
    <row r="11" spans="1:25" s="204" customFormat="1" ht="12.75">
      <c r="A11" s="169" t="s">
        <v>252</v>
      </c>
      <c r="B11" s="169" t="s">
        <v>74</v>
      </c>
      <c r="C11" s="169"/>
      <c r="D11" s="169" t="s">
        <v>71</v>
      </c>
      <c r="E11" s="218" t="s">
        <v>76</v>
      </c>
      <c r="F11" s="169" t="s">
        <v>77</v>
      </c>
      <c r="G11" s="169" t="s">
        <v>68</v>
      </c>
      <c r="H11" s="169" t="s">
        <v>401</v>
      </c>
      <c r="I11" s="169" t="s">
        <v>66</v>
      </c>
      <c r="J11" s="169" t="s">
        <v>280</v>
      </c>
      <c r="K11" s="169" t="s">
        <v>47</v>
      </c>
      <c r="L11" s="169" t="s">
        <v>79</v>
      </c>
      <c r="M11" s="169" t="s">
        <v>80</v>
      </c>
      <c r="N11" s="169"/>
      <c r="O11" s="169" t="s">
        <v>628</v>
      </c>
      <c r="P11" s="169" t="s">
        <v>629</v>
      </c>
      <c r="Q11" s="169" t="s">
        <v>631</v>
      </c>
      <c r="R11" s="169"/>
      <c r="S11" s="169" t="s">
        <v>628</v>
      </c>
      <c r="T11" s="169" t="s">
        <v>631</v>
      </c>
      <c r="U11" s="169"/>
      <c r="V11" s="169"/>
      <c r="W11" s="169"/>
      <c r="X11" s="98"/>
      <c r="Y11" s="775"/>
    </row>
    <row r="12" spans="1:25" s="204" customFormat="1" ht="12.75">
      <c r="A12" s="169" t="s">
        <v>279</v>
      </c>
      <c r="B12" s="169" t="s">
        <v>213</v>
      </c>
      <c r="C12" s="169" t="s">
        <v>69</v>
      </c>
      <c r="D12" s="169" t="s">
        <v>73</v>
      </c>
      <c r="E12" s="218" t="s">
        <v>81</v>
      </c>
      <c r="F12" s="169" t="s">
        <v>82</v>
      </c>
      <c r="G12" s="169" t="s">
        <v>83</v>
      </c>
      <c r="H12" s="169" t="s">
        <v>402</v>
      </c>
      <c r="I12" s="169" t="s">
        <v>68</v>
      </c>
      <c r="J12" s="169" t="s">
        <v>80</v>
      </c>
      <c r="K12" s="169" t="s">
        <v>84</v>
      </c>
      <c r="L12" s="169" t="s">
        <v>85</v>
      </c>
      <c r="M12" s="169" t="s">
        <v>86</v>
      </c>
      <c r="N12" s="169" t="s">
        <v>208</v>
      </c>
      <c r="O12" s="169" t="s">
        <v>208</v>
      </c>
      <c r="P12" s="169" t="s">
        <v>632</v>
      </c>
      <c r="Q12" s="169" t="s">
        <v>208</v>
      </c>
      <c r="R12" s="169" t="s">
        <v>209</v>
      </c>
      <c r="S12" s="169" t="s">
        <v>209</v>
      </c>
      <c r="T12" s="169" t="s">
        <v>209</v>
      </c>
      <c r="U12" s="169" t="s">
        <v>203</v>
      </c>
      <c r="V12" s="169" t="s">
        <v>291</v>
      </c>
      <c r="W12" s="169" t="s">
        <v>78</v>
      </c>
      <c r="X12" s="98"/>
      <c r="Y12" s="775"/>
    </row>
    <row r="13" spans="1:25" s="173" customFormat="1" ht="13.5" thickBot="1">
      <c r="A13" s="220"/>
      <c r="B13" s="220" t="s">
        <v>237</v>
      </c>
      <c r="C13" s="220" t="s">
        <v>238</v>
      </c>
      <c r="D13" s="220" t="s">
        <v>239</v>
      </c>
      <c r="E13" s="220" t="s">
        <v>240</v>
      </c>
      <c r="F13" s="220" t="s">
        <v>241</v>
      </c>
      <c r="G13" s="220" t="s">
        <v>242</v>
      </c>
      <c r="H13" s="220" t="s">
        <v>243</v>
      </c>
      <c r="I13" s="220" t="s">
        <v>244</v>
      </c>
      <c r="J13" s="220" t="s">
        <v>245</v>
      </c>
      <c r="K13" s="220" t="s">
        <v>246</v>
      </c>
      <c r="L13" s="220" t="s">
        <v>247</v>
      </c>
      <c r="M13" s="220" t="s">
        <v>248</v>
      </c>
      <c r="N13" s="220" t="s">
        <v>249</v>
      </c>
      <c r="O13" s="220" t="s">
        <v>250</v>
      </c>
      <c r="P13" s="220" t="s">
        <v>251</v>
      </c>
      <c r="Q13" s="220" t="s">
        <v>148</v>
      </c>
      <c r="R13" s="220" t="s">
        <v>281</v>
      </c>
      <c r="S13" s="220" t="s">
        <v>292</v>
      </c>
      <c r="T13" s="220" t="s">
        <v>293</v>
      </c>
      <c r="U13" s="220" t="s">
        <v>509</v>
      </c>
      <c r="V13" s="220" t="s">
        <v>510</v>
      </c>
      <c r="W13" s="220" t="s">
        <v>511</v>
      </c>
      <c r="X13" s="224"/>
      <c r="Y13" s="776"/>
    </row>
    <row r="14" spans="1:25" s="173" customFormat="1" ht="12.75" customHeight="1">
      <c r="A14" s="221"/>
      <c r="B14" s="221"/>
      <c r="C14" s="221"/>
      <c r="D14" s="221"/>
      <c r="E14" s="221"/>
      <c r="F14" s="221"/>
      <c r="G14" s="221"/>
      <c r="H14" s="221"/>
      <c r="I14" s="221"/>
      <c r="J14" s="221"/>
      <c r="K14" s="223"/>
      <c r="L14" s="221"/>
      <c r="M14" s="223"/>
      <c r="N14" s="221"/>
      <c r="O14" s="221"/>
      <c r="P14" s="221"/>
      <c r="Q14" s="221"/>
      <c r="R14" s="221"/>
      <c r="S14" s="221"/>
      <c r="T14" s="221"/>
      <c r="U14" s="221"/>
      <c r="V14" s="221"/>
      <c r="W14" s="221"/>
      <c r="X14" s="224"/>
      <c r="Y14" s="776"/>
    </row>
    <row r="15" spans="1:25" s="193" customFormat="1" ht="12.75">
      <c r="A15" s="226">
        <v>1</v>
      </c>
      <c r="B15" s="43" t="s">
        <v>160</v>
      </c>
      <c r="C15" s="43"/>
      <c r="D15" s="170"/>
      <c r="E15" s="200"/>
      <c r="F15" s="200"/>
      <c r="G15" s="200"/>
      <c r="H15" s="200"/>
      <c r="I15" s="200"/>
      <c r="J15" s="200"/>
      <c r="K15" s="234"/>
      <c r="L15" s="200"/>
      <c r="M15" s="18"/>
      <c r="N15" s="200"/>
      <c r="O15" s="200"/>
      <c r="P15" s="200"/>
      <c r="Q15" s="200"/>
      <c r="R15" s="200"/>
      <c r="S15" s="200"/>
      <c r="T15" s="200"/>
      <c r="U15" s="200"/>
      <c r="V15" s="200"/>
      <c r="W15" s="200"/>
      <c r="X15" s="227"/>
      <c r="Y15" s="777"/>
    </row>
    <row r="16" spans="1:25" s="146" customFormat="1" ht="12.75">
      <c r="A16" s="226">
        <v>2</v>
      </c>
      <c r="D16" s="226"/>
      <c r="E16" s="144"/>
      <c r="F16" s="144"/>
      <c r="G16" s="144"/>
      <c r="H16" s="144"/>
      <c r="I16" s="144"/>
      <c r="J16" s="144"/>
      <c r="K16" s="226"/>
      <c r="L16" s="144"/>
      <c r="M16" s="226"/>
      <c r="N16" s="144"/>
      <c r="O16" s="384"/>
      <c r="P16" s="384"/>
      <c r="Q16" s="384"/>
      <c r="R16" s="144"/>
      <c r="S16" s="384"/>
      <c r="T16" s="384"/>
      <c r="U16" s="144"/>
      <c r="V16" s="384"/>
      <c r="W16" s="144"/>
      <c r="X16" s="229"/>
      <c r="Y16" s="778"/>
    </row>
    <row r="17" spans="1:25" s="193" customFormat="1" ht="12.75">
      <c r="A17" s="226">
        <v>3</v>
      </c>
      <c r="B17" s="193" t="s">
        <v>161</v>
      </c>
      <c r="D17" s="170" t="s">
        <v>612</v>
      </c>
      <c r="E17" s="200"/>
      <c r="F17" s="200"/>
      <c r="G17" s="200"/>
      <c r="H17" s="200"/>
      <c r="I17" s="200"/>
      <c r="J17" s="200"/>
      <c r="K17" s="170"/>
      <c r="L17" s="200"/>
      <c r="M17" s="170"/>
      <c r="N17" s="200"/>
      <c r="O17" s="200"/>
      <c r="P17" s="200"/>
      <c r="Q17" s="200"/>
      <c r="R17" s="200"/>
      <c r="S17" s="200"/>
      <c r="T17" s="200"/>
      <c r="U17" s="200"/>
      <c r="V17" s="200"/>
      <c r="W17" s="200"/>
      <c r="X17" s="227"/>
      <c r="Y17" s="777"/>
    </row>
    <row r="18" spans="1:25" s="146" customFormat="1" ht="12.75">
      <c r="A18" s="226">
        <v>4</v>
      </c>
      <c r="C18" s="146" t="s">
        <v>162</v>
      </c>
      <c r="D18" s="226"/>
      <c r="E18" s="470">
        <v>16232059.560000001</v>
      </c>
      <c r="F18" s="470">
        <v>0</v>
      </c>
      <c r="G18" s="470">
        <f>+E18+F18</f>
        <v>16232059.560000001</v>
      </c>
      <c r="H18" s="426">
        <f>+I18-G18</f>
        <v>1093653.5600000005</v>
      </c>
      <c r="I18" s="470">
        <f>ROUND(+'[1]Payroll Rates (WP4)'!$I$19,2)</f>
        <v>17325713.120000001</v>
      </c>
      <c r="J18" s="232">
        <v>1</v>
      </c>
      <c r="K18" s="470">
        <f>ROUND(+I18*J18,2)</f>
        <v>17325713.120000001</v>
      </c>
      <c r="L18" s="144"/>
      <c r="M18" s="226" t="s">
        <v>13</v>
      </c>
      <c r="N18" s="470">
        <f>ROUND($K18*'[5]II-F Alloc_Factor'!E$17,2)</f>
        <v>3815149.1299999999</v>
      </c>
      <c r="O18" s="470">
        <f>ROUND($K18*'[5]II-F Alloc_Factor'!F$17,2)</f>
        <v>0</v>
      </c>
      <c r="P18" s="470">
        <f>ROUND($K18*'[5]II-F Alloc_Factor'!G$17,2)</f>
        <v>0</v>
      </c>
      <c r="Q18" s="470">
        <f>SUM(N18:P18)</f>
        <v>3815149.1299999999</v>
      </c>
      <c r="R18" s="470">
        <f>ROUND($K18*'[5]II-F Alloc_Factor'!I$17,2)</f>
        <v>10525362.25</v>
      </c>
      <c r="S18" s="470">
        <f>ROUND($K18*'[5]II-F Alloc_Factor'!J$17,2)</f>
        <v>0</v>
      </c>
      <c r="T18" s="470">
        <f>SUM(R18:S18)</f>
        <v>10525362.25</v>
      </c>
      <c r="U18" s="470">
        <f>ROUND($K18*'[5]II-F Alloc_Factor'!L$17,2)</f>
        <v>2869720.4100000001</v>
      </c>
      <c r="V18" s="470">
        <f>+K18-Q18-T18-U18</f>
        <v>115481.33000000194</v>
      </c>
      <c r="W18" s="470">
        <f>+Q18+T18+U18+V18</f>
        <v>17325713.120000001</v>
      </c>
      <c r="X18" s="229" t="b">
        <f>+K18=W18</f>
        <v>1</v>
      </c>
      <c r="Y18" s="778">
        <f>+K18-W18</f>
        <v>0</v>
      </c>
    </row>
    <row r="19" spans="1:25" s="146" customFormat="1" ht="12.75">
      <c r="A19" s="226">
        <v>5</v>
      </c>
      <c r="C19" s="146" t="s">
        <v>163</v>
      </c>
      <c r="D19" s="226"/>
      <c r="E19" s="426">
        <v>203183.26000000001</v>
      </c>
      <c r="F19" s="426">
        <v>0</v>
      </c>
      <c r="G19" s="426">
        <f>+E19+F19</f>
        <v>203183.26000000001</v>
      </c>
      <c r="H19" s="426">
        <f>+I19-G19</f>
        <v>13689.699999999983</v>
      </c>
      <c r="I19" s="426">
        <f>ROUND(+'[1]Payroll Rates (WP4)'!$I$20,2)</f>
        <v>216872.95999999999</v>
      </c>
      <c r="J19" s="232">
        <v>1</v>
      </c>
      <c r="K19" s="426">
        <f>ROUND(+I19*J19,2)</f>
        <v>216872.95999999999</v>
      </c>
      <c r="L19" s="144"/>
      <c r="M19" s="226" t="s">
        <v>13</v>
      </c>
      <c r="N19" s="426">
        <f>ROUND($K19*'[5]II-F Alloc_Factor'!E$17,2)</f>
        <v>47755.769999999997</v>
      </c>
      <c r="O19" s="426">
        <f>ROUND($K19*'[5]II-F Alloc_Factor'!F$17,2)</f>
        <v>0</v>
      </c>
      <c r="P19" s="426">
        <f>ROUND($K19*'[5]II-F Alloc_Factor'!G$17,2)</f>
        <v>0</v>
      </c>
      <c r="Q19" s="426">
        <f t="shared" si="0" ref="Q19:Q20">SUM(N19:P19)</f>
        <v>47755.769999999997</v>
      </c>
      <c r="R19" s="426">
        <f>ROUND($K19*'[5]II-F Alloc_Factor'!I$17,2)</f>
        <v>131750.22</v>
      </c>
      <c r="S19" s="426">
        <f>ROUND($K19*'[5]II-F Alloc_Factor'!J$17,2)</f>
        <v>0</v>
      </c>
      <c r="T19" s="426">
        <f t="shared" si="1" ref="T19:T20">SUM(R19:S19)</f>
        <v>131750.22</v>
      </c>
      <c r="U19" s="426">
        <f>ROUND($K19*'[5]II-F Alloc_Factor'!L$17,2)</f>
        <v>35921.449999999997</v>
      </c>
      <c r="V19" s="426">
        <f>+K19-Q19-T19-U19</f>
        <v>1445.5200000000041</v>
      </c>
      <c r="W19" s="426">
        <f t="shared" si="2" ref="W19:W20">+Q19+T19+U19+V19</f>
        <v>216872.96000000002</v>
      </c>
      <c r="X19" s="229" t="b">
        <f>+K19=W19</f>
        <v>1</v>
      </c>
      <c r="Y19" s="778">
        <f>+K19-W19</f>
        <v>0</v>
      </c>
    </row>
    <row r="20" spans="1:25" s="146" customFormat="1" ht="12.75">
      <c r="A20" s="226">
        <v>6</v>
      </c>
      <c r="C20" s="146" t="s">
        <v>287</v>
      </c>
      <c r="D20" s="226"/>
      <c r="E20" s="426">
        <v>279263.88</v>
      </c>
      <c r="F20" s="426">
        <v>0</v>
      </c>
      <c r="G20" s="426">
        <f>+E20+F20</f>
        <v>279263.88</v>
      </c>
      <c r="H20" s="426">
        <f>+I20-G20</f>
        <v>18815.719999999972</v>
      </c>
      <c r="I20" s="426">
        <f>ROUND(+'[1]Payroll Rates (WP4)'!$I$21,2)</f>
        <v>298079.59999999998</v>
      </c>
      <c r="J20" s="232">
        <v>1</v>
      </c>
      <c r="K20" s="426">
        <f>ROUND(+I20*J20,2)</f>
        <v>298079.59999999998</v>
      </c>
      <c r="L20" s="144"/>
      <c r="M20" s="226" t="s">
        <v>13</v>
      </c>
      <c r="N20" s="426">
        <f>ROUND($K20*'[5]II-F Alloc_Factor'!E$17,2)</f>
        <v>65637.589999999997</v>
      </c>
      <c r="O20" s="426">
        <f>ROUND($K20*'[5]II-F Alloc_Factor'!F$17,2)</f>
        <v>0</v>
      </c>
      <c r="P20" s="426">
        <f>ROUND($K20*'[5]II-F Alloc_Factor'!G$17,2)</f>
        <v>0</v>
      </c>
      <c r="Q20" s="426">
        <f t="shared" si="0"/>
        <v>65637.589999999997</v>
      </c>
      <c r="R20" s="426">
        <f>ROUND($K20*'[5]II-F Alloc_Factor'!I$17,2)</f>
        <v>181083.20999999999</v>
      </c>
      <c r="S20" s="426">
        <f>ROUND($K20*'[5]II-F Alloc_Factor'!J$17,2)</f>
        <v>0</v>
      </c>
      <c r="T20" s="426">
        <f t="shared" si="1"/>
        <v>181083.20999999999</v>
      </c>
      <c r="U20" s="426">
        <f>ROUND($K20*'[5]II-F Alloc_Factor'!L$17,2)</f>
        <v>49372</v>
      </c>
      <c r="V20" s="426">
        <f>+K20-Q20-T20-U20</f>
        <v>1986.7999999999884</v>
      </c>
      <c r="W20" s="426">
        <f t="shared" si="2"/>
        <v>298079.59999999998</v>
      </c>
      <c r="X20" s="229" t="b">
        <f>+K20=W20</f>
        <v>1</v>
      </c>
      <c r="Y20" s="778">
        <f>+K20-W20</f>
        <v>0</v>
      </c>
    </row>
    <row r="21" spans="1:25" s="146" customFormat="1" ht="12.75">
      <c r="A21" s="226">
        <v>7</v>
      </c>
      <c r="D21" s="226"/>
      <c r="E21" s="238"/>
      <c r="F21" s="238"/>
      <c r="G21" s="238"/>
      <c r="H21" s="238"/>
      <c r="I21" s="238"/>
      <c r="J21" s="232"/>
      <c r="K21" s="238"/>
      <c r="L21" s="144"/>
      <c r="M21" s="226"/>
      <c r="N21" s="427"/>
      <c r="O21" s="427"/>
      <c r="P21" s="427"/>
      <c r="Q21" s="427"/>
      <c r="R21" s="427"/>
      <c r="S21" s="427"/>
      <c r="T21" s="427"/>
      <c r="U21" s="427"/>
      <c r="V21" s="427"/>
      <c r="W21" s="427"/>
      <c r="X21" s="229"/>
      <c r="Y21" s="778"/>
    </row>
    <row r="22" spans="1:25" s="193" customFormat="1" ht="12.75">
      <c r="A22" s="226">
        <v>8</v>
      </c>
      <c r="C22" s="239" t="s">
        <v>149</v>
      </c>
      <c r="D22" s="170"/>
      <c r="E22" s="471">
        <f>SUM(E18:E20)</f>
        <v>16714506.700000001</v>
      </c>
      <c r="F22" s="471">
        <f>SUM(F18:F20)</f>
        <v>0</v>
      </c>
      <c r="G22" s="471">
        <f>SUM(G18:G20)</f>
        <v>16714506.700000001</v>
      </c>
      <c r="H22" s="471">
        <f>SUM(H18:H20)</f>
        <v>1126158.9800000005</v>
      </c>
      <c r="I22" s="471">
        <f>SUM(I18:I20)</f>
        <v>17840665.680000003</v>
      </c>
      <c r="J22" s="240"/>
      <c r="K22" s="471">
        <f>SUM(K18:K20)</f>
        <v>17840665.680000003</v>
      </c>
      <c r="L22" s="200"/>
      <c r="M22" s="170"/>
      <c r="N22" s="471">
        <f>SUM(N18:N21)</f>
        <v>3928542.4899999998</v>
      </c>
      <c r="O22" s="471">
        <f t="shared" si="3" ref="O22:W22">SUM(O18:O21)</f>
        <v>0</v>
      </c>
      <c r="P22" s="471">
        <f t="shared" si="3"/>
        <v>0</v>
      </c>
      <c r="Q22" s="471">
        <f t="shared" si="3"/>
        <v>3928542.4899999998</v>
      </c>
      <c r="R22" s="471">
        <f t="shared" si="3"/>
        <v>10838195.680000002</v>
      </c>
      <c r="S22" s="471">
        <f t="shared" si="3"/>
        <v>0</v>
      </c>
      <c r="T22" s="471">
        <f t="shared" si="3"/>
        <v>10838195.680000002</v>
      </c>
      <c r="U22" s="471">
        <f t="shared" si="3"/>
        <v>2955013.8600000003</v>
      </c>
      <c r="V22" s="471">
        <f t="shared" si="3"/>
        <v>118913.65000000193</v>
      </c>
      <c r="W22" s="471">
        <f t="shared" si="3"/>
        <v>17840665.680000003</v>
      </c>
      <c r="X22" s="229" t="b">
        <f>+K22=W22</f>
        <v>1</v>
      </c>
      <c r="Y22" s="778">
        <f>+K22-W22</f>
        <v>0</v>
      </c>
    </row>
    <row r="23" spans="1:25" s="146" customFormat="1" ht="12.75">
      <c r="A23" s="226">
        <v>9</v>
      </c>
      <c r="D23" s="226"/>
      <c r="E23" s="144"/>
      <c r="F23" s="144"/>
      <c r="G23" s="144"/>
      <c r="H23" s="144"/>
      <c r="I23" s="144"/>
      <c r="J23" s="232"/>
      <c r="K23" s="144"/>
      <c r="L23" s="144"/>
      <c r="M23" s="226"/>
      <c r="N23" s="426"/>
      <c r="O23" s="426"/>
      <c r="P23" s="426"/>
      <c r="Q23" s="426"/>
      <c r="R23" s="426"/>
      <c r="S23" s="426"/>
      <c r="T23" s="426"/>
      <c r="U23" s="426"/>
      <c r="V23" s="426"/>
      <c r="W23" s="426"/>
      <c r="X23" s="229"/>
      <c r="Y23" s="778"/>
    </row>
    <row r="24" spans="1:25" s="193" customFormat="1" ht="12.75">
      <c r="A24" s="226">
        <v>10</v>
      </c>
      <c r="B24" s="193" t="s">
        <v>164</v>
      </c>
      <c r="D24" s="170" t="s">
        <v>613</v>
      </c>
      <c r="E24" s="200"/>
      <c r="F24" s="200"/>
      <c r="G24" s="200"/>
      <c r="H24" s="200"/>
      <c r="I24" s="200"/>
      <c r="J24" s="240"/>
      <c r="K24" s="200"/>
      <c r="L24" s="200"/>
      <c r="M24" s="170"/>
      <c r="N24" s="428"/>
      <c r="O24" s="428"/>
      <c r="P24" s="428"/>
      <c r="Q24" s="428"/>
      <c r="R24" s="428"/>
      <c r="S24" s="428"/>
      <c r="T24" s="428"/>
      <c r="U24" s="428"/>
      <c r="V24" s="428"/>
      <c r="W24" s="428"/>
      <c r="X24" s="227"/>
      <c r="Y24" s="777"/>
    </row>
    <row r="25" spans="1:25" s="146" customFormat="1" ht="12.75">
      <c r="A25" s="226">
        <v>11</v>
      </c>
      <c r="C25" s="146" t="s">
        <v>288</v>
      </c>
      <c r="D25" s="226"/>
      <c r="E25" s="470">
        <v>261783170.5</v>
      </c>
      <c r="F25" s="470">
        <v>0</v>
      </c>
      <c r="G25" s="470">
        <f>+E25+F25</f>
        <v>261783170.5</v>
      </c>
      <c r="H25" s="470">
        <f>+I25-G25</f>
        <v>21898713.660000026</v>
      </c>
      <c r="I25" s="470">
        <f>ROUND(+'[1]Ad Valorem Taxes Summary (WP1)'!$F$23,2)</f>
        <v>283681884.16000003</v>
      </c>
      <c r="J25" s="232">
        <v>1</v>
      </c>
      <c r="K25" s="470">
        <f>ROUND(+I25*J25,2)</f>
        <v>283681884.16000003</v>
      </c>
      <c r="L25" s="144"/>
      <c r="M25" s="181" t="s">
        <v>377</v>
      </c>
      <c r="N25" s="470">
        <f>ROUND(+$K25*'[5]II-F Alloc_Factor'!E$19,2)</f>
        <v>122143955.83</v>
      </c>
      <c r="O25" s="470">
        <f>ROUND(+$K25*'[5]II-F Alloc_Factor'!F$19,2)</f>
        <v>19017258.84</v>
      </c>
      <c r="P25" s="470">
        <f>ROUND(+$K25*'[5]II-F Alloc_Factor'!G$19,2)</f>
        <v>155829.10000000001</v>
      </c>
      <c r="Q25" s="470">
        <f>SUM(N25:P25)</f>
        <v>141317043.76999998</v>
      </c>
      <c r="R25" s="470">
        <f>ROUND(+$K25*'[5]II-F Alloc_Factor'!I$19,2)</f>
        <v>132463225.04000001</v>
      </c>
      <c r="S25" s="470">
        <f>ROUND(+$K25*'[5]II-F Alloc_Factor'!J$19,2)</f>
        <v>1555148.23</v>
      </c>
      <c r="T25" s="470">
        <f>SUM(R25:S25)</f>
        <v>134018373.27000001</v>
      </c>
      <c r="U25" s="470">
        <f>ROUND(+$K25*'[5]II-F Alloc_Factor'!L$19,2)</f>
        <v>4504909.1100000003</v>
      </c>
      <c r="V25" s="470">
        <f>+K25-Q25-T25-U25</f>
        <v>3841558.0100000342</v>
      </c>
      <c r="W25" s="470">
        <f>+Q25+T25+U25+V25</f>
        <v>283681884.16000003</v>
      </c>
      <c r="X25" s="229" t="b">
        <f>+K25=W25</f>
        <v>1</v>
      </c>
      <c r="Y25" s="778">
        <f>+K25-W25</f>
        <v>0</v>
      </c>
    </row>
    <row r="26" spans="1:25" s="146" customFormat="1" ht="12.75">
      <c r="A26" s="226">
        <v>12</v>
      </c>
      <c r="C26" s="241"/>
      <c r="D26" s="226"/>
      <c r="E26" s="238"/>
      <c r="F26" s="238"/>
      <c r="G26" s="238"/>
      <c r="H26" s="238"/>
      <c r="I26" s="238"/>
      <c r="J26" s="232"/>
      <c r="K26" s="238"/>
      <c r="L26" s="144"/>
      <c r="M26" s="226"/>
      <c r="N26" s="427"/>
      <c r="O26" s="427"/>
      <c r="P26" s="427"/>
      <c r="Q26" s="427"/>
      <c r="R26" s="427"/>
      <c r="S26" s="427"/>
      <c r="T26" s="427"/>
      <c r="U26" s="427"/>
      <c r="V26" s="427"/>
      <c r="W26" s="427"/>
      <c r="X26" s="229"/>
      <c r="Y26" s="778"/>
    </row>
    <row r="27" spans="1:25" s="193" customFormat="1" ht="12.75">
      <c r="A27" s="226">
        <v>13</v>
      </c>
      <c r="C27" s="239" t="s">
        <v>206</v>
      </c>
      <c r="D27" s="170"/>
      <c r="E27" s="471">
        <f>SUM(E25:E26)</f>
        <v>261783170.5</v>
      </c>
      <c r="F27" s="471">
        <f>SUM(F25:F26)</f>
        <v>0</v>
      </c>
      <c r="G27" s="471">
        <f>SUM(G25:G26)</f>
        <v>261783170.5</v>
      </c>
      <c r="H27" s="471">
        <f>SUM(H25:H26)</f>
        <v>21898713.660000026</v>
      </c>
      <c r="I27" s="471">
        <f>SUM(I25:I26)</f>
        <v>283681884.16000003</v>
      </c>
      <c r="J27" s="240"/>
      <c r="K27" s="471">
        <f>SUM(K25:K26)</f>
        <v>283681884.16000003</v>
      </c>
      <c r="L27" s="200"/>
      <c r="M27" s="170"/>
      <c r="N27" s="471">
        <f>SUM(N25)</f>
        <v>122143955.83</v>
      </c>
      <c r="O27" s="471">
        <f t="shared" si="4" ref="O27:W27">SUM(O25)</f>
        <v>19017258.84</v>
      </c>
      <c r="P27" s="471">
        <f t="shared" si="4"/>
        <v>155829.10000000001</v>
      </c>
      <c r="Q27" s="471">
        <f t="shared" si="4"/>
        <v>141317043.76999998</v>
      </c>
      <c r="R27" s="471">
        <f t="shared" si="4"/>
        <v>132463225.04000001</v>
      </c>
      <c r="S27" s="471">
        <f t="shared" si="4"/>
        <v>1555148.23</v>
      </c>
      <c r="T27" s="471">
        <f t="shared" si="4"/>
        <v>134018373.27000001</v>
      </c>
      <c r="U27" s="471">
        <f t="shared" si="4"/>
        <v>4504909.1100000003</v>
      </c>
      <c r="V27" s="471">
        <f t="shared" si="4"/>
        <v>3841558.0100000342</v>
      </c>
      <c r="W27" s="471">
        <f t="shared" si="4"/>
        <v>283681884.16000003</v>
      </c>
      <c r="X27" s="229" t="b">
        <f>+K27=W27</f>
        <v>1</v>
      </c>
      <c r="Y27" s="778">
        <f>+K27-W27</f>
        <v>0</v>
      </c>
    </row>
    <row r="28" spans="1:25" s="146" customFormat="1" ht="12.75">
      <c r="A28" s="226">
        <v>14</v>
      </c>
      <c r="C28" s="242"/>
      <c r="D28" s="226"/>
      <c r="E28" s="144"/>
      <c r="F28" s="144"/>
      <c r="G28" s="144"/>
      <c r="H28" s="144"/>
      <c r="I28" s="144"/>
      <c r="J28" s="232"/>
      <c r="K28" s="144"/>
      <c r="L28" s="144"/>
      <c r="M28" s="226"/>
      <c r="N28" s="426"/>
      <c r="O28" s="426"/>
      <c r="P28" s="426"/>
      <c r="Q28" s="426"/>
      <c r="R28" s="426"/>
      <c r="S28" s="426"/>
      <c r="T28" s="426"/>
      <c r="U28" s="426"/>
      <c r="V28" s="426"/>
      <c r="W28" s="426"/>
      <c r="X28" s="229"/>
      <c r="Y28" s="778"/>
    </row>
    <row r="29" spans="1:25" s="146" customFormat="1" ht="12.75">
      <c r="A29" s="226">
        <v>15</v>
      </c>
      <c r="B29" s="193" t="s">
        <v>413</v>
      </c>
      <c r="D29" s="226"/>
      <c r="E29" s="144"/>
      <c r="F29" s="144"/>
      <c r="G29" s="144"/>
      <c r="H29" s="144"/>
      <c r="I29" s="144"/>
      <c r="J29" s="232"/>
      <c r="K29" s="233"/>
      <c r="L29" s="144"/>
      <c r="M29" s="226"/>
      <c r="N29" s="426"/>
      <c r="O29" s="426"/>
      <c r="P29" s="426"/>
      <c r="Q29" s="426"/>
      <c r="R29" s="426"/>
      <c r="S29" s="426"/>
      <c r="T29" s="426"/>
      <c r="U29" s="426"/>
      <c r="V29" s="426"/>
      <c r="W29" s="426"/>
      <c r="X29" s="229"/>
      <c r="Y29" s="778"/>
    </row>
    <row r="30" spans="1:25" s="146" customFormat="1" ht="12.75">
      <c r="A30" s="226">
        <f t="shared" si="5" ref="A30:A35">A29+1</f>
        <v>16</v>
      </c>
      <c r="C30" s="241" t="s">
        <v>52</v>
      </c>
      <c r="D30" s="170" t="s">
        <v>614</v>
      </c>
      <c r="E30" s="470">
        <v>23877559.490000002</v>
      </c>
      <c r="F30" s="470">
        <v>0</v>
      </c>
      <c r="G30" s="470">
        <f>+E30+F30</f>
        <v>23877559.490000002</v>
      </c>
      <c r="H30" s="470">
        <f>+I30-G30</f>
        <v>3863119.0699999966</v>
      </c>
      <c r="I30" s="470">
        <f>ROUND(+'[1]TGMT (WP3)'!$D$26,2)</f>
        <v>27740678.559999999</v>
      </c>
      <c r="J30" s="232">
        <v>1</v>
      </c>
      <c r="K30" s="470">
        <f>ROUND(+I30*J30,2)</f>
        <v>27740678.559999999</v>
      </c>
      <c r="L30" s="233"/>
      <c r="M30" s="226" t="s">
        <v>408</v>
      </c>
      <c r="N30" s="470">
        <f>ROUND(+'[1]TGMT (WP3)'!E26,2)</f>
        <v>4450872.4800000004</v>
      </c>
      <c r="O30" s="470">
        <f>ROUND(+'[1]TGMT (WP3)'!F26,2)</f>
        <v>584511.46999999997</v>
      </c>
      <c r="P30" s="470">
        <f>ROUND(+'[1]TGMT (WP3)'!G26,2)</f>
        <v>11788.23</v>
      </c>
      <c r="Q30" s="470">
        <f>SUM(N30:P30)</f>
        <v>5047172.1800000006</v>
      </c>
      <c r="R30" s="470">
        <f>ROUND(+'[1]TGMT (WP3)'!I26,2)</f>
        <v>21065900.859999999</v>
      </c>
      <c r="S30" s="470">
        <f>ROUND(+'[1]TGMT (WP3)'!J26,2)</f>
        <v>0</v>
      </c>
      <c r="T30" s="470">
        <f>SUM(R30:S30)</f>
        <v>21065900.859999999</v>
      </c>
      <c r="U30" s="470">
        <f>ROUND(+'[1]TGMT (WP3)'!L26,2)</f>
        <v>1078537.3899999999</v>
      </c>
      <c r="V30" s="470">
        <f>+K30-Q30-T30-U30</f>
        <v>549068.12999999966</v>
      </c>
      <c r="W30" s="470">
        <f>+V30+U30+T30+Q30</f>
        <v>27740678.559999999</v>
      </c>
      <c r="X30" s="229" t="b">
        <f>+K30=W30</f>
        <v>1</v>
      </c>
      <c r="Y30" s="778">
        <f>+K30-W30</f>
        <v>0</v>
      </c>
    </row>
    <row r="31" spans="1:25" s="146" customFormat="1" ht="12.75">
      <c r="A31" s="226">
        <f t="shared" si="5"/>
        <v>17</v>
      </c>
      <c r="C31" s="241" t="s">
        <v>352</v>
      </c>
      <c r="D31" s="170" t="s">
        <v>615</v>
      </c>
      <c r="E31" s="426">
        <v>276888388.69999999</v>
      </c>
      <c r="F31" s="426">
        <v>0</v>
      </c>
      <c r="G31" s="426">
        <f>+E31+F31</f>
        <v>276888388.69999999</v>
      </c>
      <c r="H31" s="426">
        <f>+I31-G31</f>
        <v>6194488.3000000119</v>
      </c>
      <c r="I31" s="426">
        <f>ROUND(+'[1]LGR - kWh (WP6)'!$D$44,2)</f>
        <v>283082877</v>
      </c>
      <c r="J31" s="232">
        <v>1</v>
      </c>
      <c r="K31" s="233">
        <f>ROUND(+I31*J31,2)</f>
        <v>283082877</v>
      </c>
      <c r="L31" s="144"/>
      <c r="M31" s="226" t="s">
        <v>408</v>
      </c>
      <c r="N31" s="426">
        <v>0</v>
      </c>
      <c r="O31" s="426">
        <v>0</v>
      </c>
      <c r="P31" s="426">
        <v>0</v>
      </c>
      <c r="Q31" s="426">
        <f>SUM(N31:P31)</f>
        <v>0</v>
      </c>
      <c r="R31" s="426">
        <f>+K31</f>
        <v>283082877</v>
      </c>
      <c r="S31" s="426">
        <v>0</v>
      </c>
      <c r="T31" s="426">
        <f>SUM(R31:S31)</f>
        <v>283082877</v>
      </c>
      <c r="U31" s="426">
        <v>0</v>
      </c>
      <c r="V31" s="426">
        <v>0</v>
      </c>
      <c r="W31" s="426">
        <f t="shared" si="6" ref="W31">+Q31+T31+U31+V31</f>
        <v>283082877</v>
      </c>
      <c r="X31" s="229" t="b">
        <f>+K31=W31</f>
        <v>1</v>
      </c>
      <c r="Y31" s="778">
        <f>+K31-W31</f>
        <v>0</v>
      </c>
    </row>
    <row r="32" spans="1:25" s="146" customFormat="1" ht="12.75">
      <c r="A32" s="226">
        <f t="shared" si="5"/>
        <v>18</v>
      </c>
      <c r="C32" s="241"/>
      <c r="D32" s="226"/>
      <c r="E32" s="238"/>
      <c r="F32" s="238"/>
      <c r="G32" s="238"/>
      <c r="H32" s="238"/>
      <c r="I32" s="238"/>
      <c r="J32" s="232"/>
      <c r="K32" s="238"/>
      <c r="L32" s="144"/>
      <c r="M32" s="226"/>
      <c r="N32" s="427"/>
      <c r="O32" s="427"/>
      <c r="P32" s="427"/>
      <c r="Q32" s="427"/>
      <c r="R32" s="427"/>
      <c r="S32" s="427"/>
      <c r="T32" s="427"/>
      <c r="U32" s="427"/>
      <c r="V32" s="427"/>
      <c r="W32" s="427"/>
      <c r="X32" s="229"/>
      <c r="Y32" s="778"/>
    </row>
    <row r="33" spans="1:25" s="193" customFormat="1" ht="12.75">
      <c r="A33" s="226">
        <f t="shared" si="5"/>
        <v>19</v>
      </c>
      <c r="C33" s="239" t="s">
        <v>207</v>
      </c>
      <c r="D33" s="170"/>
      <c r="E33" s="471">
        <f>SUM(E30:E31)</f>
        <v>300765948.19</v>
      </c>
      <c r="F33" s="471">
        <f t="shared" si="7" ref="F33:K33">SUM(F30:F31)</f>
        <v>0</v>
      </c>
      <c r="G33" s="471">
        <f t="shared" si="7"/>
        <v>300765948.19</v>
      </c>
      <c r="H33" s="471">
        <f t="shared" si="7"/>
        <v>10057607.370000009</v>
      </c>
      <c r="I33" s="471">
        <f t="shared" si="7"/>
        <v>310823555.56</v>
      </c>
      <c r="J33" s="240"/>
      <c r="K33" s="471">
        <f t="shared" si="7"/>
        <v>310823555.56</v>
      </c>
      <c r="L33" s="200"/>
      <c r="M33" s="170"/>
      <c r="N33" s="471">
        <f>SUM(N30:N31)</f>
        <v>4450872.4800000004</v>
      </c>
      <c r="O33" s="471">
        <f t="shared" si="8" ref="O33:W33">SUM(O30:O31)</f>
        <v>584511.46999999997</v>
      </c>
      <c r="P33" s="471">
        <f t="shared" si="8"/>
        <v>11788.23</v>
      </c>
      <c r="Q33" s="471">
        <f t="shared" si="8"/>
        <v>5047172.1800000006</v>
      </c>
      <c r="R33" s="471">
        <f t="shared" si="8"/>
        <v>304148777.86000001</v>
      </c>
      <c r="S33" s="471">
        <f t="shared" si="8"/>
        <v>0</v>
      </c>
      <c r="T33" s="471">
        <f t="shared" si="8"/>
        <v>304148777.86000001</v>
      </c>
      <c r="U33" s="471">
        <f t="shared" si="8"/>
        <v>1078537.3899999999</v>
      </c>
      <c r="V33" s="471">
        <f t="shared" si="8"/>
        <v>549068.12999999966</v>
      </c>
      <c r="W33" s="471">
        <f t="shared" si="8"/>
        <v>310823555.56</v>
      </c>
      <c r="X33" s="229" t="b">
        <f>+K33=W33</f>
        <v>1</v>
      </c>
      <c r="Y33" s="778">
        <f>+K33-W33</f>
        <v>0</v>
      </c>
    </row>
    <row r="34" spans="1:25" s="146" customFormat="1" ht="12.75">
      <c r="A34" s="226">
        <f t="shared" si="5"/>
        <v>20</v>
      </c>
      <c r="D34" s="226"/>
      <c r="E34" s="144"/>
      <c r="F34" s="144"/>
      <c r="G34" s="144"/>
      <c r="H34" s="144"/>
      <c r="I34" s="144"/>
      <c r="J34" s="232"/>
      <c r="K34" s="144"/>
      <c r="L34" s="144"/>
      <c r="M34" s="226"/>
      <c r="N34" s="471"/>
      <c r="O34" s="471"/>
      <c r="P34" s="471"/>
      <c r="Q34" s="471"/>
      <c r="R34" s="471"/>
      <c r="S34" s="471"/>
      <c r="T34" s="471"/>
      <c r="U34" s="471"/>
      <c r="V34" s="471"/>
      <c r="W34" s="471"/>
      <c r="X34" s="229"/>
      <c r="Y34" s="778"/>
    </row>
    <row r="35" spans="1:25" s="193" customFormat="1" ht="12.75">
      <c r="A35" s="226">
        <f t="shared" si="5"/>
        <v>21</v>
      </c>
      <c r="B35" s="193" t="s">
        <v>225</v>
      </c>
      <c r="D35" s="19"/>
      <c r="E35" s="471">
        <f>ROUND(+E22+E27+E33,2)</f>
        <v>579263625.38999999</v>
      </c>
      <c r="F35" s="471">
        <f>ROUND(+F22+F27+F33,2)</f>
        <v>0</v>
      </c>
      <c r="G35" s="471">
        <f>ROUND(+G22+G27+G33,2)</f>
        <v>579263625.38999999</v>
      </c>
      <c r="H35" s="471">
        <f>ROUND(+H22+H27+H33,2)</f>
        <v>33082480.010000002</v>
      </c>
      <c r="I35" s="471">
        <f>ROUND(+I22+I27+I33,2)</f>
        <v>612346105.39999998</v>
      </c>
      <c r="J35" s="240"/>
      <c r="K35" s="471">
        <f>ROUND(+K22+K27+K33,2)</f>
        <v>612346105.39999998</v>
      </c>
      <c r="L35" s="200"/>
      <c r="M35" s="200"/>
      <c r="N35" s="471">
        <f>ROUND(+N22+N27+N33,2)</f>
        <v>130523370.8</v>
      </c>
      <c r="O35" s="471">
        <f>ROUND(+O22+O27+O33,2)</f>
        <v>19601770.309999999</v>
      </c>
      <c r="P35" s="471">
        <f>ROUND(+P22+P27+P33,2)</f>
        <v>167617.32999999999</v>
      </c>
      <c r="Q35" s="471">
        <f t="shared" si="9" ref="Q35:W35">ROUND(+Q22+Q27+Q33,2)</f>
        <v>150292758.44</v>
      </c>
      <c r="R35" s="471">
        <f t="shared" si="9"/>
        <v>447450198.57999998</v>
      </c>
      <c r="S35" s="471">
        <f t="shared" si="9"/>
        <v>1555148.23</v>
      </c>
      <c r="T35" s="471">
        <f t="shared" si="9"/>
        <v>449005346.81</v>
      </c>
      <c r="U35" s="471">
        <f t="shared" si="9"/>
        <v>8538460.3599999994</v>
      </c>
      <c r="V35" s="471">
        <f t="shared" si="9"/>
        <v>4509539.79</v>
      </c>
      <c r="W35" s="471">
        <f t="shared" si="9"/>
        <v>612346105.39999998</v>
      </c>
      <c r="X35" s="229" t="b">
        <f>+K35=W35</f>
        <v>1</v>
      </c>
      <c r="Y35" s="778">
        <f>+K35-W35</f>
        <v>0</v>
      </c>
    </row>
    <row r="36" spans="1:25" s="146" customFormat="1" ht="12.75">
      <c r="A36" s="226"/>
      <c r="B36" s="193"/>
      <c r="D36" s="226"/>
      <c r="E36" s="144"/>
      <c r="F36" s="144"/>
      <c r="G36" s="144"/>
      <c r="H36" s="144"/>
      <c r="I36" s="144"/>
      <c r="J36" s="144"/>
      <c r="K36" s="226"/>
      <c r="L36" s="144"/>
      <c r="M36" s="226"/>
      <c r="N36" s="144"/>
      <c r="O36" s="384"/>
      <c r="P36" s="384"/>
      <c r="Q36" s="384"/>
      <c r="R36" s="144"/>
      <c r="S36" s="384"/>
      <c r="T36" s="384"/>
      <c r="U36" s="144"/>
      <c r="V36" s="384"/>
      <c r="W36" s="144"/>
      <c r="X36" s="229"/>
      <c r="Y36" s="778"/>
    </row>
    <row r="37" spans="3:25" s="204" customFormat="1" ht="12.75" customHeight="1">
      <c r="C37" s="20"/>
      <c r="D37" s="21"/>
      <c r="E37" s="21"/>
      <c r="F37" s="21"/>
      <c r="G37" s="21"/>
      <c r="H37" s="21"/>
      <c r="I37" s="21"/>
      <c r="J37" s="21"/>
      <c r="K37" s="22"/>
      <c r="L37" s="21"/>
      <c r="M37" s="22"/>
      <c r="N37" s="21"/>
      <c r="O37" s="21"/>
      <c r="P37" s="21"/>
      <c r="Q37" s="21"/>
      <c r="R37" s="21"/>
      <c r="S37" s="21"/>
      <c r="T37" s="21"/>
      <c r="U37" s="21"/>
      <c r="V37" s="21"/>
      <c r="W37" s="21"/>
      <c r="X37" s="98"/>
      <c r="Y37" s="775"/>
    </row>
    <row r="38" spans="4:25" s="173" customFormat="1" ht="12.75" customHeight="1">
      <c r="D38" s="249"/>
      <c r="E38" s="249"/>
      <c r="F38" s="249"/>
      <c r="G38" s="249"/>
      <c r="H38" s="249"/>
      <c r="I38" s="249"/>
      <c r="J38" s="249"/>
      <c r="K38" s="211"/>
      <c r="L38" s="249"/>
      <c r="M38" s="211"/>
      <c r="N38" s="249"/>
      <c r="O38" s="249"/>
      <c r="P38" s="249"/>
      <c r="Q38" s="249"/>
      <c r="R38" s="249"/>
      <c r="S38" s="249"/>
      <c r="T38" s="249"/>
      <c r="U38" s="249"/>
      <c r="V38" s="249"/>
      <c r="X38" s="224"/>
      <c r="Y38" s="776"/>
    </row>
    <row r="39" spans="3:25" s="204" customFormat="1" ht="12.75" customHeight="1">
      <c r="C39" s="79"/>
      <c r="D39" s="21"/>
      <c r="E39" s="21"/>
      <c r="F39" s="80"/>
      <c r="G39" s="21"/>
      <c r="H39" s="21"/>
      <c r="I39" s="21"/>
      <c r="J39" s="21"/>
      <c r="K39" s="716"/>
      <c r="L39" s="21"/>
      <c r="M39" s="81"/>
      <c r="N39" s="716"/>
      <c r="O39" s="716"/>
      <c r="P39" s="716"/>
      <c r="Q39" s="716"/>
      <c r="R39" s="716"/>
      <c r="S39" s="716"/>
      <c r="T39" s="716"/>
      <c r="U39" s="716"/>
      <c r="V39" s="716"/>
      <c r="W39" s="716"/>
      <c r="X39" s="98"/>
      <c r="Y39" s="775"/>
    </row>
    <row r="40" spans="4:25" s="173" customFormat="1" ht="12.75" customHeight="1">
      <c r="D40" s="82"/>
      <c r="E40" s="249"/>
      <c r="F40" s="249"/>
      <c r="G40" s="249"/>
      <c r="H40" s="249"/>
      <c r="I40" s="249"/>
      <c r="J40" s="249"/>
      <c r="K40" s="717"/>
      <c r="L40" s="249"/>
      <c r="M40" s="211"/>
      <c r="N40" s="717"/>
      <c r="O40" s="717"/>
      <c r="P40" s="717"/>
      <c r="Q40" s="717"/>
      <c r="R40" s="717"/>
      <c r="S40" s="717"/>
      <c r="T40" s="717"/>
      <c r="U40" s="717"/>
      <c r="V40" s="717"/>
      <c r="W40" s="717"/>
      <c r="X40" s="224"/>
      <c r="Y40" s="776"/>
    </row>
    <row r="41" spans="4:25" s="173" customFormat="1" ht="12.75" customHeight="1">
      <c r="D41" s="82"/>
      <c r="E41" s="249"/>
      <c r="F41" s="249"/>
      <c r="G41" s="249"/>
      <c r="H41" s="249"/>
      <c r="I41" s="249"/>
      <c r="J41" s="249"/>
      <c r="K41" s="717"/>
      <c r="L41" s="249"/>
      <c r="M41" s="211"/>
      <c r="N41" s="717"/>
      <c r="O41" s="717"/>
      <c r="P41" s="717"/>
      <c r="Q41" s="717"/>
      <c r="R41" s="717"/>
      <c r="S41" s="717"/>
      <c r="T41" s="717"/>
      <c r="U41" s="717"/>
      <c r="V41" s="717"/>
      <c r="W41" s="717"/>
      <c r="X41" s="224"/>
      <c r="Y41" s="776"/>
    </row>
    <row r="42" spans="4:25" s="173" customFormat="1" ht="12.75" customHeight="1">
      <c r="D42" s="82"/>
      <c r="E42" s="249"/>
      <c r="F42" s="249"/>
      <c r="G42" s="249"/>
      <c r="H42" s="249"/>
      <c r="I42" s="249"/>
      <c r="J42" s="249"/>
      <c r="K42" s="717"/>
      <c r="L42" s="249"/>
      <c r="M42" s="211"/>
      <c r="N42" s="717"/>
      <c r="O42" s="717"/>
      <c r="P42" s="717"/>
      <c r="Q42" s="717"/>
      <c r="R42" s="717"/>
      <c r="S42" s="717"/>
      <c r="T42" s="717"/>
      <c r="U42" s="717"/>
      <c r="V42" s="717"/>
      <c r="W42" s="717"/>
      <c r="X42" s="224"/>
      <c r="Y42" s="776"/>
    </row>
    <row r="43" spans="4:25" s="173" customFormat="1" ht="12.75" customHeight="1">
      <c r="D43" s="82"/>
      <c r="E43" s="249"/>
      <c r="F43" s="249"/>
      <c r="G43" s="249"/>
      <c r="H43" s="249"/>
      <c r="I43" s="249"/>
      <c r="J43" s="249"/>
      <c r="K43" s="717"/>
      <c r="L43" s="249"/>
      <c r="M43" s="211"/>
      <c r="N43" s="717"/>
      <c r="O43" s="717"/>
      <c r="P43" s="717"/>
      <c r="Q43" s="717"/>
      <c r="R43" s="717"/>
      <c r="S43" s="717"/>
      <c r="T43" s="717"/>
      <c r="U43" s="717"/>
      <c r="V43" s="717"/>
      <c r="W43" s="717"/>
      <c r="X43" s="224"/>
      <c r="Y43" s="776"/>
    </row>
    <row r="44" spans="4:25" s="173" customFormat="1" ht="12.75" customHeight="1">
      <c r="D44" s="82"/>
      <c r="E44" s="249"/>
      <c r="F44" s="249"/>
      <c r="G44" s="249"/>
      <c r="H44" s="249"/>
      <c r="I44" s="249"/>
      <c r="J44" s="249"/>
      <c r="K44" s="211"/>
      <c r="L44" s="249"/>
      <c r="M44" s="211"/>
      <c r="N44" s="249"/>
      <c r="O44" s="249"/>
      <c r="P44" s="249"/>
      <c r="Q44" s="249"/>
      <c r="R44" s="250"/>
      <c r="S44" s="250"/>
      <c r="T44" s="250"/>
      <c r="U44" s="250"/>
      <c r="V44" s="250"/>
      <c r="W44" s="250"/>
      <c r="X44" s="224"/>
      <c r="Y44" s="776"/>
    </row>
    <row r="45" spans="4:25" s="173" customFormat="1" ht="12.75" customHeight="1">
      <c r="D45" s="82"/>
      <c r="E45" s="249"/>
      <c r="F45" s="249"/>
      <c r="G45" s="249"/>
      <c r="H45" s="249"/>
      <c r="I45" s="249"/>
      <c r="J45" s="249"/>
      <c r="K45" s="211"/>
      <c r="L45" s="249"/>
      <c r="M45" s="211"/>
      <c r="N45" s="249"/>
      <c r="O45" s="249"/>
      <c r="P45" s="249"/>
      <c r="Q45" s="249"/>
      <c r="R45" s="250"/>
      <c r="S45" s="250"/>
      <c r="T45" s="250"/>
      <c r="U45" s="250"/>
      <c r="V45" s="250"/>
      <c r="W45" s="250"/>
      <c r="X45" s="224"/>
      <c r="Y45" s="776"/>
    </row>
    <row r="46" spans="4:25" s="173" customFormat="1" ht="12.75" customHeight="1">
      <c r="D46" s="82"/>
      <c r="E46" s="249"/>
      <c r="F46" s="249"/>
      <c r="G46" s="249"/>
      <c r="H46" s="249"/>
      <c r="I46" s="249"/>
      <c r="J46" s="249"/>
      <c r="K46" s="211"/>
      <c r="L46" s="249"/>
      <c r="M46" s="211"/>
      <c r="N46" s="249"/>
      <c r="O46" s="249"/>
      <c r="P46" s="249"/>
      <c r="Q46" s="249"/>
      <c r="R46" s="144"/>
      <c r="S46" s="384"/>
      <c r="T46" s="384"/>
      <c r="U46" s="144"/>
      <c r="V46" s="384"/>
      <c r="W46" s="144"/>
      <c r="X46" s="224"/>
      <c r="Y46" s="776"/>
    </row>
    <row r="47" spans="4:25" s="173" customFormat="1" ht="12.75" customHeight="1">
      <c r="D47" s="82"/>
      <c r="E47" s="249"/>
      <c r="F47" s="249"/>
      <c r="G47" s="249"/>
      <c r="H47" s="249"/>
      <c r="I47" s="249"/>
      <c r="J47" s="249"/>
      <c r="K47" s="211"/>
      <c r="L47" s="249"/>
      <c r="M47" s="211"/>
      <c r="N47" s="249"/>
      <c r="O47" s="249"/>
      <c r="P47" s="249"/>
      <c r="Q47" s="249"/>
      <c r="R47" s="250"/>
      <c r="S47" s="250"/>
      <c r="T47" s="250"/>
      <c r="U47" s="250"/>
      <c r="V47" s="250"/>
      <c r="W47" s="250"/>
      <c r="X47" s="224"/>
      <c r="Y47" s="776"/>
    </row>
    <row r="48" spans="4:25" s="173" customFormat="1" ht="12.75" customHeight="1">
      <c r="D48" s="82"/>
      <c r="E48" s="249"/>
      <c r="F48" s="249"/>
      <c r="G48" s="249"/>
      <c r="H48" s="249"/>
      <c r="I48" s="249"/>
      <c r="J48" s="249"/>
      <c r="K48" s="211"/>
      <c r="L48" s="249"/>
      <c r="M48" s="211"/>
      <c r="N48" s="249"/>
      <c r="O48" s="249"/>
      <c r="P48" s="249"/>
      <c r="Q48" s="249"/>
      <c r="R48" s="250"/>
      <c r="S48" s="250"/>
      <c r="T48" s="250"/>
      <c r="U48" s="250"/>
      <c r="V48" s="250"/>
      <c r="W48" s="250"/>
      <c r="X48" s="224"/>
      <c r="Y48" s="776"/>
    </row>
    <row r="49" spans="4:25" s="173" customFormat="1" ht="12.75" customHeight="1">
      <c r="D49" s="82"/>
      <c r="E49" s="249"/>
      <c r="F49" s="249"/>
      <c r="G49" s="249"/>
      <c r="H49" s="249"/>
      <c r="I49" s="249"/>
      <c r="J49" s="249"/>
      <c r="K49" s="211"/>
      <c r="L49" s="249"/>
      <c r="M49" s="211"/>
      <c r="N49" s="249"/>
      <c r="O49" s="249"/>
      <c r="P49" s="249"/>
      <c r="Q49" s="249"/>
      <c r="R49" s="250"/>
      <c r="S49" s="250"/>
      <c r="T49" s="250"/>
      <c r="U49" s="250"/>
      <c r="V49" s="250"/>
      <c r="W49" s="250"/>
      <c r="X49" s="224"/>
      <c r="Y49" s="776"/>
    </row>
    <row r="50" spans="3:25" s="204" customFormat="1" ht="12.75" customHeight="1">
      <c r="C50" s="20"/>
      <c r="D50" s="80"/>
      <c r="E50" s="21"/>
      <c r="F50" s="21"/>
      <c r="G50" s="21"/>
      <c r="H50" s="21"/>
      <c r="I50" s="21"/>
      <c r="J50" s="21"/>
      <c r="K50" s="81"/>
      <c r="L50" s="21"/>
      <c r="M50" s="22"/>
      <c r="N50" s="21"/>
      <c r="O50" s="21"/>
      <c r="P50" s="21"/>
      <c r="Q50" s="21"/>
      <c r="R50" s="21"/>
      <c r="S50" s="21"/>
      <c r="T50" s="21"/>
      <c r="U50" s="21"/>
      <c r="V50" s="21"/>
      <c r="W50" s="21"/>
      <c r="X50" s="224"/>
      <c r="Y50" s="775"/>
    </row>
    <row r="51" spans="3:25" s="173" customFormat="1" ht="12.75" customHeight="1">
      <c r="C51" s="23"/>
      <c r="D51" s="82"/>
      <c r="E51" s="249"/>
      <c r="F51" s="249"/>
      <c r="G51" s="249"/>
      <c r="H51" s="249"/>
      <c r="I51" s="249"/>
      <c r="J51" s="249"/>
      <c r="K51" s="83"/>
      <c r="L51" s="249"/>
      <c r="M51" s="211"/>
      <c r="N51" s="249"/>
      <c r="O51" s="249"/>
      <c r="P51" s="249"/>
      <c r="Q51" s="249"/>
      <c r="R51" s="249"/>
      <c r="S51" s="249"/>
      <c r="T51" s="249"/>
      <c r="U51" s="249"/>
      <c r="V51" s="249"/>
      <c r="X51" s="224"/>
      <c r="Y51" s="776"/>
    </row>
    <row r="52" spans="2:25" s="204" customFormat="1" ht="12.75" customHeight="1">
      <c r="B52" s="24"/>
      <c r="D52" s="80"/>
      <c r="E52" s="21"/>
      <c r="F52" s="21"/>
      <c r="G52" s="21"/>
      <c r="H52" s="21"/>
      <c r="I52" s="21"/>
      <c r="J52" s="21"/>
      <c r="K52" s="81"/>
      <c r="L52" s="21"/>
      <c r="M52" s="22"/>
      <c r="N52" s="21"/>
      <c r="O52" s="21"/>
      <c r="P52" s="21"/>
      <c r="Q52" s="21"/>
      <c r="R52" s="21"/>
      <c r="S52" s="21"/>
      <c r="T52" s="21"/>
      <c r="U52" s="21"/>
      <c r="V52" s="21"/>
      <c r="W52" s="21"/>
      <c r="X52" s="224"/>
      <c r="Y52" s="775"/>
    </row>
    <row r="53" spans="3:25" s="173" customFormat="1" ht="12.75" customHeight="1">
      <c r="C53" s="20"/>
      <c r="D53" s="82"/>
      <c r="E53" s="249"/>
      <c r="F53" s="249"/>
      <c r="G53" s="249"/>
      <c r="H53" s="249"/>
      <c r="I53" s="249"/>
      <c r="J53" s="249"/>
      <c r="K53" s="83"/>
      <c r="L53" s="249"/>
      <c r="M53" s="22"/>
      <c r="N53" s="249"/>
      <c r="O53" s="249"/>
      <c r="P53" s="249"/>
      <c r="Q53" s="249"/>
      <c r="R53" s="249"/>
      <c r="S53" s="249"/>
      <c r="T53" s="249"/>
      <c r="U53" s="249"/>
      <c r="V53" s="249"/>
      <c r="W53" s="249"/>
      <c r="X53" s="224"/>
      <c r="Y53" s="776"/>
    </row>
    <row r="54" spans="3:25" s="204" customFormat="1" ht="12.75" customHeight="1">
      <c r="C54" s="20"/>
      <c r="D54" s="21"/>
      <c r="E54" s="21"/>
      <c r="F54" s="21"/>
      <c r="G54" s="21"/>
      <c r="H54" s="21"/>
      <c r="I54" s="21"/>
      <c r="J54" s="21"/>
      <c r="K54" s="81"/>
      <c r="L54" s="21"/>
      <c r="M54" s="22"/>
      <c r="N54" s="21"/>
      <c r="O54" s="21"/>
      <c r="P54" s="21"/>
      <c r="Q54" s="21"/>
      <c r="R54" s="21"/>
      <c r="S54" s="21"/>
      <c r="T54" s="21"/>
      <c r="U54" s="21"/>
      <c r="V54" s="21"/>
      <c r="W54" s="21"/>
      <c r="X54" s="98"/>
      <c r="Y54" s="775"/>
    </row>
    <row r="55" spans="3:25" s="204" customFormat="1" ht="12.75" customHeight="1">
      <c r="C55" s="20"/>
      <c r="D55" s="80"/>
      <c r="E55" s="21"/>
      <c r="F55" s="21"/>
      <c r="G55" s="21"/>
      <c r="H55" s="21"/>
      <c r="I55" s="21"/>
      <c r="J55" s="21"/>
      <c r="K55" s="81"/>
      <c r="L55" s="21"/>
      <c r="M55" s="22"/>
      <c r="N55" s="21"/>
      <c r="O55" s="21"/>
      <c r="P55" s="21"/>
      <c r="Q55" s="21"/>
      <c r="R55" s="21"/>
      <c r="S55" s="21"/>
      <c r="T55" s="21"/>
      <c r="U55" s="21"/>
      <c r="V55" s="21"/>
      <c r="X55" s="98"/>
      <c r="Y55" s="775"/>
    </row>
    <row r="56" spans="3:25" s="204" customFormat="1" ht="12.75" customHeight="1">
      <c r="C56" s="20"/>
      <c r="D56" s="21"/>
      <c r="E56" s="21"/>
      <c r="F56" s="21"/>
      <c r="G56" s="21"/>
      <c r="H56" s="21"/>
      <c r="I56" s="21"/>
      <c r="J56" s="21"/>
      <c r="K56" s="81"/>
      <c r="L56" s="21"/>
      <c r="M56" s="22"/>
      <c r="N56" s="21"/>
      <c r="O56" s="21"/>
      <c r="P56" s="21"/>
      <c r="Q56" s="21"/>
      <c r="R56" s="25"/>
      <c r="S56" s="25"/>
      <c r="T56" s="25"/>
      <c r="U56" s="25"/>
      <c r="V56" s="25"/>
      <c r="W56" s="25"/>
      <c r="X56" s="98"/>
      <c r="Y56" s="775"/>
    </row>
    <row r="57" spans="3:25" s="204" customFormat="1" ht="12.75" customHeight="1">
      <c r="C57" s="20"/>
      <c r="D57" s="80"/>
      <c r="E57" s="21"/>
      <c r="F57" s="21"/>
      <c r="G57" s="21"/>
      <c r="H57" s="21"/>
      <c r="I57" s="21"/>
      <c r="J57" s="21"/>
      <c r="K57" s="81"/>
      <c r="L57" s="21"/>
      <c r="M57" s="22"/>
      <c r="N57" s="21"/>
      <c r="O57" s="21"/>
      <c r="P57" s="21"/>
      <c r="Q57" s="21"/>
      <c r="R57" s="21"/>
      <c r="S57" s="21"/>
      <c r="T57" s="21"/>
      <c r="U57" s="21"/>
      <c r="V57" s="21"/>
      <c r="X57" s="98"/>
      <c r="Y57" s="775"/>
    </row>
    <row r="58" spans="2:25" s="204" customFormat="1" ht="12.75" customHeight="1">
      <c r="B58" s="26"/>
      <c r="C58" s="20"/>
      <c r="D58" s="80"/>
      <c r="E58" s="21"/>
      <c r="F58" s="21"/>
      <c r="G58" s="21"/>
      <c r="H58" s="21"/>
      <c r="I58" s="21"/>
      <c r="J58" s="21"/>
      <c r="K58" s="81"/>
      <c r="L58" s="21"/>
      <c r="M58" s="22"/>
      <c r="N58" s="21"/>
      <c r="O58" s="21"/>
      <c r="P58" s="21"/>
      <c r="Q58" s="21"/>
      <c r="R58" s="21"/>
      <c r="S58" s="21"/>
      <c r="T58" s="21"/>
      <c r="U58" s="21"/>
      <c r="V58" s="21"/>
      <c r="W58" s="21"/>
      <c r="X58" s="98"/>
      <c r="Y58" s="775"/>
    </row>
    <row r="59" spans="3:25" s="173" customFormat="1" ht="12.75" customHeight="1">
      <c r="C59" s="20"/>
      <c r="D59" s="82"/>
      <c r="E59" s="249"/>
      <c r="F59" s="249"/>
      <c r="G59" s="249"/>
      <c r="H59" s="249"/>
      <c r="I59" s="249"/>
      <c r="J59" s="249"/>
      <c r="K59" s="83"/>
      <c r="L59" s="249"/>
      <c r="M59" s="22"/>
      <c r="N59" s="249"/>
      <c r="O59" s="249"/>
      <c r="P59" s="249"/>
      <c r="Q59" s="249"/>
      <c r="R59" s="249"/>
      <c r="S59" s="249"/>
      <c r="T59" s="249"/>
      <c r="U59" s="249"/>
      <c r="V59" s="249"/>
      <c r="X59" s="224"/>
      <c r="Y59" s="776"/>
    </row>
    <row r="60" spans="3:25" s="173" customFormat="1" ht="12.75" customHeight="1">
      <c r="C60" s="20"/>
      <c r="D60" s="82"/>
      <c r="E60" s="249"/>
      <c r="F60" s="249"/>
      <c r="G60" s="249"/>
      <c r="H60" s="249"/>
      <c r="I60" s="249"/>
      <c r="J60" s="249"/>
      <c r="K60" s="211"/>
      <c r="L60" s="249"/>
      <c r="M60" s="211"/>
      <c r="N60" s="249"/>
      <c r="O60" s="249"/>
      <c r="P60" s="249"/>
      <c r="Q60" s="249"/>
      <c r="R60" s="250"/>
      <c r="S60" s="250"/>
      <c r="T60" s="250"/>
      <c r="U60" s="250"/>
      <c r="V60" s="250"/>
      <c r="W60" s="250"/>
      <c r="X60" s="224"/>
      <c r="Y60" s="776"/>
    </row>
    <row r="61" spans="3:25" s="173" customFormat="1" ht="12.75" customHeight="1">
      <c r="C61" s="20"/>
      <c r="D61" s="82"/>
      <c r="E61" s="249"/>
      <c r="F61" s="249"/>
      <c r="G61" s="249"/>
      <c r="H61" s="249"/>
      <c r="I61" s="249"/>
      <c r="J61" s="249"/>
      <c r="K61" s="211"/>
      <c r="L61" s="249"/>
      <c r="M61" s="211"/>
      <c r="N61" s="249"/>
      <c r="O61" s="249"/>
      <c r="P61" s="249"/>
      <c r="Q61" s="249"/>
      <c r="R61" s="250"/>
      <c r="S61" s="250"/>
      <c r="T61" s="250"/>
      <c r="U61" s="250"/>
      <c r="V61" s="250"/>
      <c r="W61" s="250"/>
      <c r="X61" s="224"/>
      <c r="Y61" s="776"/>
    </row>
    <row r="62" spans="3:25" s="173" customFormat="1" ht="12.75" customHeight="1">
      <c r="C62" s="20"/>
      <c r="D62" s="82"/>
      <c r="E62" s="249"/>
      <c r="F62" s="249"/>
      <c r="G62" s="249"/>
      <c r="H62" s="249"/>
      <c r="I62" s="249"/>
      <c r="J62" s="249"/>
      <c r="K62" s="83"/>
      <c r="L62" s="249"/>
      <c r="M62" s="22"/>
      <c r="N62" s="249"/>
      <c r="O62" s="249"/>
      <c r="P62" s="249"/>
      <c r="Q62" s="249"/>
      <c r="R62" s="249"/>
      <c r="S62" s="249"/>
      <c r="T62" s="249"/>
      <c r="U62" s="249"/>
      <c r="V62" s="249"/>
      <c r="X62" s="224"/>
      <c r="Y62" s="776"/>
    </row>
    <row r="63" spans="3:25" s="173" customFormat="1" ht="12.75" customHeight="1">
      <c r="C63" s="86"/>
      <c r="D63" s="82"/>
      <c r="E63" s="249"/>
      <c r="F63" s="249"/>
      <c r="G63" s="249"/>
      <c r="H63" s="249"/>
      <c r="I63" s="249"/>
      <c r="J63" s="249"/>
      <c r="K63" s="211"/>
      <c r="L63" s="249"/>
      <c r="M63" s="211"/>
      <c r="N63" s="249"/>
      <c r="O63" s="249"/>
      <c r="P63" s="249"/>
      <c r="Q63" s="249"/>
      <c r="R63" s="250"/>
      <c r="S63" s="250"/>
      <c r="T63" s="250"/>
      <c r="U63" s="250"/>
      <c r="V63" s="250"/>
      <c r="W63" s="250"/>
      <c r="X63" s="224"/>
      <c r="Y63" s="776"/>
    </row>
    <row r="64" spans="3:25" s="173" customFormat="1" ht="12.75" customHeight="1">
      <c r="C64" s="248"/>
      <c r="D64" s="82"/>
      <c r="E64" s="249"/>
      <c r="F64" s="249"/>
      <c r="G64" s="249"/>
      <c r="H64" s="249"/>
      <c r="I64" s="249"/>
      <c r="J64" s="249"/>
      <c r="K64" s="211"/>
      <c r="L64" s="249"/>
      <c r="M64" s="211"/>
      <c r="N64" s="249"/>
      <c r="O64" s="249"/>
      <c r="P64" s="249"/>
      <c r="Q64" s="249"/>
      <c r="R64" s="250"/>
      <c r="S64" s="250"/>
      <c r="T64" s="250"/>
      <c r="U64" s="250"/>
      <c r="V64" s="250"/>
      <c r="W64" s="250"/>
      <c r="X64" s="224"/>
      <c r="Y64" s="776"/>
    </row>
    <row r="65" spans="11:25" s="173" customFormat="1" ht="12.75" customHeight="1">
      <c r="K65" s="211"/>
      <c r="M65" s="211"/>
      <c r="X65" s="224"/>
      <c r="Y65" s="776"/>
    </row>
    <row r="66" spans="11:25" s="173" customFormat="1" ht="12.75" customHeight="1">
      <c r="K66" s="211"/>
      <c r="M66" s="211"/>
      <c r="X66" s="224"/>
      <c r="Y66" s="776"/>
    </row>
    <row r="67" spans="11:25" s="173" customFormat="1" ht="12.75" customHeight="1">
      <c r="K67" s="211"/>
      <c r="M67" s="211"/>
      <c r="X67" s="224"/>
      <c r="Y67" s="776"/>
    </row>
    <row r="68" spans="11:25" s="173" customFormat="1" ht="12.75" customHeight="1">
      <c r="K68" s="211"/>
      <c r="M68" s="211"/>
      <c r="X68" s="224"/>
      <c r="Y68" s="776"/>
    </row>
    <row r="69" spans="11:25" s="173" customFormat="1" ht="12.75" customHeight="1">
      <c r="K69" s="211"/>
      <c r="M69" s="211"/>
      <c r="X69" s="224"/>
      <c r="Y69" s="776"/>
    </row>
    <row r="70" spans="11:25" s="173" customFormat="1" ht="12.75" customHeight="1">
      <c r="K70" s="211"/>
      <c r="M70" s="211"/>
      <c r="X70" s="224"/>
      <c r="Y70" s="776"/>
    </row>
    <row r="71" spans="11:25" s="173" customFormat="1" ht="12.75" customHeight="1">
      <c r="K71" s="211"/>
      <c r="M71" s="211"/>
      <c r="X71" s="224"/>
      <c r="Y71" s="776"/>
    </row>
    <row r="72" spans="11:25" s="173" customFormat="1" ht="12.75" customHeight="1">
      <c r="K72" s="211"/>
      <c r="M72" s="211"/>
      <c r="X72" s="224"/>
      <c r="Y72" s="776"/>
    </row>
    <row r="73" spans="11:25" s="173" customFormat="1" ht="12.75" customHeight="1">
      <c r="K73" s="211"/>
      <c r="M73" s="211"/>
      <c r="X73" s="224"/>
      <c r="Y73" s="776"/>
    </row>
    <row r="74" spans="11:25" s="173" customFormat="1" ht="12.75" customHeight="1">
      <c r="K74" s="211"/>
      <c r="M74" s="211"/>
      <c r="X74" s="224"/>
      <c r="Y74" s="776"/>
    </row>
    <row r="75" spans="11:25" s="173" customFormat="1" ht="12.75" customHeight="1">
      <c r="K75" s="211"/>
      <c r="M75" s="211"/>
      <c r="X75" s="224"/>
      <c r="Y75" s="776"/>
    </row>
    <row r="76" spans="11:25" s="173" customFormat="1" ht="12.75" customHeight="1">
      <c r="K76" s="211"/>
      <c r="M76" s="211"/>
      <c r="X76" s="224"/>
      <c r="Y76" s="776"/>
    </row>
    <row r="77" spans="11:25" s="173" customFormat="1" ht="12.75" customHeight="1">
      <c r="K77" s="211"/>
      <c r="M77" s="211"/>
      <c r="X77" s="224"/>
      <c r="Y77" s="776"/>
    </row>
    <row r="78" spans="11:25" s="173" customFormat="1" ht="12.75" customHeight="1">
      <c r="K78" s="211"/>
      <c r="M78" s="211"/>
      <c r="X78" s="224"/>
      <c r="Y78" s="776"/>
    </row>
    <row r="79" spans="11:25" s="173" customFormat="1" ht="12.75" customHeight="1">
      <c r="K79" s="211"/>
      <c r="M79" s="211"/>
      <c r="X79" s="224"/>
      <c r="Y79" s="776"/>
    </row>
    <row r="80" spans="11:25" s="173" customFormat="1" ht="12.75" customHeight="1">
      <c r="K80" s="211"/>
      <c r="M80" s="211"/>
      <c r="X80" s="224"/>
      <c r="Y80" s="776"/>
    </row>
    <row r="81" spans="11:25" s="173" customFormat="1" ht="12.75" customHeight="1">
      <c r="K81" s="211"/>
      <c r="M81" s="211"/>
      <c r="X81" s="224"/>
      <c r="Y81" s="776"/>
    </row>
    <row r="82" spans="11:25" s="173" customFormat="1" ht="12.75" customHeight="1">
      <c r="K82" s="211"/>
      <c r="M82" s="211"/>
      <c r="X82" s="224"/>
      <c r="Y82" s="776"/>
    </row>
    <row r="83" spans="11:25" s="173" customFormat="1" ht="12.75" customHeight="1">
      <c r="K83" s="211"/>
      <c r="M83" s="211"/>
      <c r="X83" s="224"/>
      <c r="Y83" s="776"/>
    </row>
    <row r="84" spans="11:25" s="173" customFormat="1" ht="12.75" customHeight="1">
      <c r="K84" s="211"/>
      <c r="M84" s="211"/>
      <c r="X84" s="224"/>
      <c r="Y84" s="776"/>
    </row>
    <row r="85" spans="11:25" s="173" customFormat="1" ht="12.75" customHeight="1">
      <c r="K85" s="211"/>
      <c r="M85" s="211"/>
      <c r="X85" s="224"/>
      <c r="Y85" s="776"/>
    </row>
    <row r="86" spans="11:25" s="173" customFormat="1" ht="12.75" customHeight="1">
      <c r="K86" s="211"/>
      <c r="M86" s="211"/>
      <c r="X86" s="224"/>
      <c r="Y86" s="776"/>
    </row>
    <row r="87" spans="11:25" s="173" customFormat="1" ht="12.75" customHeight="1">
      <c r="K87" s="211"/>
      <c r="M87" s="211"/>
      <c r="X87" s="224"/>
      <c r="Y87" s="776"/>
    </row>
    <row r="88" spans="11:25" s="173" customFormat="1" ht="12.75" customHeight="1">
      <c r="K88" s="211"/>
      <c r="M88" s="211"/>
      <c r="X88" s="224"/>
      <c r="Y88" s="776"/>
    </row>
    <row r="89" spans="11:25" s="173" customFormat="1" ht="12.75" customHeight="1">
      <c r="K89" s="211"/>
      <c r="M89" s="211"/>
      <c r="X89" s="224"/>
      <c r="Y89" s="776"/>
    </row>
    <row r="90" spans="11:25" s="173" customFormat="1" ht="12.75" customHeight="1">
      <c r="K90" s="211"/>
      <c r="M90" s="211"/>
      <c r="X90" s="224"/>
      <c r="Y90" s="776"/>
    </row>
    <row r="91" spans="11:25" s="173" customFormat="1" ht="12.75" customHeight="1">
      <c r="K91" s="211"/>
      <c r="M91" s="211"/>
      <c r="X91" s="224"/>
      <c r="Y91" s="776"/>
    </row>
    <row r="92" spans="11:25" s="173" customFormat="1" ht="12.75" customHeight="1">
      <c r="K92" s="211"/>
      <c r="M92" s="211"/>
      <c r="X92" s="224"/>
      <c r="Y92" s="776"/>
    </row>
    <row r="93" spans="11:25" s="173" customFormat="1" ht="12.75" customHeight="1">
      <c r="K93" s="211"/>
      <c r="M93" s="211"/>
      <c r="X93" s="224"/>
      <c r="Y93" s="776"/>
    </row>
    <row r="94" spans="11:25" s="173" customFormat="1" ht="12.75" customHeight="1">
      <c r="K94" s="211"/>
      <c r="M94" s="211"/>
      <c r="X94" s="224"/>
      <c r="Y94" s="776"/>
    </row>
    <row r="95" spans="11:25" s="173" customFormat="1" ht="12.75" customHeight="1">
      <c r="K95" s="211"/>
      <c r="M95" s="211"/>
      <c r="X95" s="224"/>
      <c r="Y95" s="776"/>
    </row>
    <row r="96" spans="11:25" s="173" customFormat="1" ht="12.75" customHeight="1">
      <c r="K96" s="211"/>
      <c r="M96" s="211"/>
      <c r="X96" s="224"/>
      <c r="Y96" s="776"/>
    </row>
    <row r="97" spans="11:25" s="173" customFormat="1" ht="12.75" customHeight="1">
      <c r="K97" s="211"/>
      <c r="M97" s="211"/>
      <c r="X97" s="224"/>
      <c r="Y97" s="776"/>
    </row>
    <row r="98" spans="11:25" s="173" customFormat="1" ht="12.75" customHeight="1">
      <c r="K98" s="211"/>
      <c r="M98" s="211"/>
      <c r="X98" s="224"/>
      <c r="Y98" s="776"/>
    </row>
    <row r="99" spans="11:25" s="173" customFormat="1" ht="12.75" customHeight="1">
      <c r="K99" s="211"/>
      <c r="M99" s="211"/>
      <c r="X99" s="224"/>
      <c r="Y99" s="776"/>
    </row>
    <row r="100" spans="11:25" s="173" customFormat="1" ht="12.75" customHeight="1">
      <c r="K100" s="211"/>
      <c r="M100" s="211"/>
      <c r="X100" s="224"/>
      <c r="Y100" s="776"/>
    </row>
    <row r="101" spans="11:25" s="173" customFormat="1" ht="12.75" customHeight="1">
      <c r="K101" s="211"/>
      <c r="M101" s="211"/>
      <c r="X101" s="224"/>
      <c r="Y101" s="776"/>
    </row>
    <row r="102" spans="11:25" s="173" customFormat="1" ht="12.75" customHeight="1">
      <c r="K102" s="211"/>
      <c r="M102" s="211"/>
      <c r="X102" s="224"/>
      <c r="Y102" s="776"/>
    </row>
    <row r="103" spans="11:25" s="173" customFormat="1" ht="12.75" customHeight="1">
      <c r="K103" s="211"/>
      <c r="M103" s="211"/>
      <c r="X103" s="224"/>
      <c r="Y103" s="776"/>
    </row>
    <row r="104" spans="11:25" s="173" customFormat="1" ht="12.75" customHeight="1">
      <c r="K104" s="211"/>
      <c r="M104" s="211"/>
      <c r="X104" s="224"/>
      <c r="Y104" s="776"/>
    </row>
    <row r="105" spans="11:25" s="173" customFormat="1" ht="12.75" customHeight="1">
      <c r="K105" s="211"/>
      <c r="M105" s="211"/>
      <c r="X105" s="224"/>
      <c r="Y105" s="776"/>
    </row>
    <row r="106" spans="11:25" s="173" customFormat="1" ht="12.75" customHeight="1">
      <c r="K106" s="211"/>
      <c r="M106" s="211"/>
      <c r="X106" s="224"/>
      <c r="Y106" s="776"/>
    </row>
    <row r="107" spans="11:25" s="173" customFormat="1" ht="12.75" customHeight="1">
      <c r="K107" s="211"/>
      <c r="M107" s="211"/>
      <c r="X107" s="224"/>
      <c r="Y107" s="776"/>
    </row>
    <row r="108" spans="11:25" s="173" customFormat="1" ht="12.75" customHeight="1">
      <c r="K108" s="211"/>
      <c r="M108" s="211"/>
      <c r="X108" s="224"/>
      <c r="Y108" s="776"/>
    </row>
    <row r="109" spans="11:25" s="173" customFormat="1" ht="12.75" customHeight="1">
      <c r="K109" s="211"/>
      <c r="M109" s="211"/>
      <c r="X109" s="224"/>
      <c r="Y109" s="776"/>
    </row>
    <row r="110" spans="11:25" s="173" customFormat="1" ht="12.75" customHeight="1">
      <c r="K110" s="211"/>
      <c r="M110" s="211"/>
      <c r="X110" s="224"/>
      <c r="Y110" s="776"/>
    </row>
    <row r="111" spans="11:25" s="173" customFormat="1" ht="12.75" customHeight="1">
      <c r="K111" s="211"/>
      <c r="M111" s="211"/>
      <c r="X111" s="224"/>
      <c r="Y111" s="776"/>
    </row>
    <row r="112" spans="11:25" s="173" customFormat="1" ht="12.75" customHeight="1">
      <c r="K112" s="211"/>
      <c r="M112" s="211"/>
      <c r="X112" s="224"/>
      <c r="Y112" s="776"/>
    </row>
    <row r="113" spans="11:25" s="173" customFormat="1" ht="12.75" customHeight="1">
      <c r="K113" s="211"/>
      <c r="M113" s="211"/>
      <c r="X113" s="224"/>
      <c r="Y113" s="776"/>
    </row>
    <row r="114" spans="11:25" s="173" customFormat="1" ht="12.75" customHeight="1">
      <c r="K114" s="211"/>
      <c r="M114" s="211"/>
      <c r="X114" s="224"/>
      <c r="Y114" s="776"/>
    </row>
    <row r="115" spans="11:25" s="173" customFormat="1" ht="12.75" customHeight="1">
      <c r="K115" s="211"/>
      <c r="M115" s="211"/>
      <c r="X115" s="224"/>
      <c r="Y115" s="776"/>
    </row>
    <row r="116" spans="11:25" s="173" customFormat="1" ht="12.75" customHeight="1">
      <c r="K116" s="211"/>
      <c r="M116" s="211"/>
      <c r="X116" s="224"/>
      <c r="Y116" s="776"/>
    </row>
    <row r="117" spans="11:25" s="173" customFormat="1" ht="12.75" customHeight="1">
      <c r="K117" s="211"/>
      <c r="M117" s="211"/>
      <c r="X117" s="224"/>
      <c r="Y117" s="776"/>
    </row>
    <row r="118" spans="11:25" s="173" customFormat="1" ht="12.75" customHeight="1">
      <c r="K118" s="211"/>
      <c r="M118" s="211"/>
      <c r="X118" s="224"/>
      <c r="Y118" s="776"/>
    </row>
    <row r="119" spans="11:25" s="173" customFormat="1" ht="12.75" customHeight="1">
      <c r="K119" s="211"/>
      <c r="M119" s="211"/>
      <c r="X119" s="224"/>
      <c r="Y119" s="776"/>
    </row>
    <row r="120" spans="11:25" s="173" customFormat="1" ht="12.75" customHeight="1">
      <c r="K120" s="211"/>
      <c r="M120" s="211"/>
      <c r="X120" s="224"/>
      <c r="Y120" s="776"/>
    </row>
    <row r="121" spans="11:25" s="173" customFormat="1" ht="12.75" customHeight="1">
      <c r="K121" s="211"/>
      <c r="M121" s="211"/>
      <c r="X121" s="224"/>
      <c r="Y121" s="776"/>
    </row>
    <row r="122" spans="11:25" s="173" customFormat="1" ht="12.75" customHeight="1">
      <c r="K122" s="211"/>
      <c r="M122" s="211"/>
      <c r="X122" s="224"/>
      <c r="Y122" s="776"/>
    </row>
    <row r="123" spans="11:25" s="173" customFormat="1" ht="12.75" customHeight="1">
      <c r="K123" s="211"/>
      <c r="M123" s="211"/>
      <c r="X123" s="224"/>
      <c r="Y123" s="776"/>
    </row>
    <row r="124" spans="11:25" s="173" customFormat="1" ht="12.75" customHeight="1">
      <c r="K124" s="211"/>
      <c r="M124" s="211"/>
      <c r="X124" s="224"/>
      <c r="Y124" s="776"/>
    </row>
    <row r="125" spans="11:25" s="173" customFormat="1" ht="12.75" customHeight="1">
      <c r="K125" s="211"/>
      <c r="M125" s="211"/>
      <c r="X125" s="224"/>
      <c r="Y125" s="776"/>
    </row>
    <row r="126" spans="11:25" s="173" customFormat="1" ht="12.75" customHeight="1">
      <c r="K126" s="211"/>
      <c r="M126" s="211"/>
      <c r="X126" s="224"/>
      <c r="Y126" s="776"/>
    </row>
    <row r="127" spans="11:25" s="173" customFormat="1" ht="12.75" customHeight="1">
      <c r="K127" s="211"/>
      <c r="M127" s="211"/>
      <c r="X127" s="224"/>
      <c r="Y127" s="776"/>
    </row>
    <row r="128" spans="11:25" s="173" customFormat="1" ht="12.75" customHeight="1">
      <c r="K128" s="211"/>
      <c r="M128" s="211"/>
      <c r="X128" s="224"/>
      <c r="Y128" s="776"/>
    </row>
    <row r="129" spans="11:25" s="173" customFormat="1" ht="12.75" customHeight="1">
      <c r="K129" s="211"/>
      <c r="M129" s="211"/>
      <c r="X129" s="224"/>
      <c r="Y129" s="776"/>
    </row>
    <row r="130" spans="11:25" s="173" customFormat="1" ht="12.75" customHeight="1">
      <c r="K130" s="211"/>
      <c r="M130" s="211"/>
      <c r="X130" s="224"/>
      <c r="Y130" s="776"/>
    </row>
    <row r="131" spans="11:25" s="173" customFormat="1" ht="12.75" customHeight="1">
      <c r="K131" s="211"/>
      <c r="M131" s="211"/>
      <c r="X131" s="224"/>
      <c r="Y131" s="776"/>
    </row>
    <row r="132" spans="11:25" s="173" customFormat="1" ht="12.75" customHeight="1">
      <c r="K132" s="211"/>
      <c r="M132" s="211"/>
      <c r="X132" s="224"/>
      <c r="Y132" s="776"/>
    </row>
    <row r="133" spans="11:25" s="173" customFormat="1" ht="12.75" customHeight="1">
      <c r="K133" s="211"/>
      <c r="M133" s="211"/>
      <c r="X133" s="224"/>
      <c r="Y133" s="776"/>
    </row>
    <row r="134" spans="11:25" s="173" customFormat="1" ht="12.75" customHeight="1">
      <c r="K134" s="211"/>
      <c r="M134" s="211"/>
      <c r="X134" s="224"/>
      <c r="Y134" s="776"/>
    </row>
    <row r="135" spans="11:25" s="173" customFormat="1" ht="12.75" customHeight="1">
      <c r="K135" s="211"/>
      <c r="M135" s="211"/>
      <c r="X135" s="224"/>
      <c r="Y135" s="776"/>
    </row>
    <row r="136" spans="11:25" s="173" customFormat="1" ht="12.75" customHeight="1">
      <c r="K136" s="211"/>
      <c r="M136" s="211"/>
      <c r="X136" s="224"/>
      <c r="Y136" s="776"/>
    </row>
    <row r="137" spans="11:25" s="173" customFormat="1" ht="12.75" customHeight="1">
      <c r="K137" s="211"/>
      <c r="M137" s="211"/>
      <c r="X137" s="224"/>
      <c r="Y137" s="776"/>
    </row>
    <row r="138" spans="11:25" s="173" customFormat="1" ht="12.75" customHeight="1">
      <c r="K138" s="211"/>
      <c r="M138" s="211"/>
      <c r="X138" s="224"/>
      <c r="Y138" s="776"/>
    </row>
    <row r="139" spans="11:25" s="173" customFormat="1" ht="12.75" customHeight="1">
      <c r="K139" s="211"/>
      <c r="M139" s="211"/>
      <c r="X139" s="224"/>
      <c r="Y139" s="776"/>
    </row>
    <row r="140" spans="11:25" s="173" customFormat="1" ht="12.75" customHeight="1">
      <c r="K140" s="211"/>
      <c r="M140" s="211"/>
      <c r="X140" s="224"/>
      <c r="Y140" s="776"/>
    </row>
    <row r="141" spans="11:25" s="173" customFormat="1" ht="12.75" customHeight="1">
      <c r="K141" s="211"/>
      <c r="M141" s="211"/>
      <c r="X141" s="224"/>
      <c r="Y141" s="776"/>
    </row>
  </sheetData>
  <printOptions horizontalCentered="1"/>
  <pageMargins left="0.5" right="0.5" top="3" bottom="0.5" header="1.5" footer="0.5"/>
  <pageSetup fitToHeight="0" fitToWidth="2" orientation="landscape" pageOrder="overThenDown" scale="48" r:id="rId1"/>
  <headerFooter alignWithMargins="0">
    <oddHeader>&amp;C&amp;B
2022 RATE CASE
ONCOR ELECTRIC DELIVERY COMPANY LLC
II-E-2   TAXES OTHER THAN FEDERAL INCOME TAXES
TEST YEAR ENDING DECEMBER 31, 2021
SPONSOR: B. L. CLUTTER&amp;R&amp;"Arial,Bold"Schedule &amp;A
Page &amp;P of &amp;N</oddHeader>
  </headerFooter>
  <colBreaks count="1" manualBreakCount="1">
    <brk id="10" min="9" max="3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0">
    <tabColor rgb="FF92D050"/>
    <pageSetUpPr fitToPage="1"/>
  </sheetPr>
  <dimension ref="A1:V43"/>
  <sheetViews>
    <sheetView zoomScale="80" zoomScaleNormal="80" workbookViewId="0" topLeftCell="A1">
      <selection pane="topLeft" activeCell="N7" sqref="N7"/>
    </sheetView>
  </sheetViews>
  <sheetFormatPr defaultColWidth="9.14428571428571" defaultRowHeight="12.75"/>
  <cols>
    <col min="1" max="1" width="5.71428571428571" style="352" customWidth="1"/>
    <col min="2" max="2" width="9.42857142857143" style="352" customWidth="1"/>
    <col min="3" max="3" width="16.2857142857143" style="352" customWidth="1"/>
    <col min="4" max="4" width="18.7142857142857" style="352" customWidth="1"/>
    <col min="5" max="5" width="14.7142857142857" style="352" bestFit="1" customWidth="1"/>
    <col min="6" max="6" width="8.28571428571429" style="352" bestFit="1" customWidth="1"/>
    <col min="7" max="7" width="16.1428571428571" style="352" bestFit="1" customWidth="1"/>
    <col min="8" max="8" width="11.4285714285714" style="352" customWidth="1"/>
    <col min="9" max="9" width="11.8571428571429" style="352" bestFit="1" customWidth="1"/>
    <col min="10" max="10" width="12.7142857142857" style="352" bestFit="1" customWidth="1"/>
    <col min="11" max="11" width="13.4285714285714" style="127" bestFit="1" customWidth="1"/>
    <col min="12" max="12" width="12.2857142857143" style="127" bestFit="1" customWidth="1"/>
    <col min="13" max="13" width="9.57142857142857" style="127" bestFit="1" customWidth="1"/>
    <col min="14" max="14" width="13.4285714285714" style="127" bestFit="1" customWidth="1"/>
    <col min="15" max="15" width="13.4285714285714" style="352" bestFit="1" customWidth="1"/>
    <col min="16" max="16" width="11.2857142857143" style="352" bestFit="1" customWidth="1"/>
    <col min="17" max="17" width="13.4285714285714" style="352" bestFit="1" customWidth="1"/>
    <col min="18" max="19" width="11.2857142857143" style="352" bestFit="1" customWidth="1"/>
    <col min="20" max="20" width="13.4285714285714" style="352" bestFit="1" customWidth="1"/>
    <col min="21" max="21" width="6.42857142857143" style="352" customWidth="1"/>
    <col min="22" max="16384" width="9.14285714285714" style="352"/>
  </cols>
  <sheetData>
    <row r="1" spans="1:1" ht="12.75">
      <c r="A1" s="194" t="str">
        <f>+'[3]Input Data'!$A$9</f>
        <v>2022 RATE CASE</v>
      </c>
    </row>
    <row r="2" spans="1:1" ht="12.75">
      <c r="A2" s="193" t="str">
        <f>+'[3]Input Data'!$A$2</f>
        <v>ONCOR ELECTRIC DELIVERY COMPANY LLC</v>
      </c>
    </row>
    <row r="3" spans="1:1" ht="12.75">
      <c r="A3" s="192" t="str">
        <f>CONCATENATE('[3]Schedule Sponsors'!$A$84,'[3]Schedule Sponsors'!$B$84)</f>
        <v>II-E-2.1  AD VALOREM TAXES &amp;&amp; PLANT BALANCES</v>
      </c>
    </row>
    <row r="4" spans="1:1" ht="12.75">
      <c r="A4" s="192" t="str">
        <f>+'[3]Input Data'!$A$4</f>
        <v>TEST YEAR ENDING DECEMBER 31, 2021</v>
      </c>
    </row>
    <row r="5" spans="1:1" ht="12.75">
      <c r="A5" s="190" t="str">
        <f>CONCATENATE("SPONSOR: ",'[3]Schedule Sponsors'!$D$84)</f>
        <v>SPONSOR: B. L. CLUTTER</v>
      </c>
    </row>
    <row r="6" spans="5:14" ht="12.75">
      <c r="E6" s="170"/>
      <c r="F6" s="170"/>
      <c r="G6" s="170"/>
      <c r="H6" s="170"/>
      <c r="I6" s="170"/>
      <c r="J6" s="300"/>
      <c r="K6" s="806"/>
      <c r="L6" s="806"/>
      <c r="M6" s="806"/>
      <c r="N6" s="806"/>
    </row>
    <row r="10" spans="1:21" s="191" customFormat="1" ht="38.25">
      <c r="A10" s="807" t="s">
        <v>485</v>
      </c>
      <c r="B10" s="343" t="s">
        <v>486</v>
      </c>
      <c r="C10" s="807" t="s">
        <v>50</v>
      </c>
      <c r="D10" s="807" t="s">
        <v>487</v>
      </c>
      <c r="E10" s="807" t="s">
        <v>488</v>
      </c>
      <c r="F10" s="343" t="s">
        <v>74</v>
      </c>
      <c r="G10" s="807" t="s">
        <v>489</v>
      </c>
      <c r="H10" s="807" t="s">
        <v>490</v>
      </c>
      <c r="I10" s="807" t="s">
        <v>71</v>
      </c>
      <c r="J10" s="343" t="s">
        <v>322</v>
      </c>
      <c r="K10" s="343" t="s">
        <v>208</v>
      </c>
      <c r="L10" s="807" t="s">
        <v>633</v>
      </c>
      <c r="M10" s="807" t="s">
        <v>634</v>
      </c>
      <c r="N10" s="807" t="s">
        <v>635</v>
      </c>
      <c r="O10" s="343" t="s">
        <v>209</v>
      </c>
      <c r="P10" s="807" t="s">
        <v>636</v>
      </c>
      <c r="Q10" s="807" t="s">
        <v>637</v>
      </c>
      <c r="R10" s="343" t="s">
        <v>203</v>
      </c>
      <c r="S10" s="343" t="s">
        <v>291</v>
      </c>
      <c r="T10" s="343" t="s">
        <v>78</v>
      </c>
      <c r="U10" s="808"/>
    </row>
    <row r="11" spans="2:20" s="195" customFormat="1" ht="12.75">
      <c r="B11" s="195" t="s">
        <v>237</v>
      </c>
      <c r="C11" s="195" t="s">
        <v>238</v>
      </c>
      <c r="D11" s="195" t="s">
        <v>239</v>
      </c>
      <c r="E11" s="195" t="s">
        <v>240</v>
      </c>
      <c r="F11" s="195" t="s">
        <v>241</v>
      </c>
      <c r="G11" s="195" t="s">
        <v>242</v>
      </c>
      <c r="H11" s="195" t="s">
        <v>243</v>
      </c>
      <c r="I11" s="195" t="s">
        <v>244</v>
      </c>
      <c r="J11" s="195" t="s">
        <v>245</v>
      </c>
      <c r="K11" s="195" t="s">
        <v>246</v>
      </c>
      <c r="L11" s="195" t="s">
        <v>247</v>
      </c>
      <c r="M11" s="195" t="s">
        <v>248</v>
      </c>
      <c r="N11" s="195" t="s">
        <v>249</v>
      </c>
      <c r="O11" s="195" t="s">
        <v>250</v>
      </c>
      <c r="P11" s="195" t="s">
        <v>251</v>
      </c>
      <c r="Q11" s="195" t="s">
        <v>148</v>
      </c>
      <c r="R11" s="195" t="s">
        <v>281</v>
      </c>
      <c r="S11" s="195" t="s">
        <v>292</v>
      </c>
      <c r="T11" s="195" t="s">
        <v>293</v>
      </c>
    </row>
    <row r="12" spans="11:21" ht="12.75">
      <c r="K12" s="352"/>
      <c r="L12" s="352"/>
      <c r="M12" s="352"/>
      <c r="N12" s="352"/>
      <c r="U12" s="127"/>
    </row>
    <row r="13" spans="1:22" ht="12.75">
      <c r="A13" s="353">
        <v>1</v>
      </c>
      <c r="B13" s="353">
        <v>2021</v>
      </c>
      <c r="C13" s="114">
        <v>19256413603.880005</v>
      </c>
      <c r="D13" s="114">
        <v>12065110413.68</v>
      </c>
      <c r="E13" s="114">
        <v>261551389.30000001</v>
      </c>
      <c r="F13" s="809" t="s">
        <v>686</v>
      </c>
      <c r="G13" s="114">
        <v>244714599.89999998</v>
      </c>
      <c r="H13" s="810">
        <f>+E13/D13</f>
        <v>0.02167832538054857</v>
      </c>
      <c r="I13" s="810" t="s">
        <v>687</v>
      </c>
      <c r="J13" s="195" t="s">
        <v>377</v>
      </c>
      <c r="K13" s="114">
        <f>ROUND(+$E13*'[5]II-F Alloc_Factor'!E$19,2)</f>
        <v>112615303.01000001</v>
      </c>
      <c r="L13" s="114">
        <f>ROUND(+$E13*'[5]II-F Alloc_Factor'!F$19,2)</f>
        <v>17533690.890000001</v>
      </c>
      <c r="M13" s="114">
        <f>ROUND(+$E13*'[5]II-F Alloc_Factor'!G$19,2)</f>
        <v>143672.60999999999</v>
      </c>
      <c r="N13" s="114">
        <f>SUM(K13:M13)</f>
        <v>130292666.51000001</v>
      </c>
      <c r="O13" s="114">
        <f>ROUND(+$E13*'[5]II-F Alloc_Factor'!I$19,2)</f>
        <v>122129548.89</v>
      </c>
      <c r="P13" s="114">
        <f>ROUND(+$E13*'[5]II-F Alloc_Factor'!J$19,2)</f>
        <v>1433828.53</v>
      </c>
      <c r="Q13" s="114">
        <f>SUM(O13:P13)</f>
        <v>123563377.42</v>
      </c>
      <c r="R13" s="114">
        <f>ROUND(+$E13*'[5]II-F Alloc_Factor'!L$19,2)</f>
        <v>4153473.6600000001</v>
      </c>
      <c r="S13" s="114">
        <f>+E13-N13-Q13-R13</f>
        <v>3541871.7100000046</v>
      </c>
      <c r="T13" s="114">
        <f>+N13+Q13+R13+S13</f>
        <v>261551389.30000001</v>
      </c>
      <c r="U13" s="811">
        <f>+T13-E13</f>
        <v>0</v>
      </c>
      <c r="V13" s="650" t="b">
        <f>ROUND(+E13,2)=ROUND(T13,2)</f>
        <v>1</v>
      </c>
    </row>
    <row r="14" spans="1:22" ht="12.75">
      <c r="A14" s="353">
        <f>1+A13</f>
        <v>2</v>
      </c>
      <c r="E14" s="261"/>
      <c r="K14" s="352"/>
      <c r="L14" s="352"/>
      <c r="M14" s="352"/>
      <c r="N14" s="352"/>
      <c r="U14" s="811"/>
      <c r="V14" s="263"/>
    </row>
    <row r="15" spans="1:22" ht="12.75">
      <c r="A15" s="353">
        <f t="shared" si="0" ref="A15:A21">1+A14</f>
        <v>3</v>
      </c>
      <c r="B15" s="348">
        <v>2020</v>
      </c>
      <c r="C15" s="114">
        <v>17562738888.519989</v>
      </c>
      <c r="D15" s="114">
        <v>10999896065.139999</v>
      </c>
      <c r="E15" s="114">
        <v>242922936.24000001</v>
      </c>
      <c r="F15" s="809" t="s">
        <v>686</v>
      </c>
      <c r="G15" s="114">
        <v>224420856.72</v>
      </c>
      <c r="H15" s="810">
        <f>+E15/D15</f>
        <v>0.0220841119590077</v>
      </c>
      <c r="I15" s="810" t="s">
        <v>687</v>
      </c>
      <c r="J15" s="195" t="s">
        <v>377</v>
      </c>
      <c r="K15" s="114">
        <f>ROUND(+$E15*'[5]II-F Alloc_Factor'!E$19,2)</f>
        <v>104594512.56</v>
      </c>
      <c r="L15" s="114">
        <f>ROUND(+$E15*'[5]II-F Alloc_Factor'!F$19,2)</f>
        <v>16284890.27</v>
      </c>
      <c r="M15" s="114">
        <f>ROUND(+$E15*'[5]II-F Alloc_Factor'!G$19,2)</f>
        <v>133439.82999999999</v>
      </c>
      <c r="N15" s="114">
        <f>SUM(K15:M15)</f>
        <v>121012842.66</v>
      </c>
      <c r="O15" s="114">
        <f>ROUND(+$E15*'[5]II-F Alloc_Factor'!I$19,2)</f>
        <v>113431126.08</v>
      </c>
      <c r="P15" s="114">
        <f>ROUND(+$E15*'[5]II-F Alloc_Factor'!J$19,2)</f>
        <v>1331707.0800000001</v>
      </c>
      <c r="Q15" s="114">
        <f>SUM(O15:P15)</f>
        <v>114762833.16</v>
      </c>
      <c r="R15" s="114">
        <f>ROUND(+$E15*'[5]II-F Alloc_Factor'!L$19,2)</f>
        <v>3857651.1499999999</v>
      </c>
      <c r="S15" s="114">
        <f>+E15-N15-Q15-R15</f>
        <v>3289609.2700000168</v>
      </c>
      <c r="T15" s="114">
        <f>+N15+Q15+R15+S15</f>
        <v>242922936.24000001</v>
      </c>
      <c r="U15" s="811">
        <f>+T15-E15</f>
        <v>0</v>
      </c>
      <c r="V15" s="650" t="b">
        <f>ROUND(+E15,2)=ROUND(T15,2)</f>
        <v>1</v>
      </c>
    </row>
    <row r="16" spans="1:22" ht="12.75">
      <c r="A16" s="353">
        <f t="shared" si="0"/>
        <v>4</v>
      </c>
      <c r="C16" s="114"/>
      <c r="D16" s="114"/>
      <c r="E16" s="114"/>
      <c r="F16" s="114"/>
      <c r="G16" s="114"/>
      <c r="H16" s="114"/>
      <c r="I16" s="114"/>
      <c r="J16" s="198"/>
      <c r="K16" s="114"/>
      <c r="L16" s="114"/>
      <c r="M16" s="114"/>
      <c r="N16" s="114"/>
      <c r="O16" s="114"/>
      <c r="P16" s="114"/>
      <c r="Q16" s="114"/>
      <c r="R16" s="114"/>
      <c r="S16" s="114"/>
      <c r="T16" s="114"/>
      <c r="U16" s="811"/>
      <c r="V16" s="263"/>
    </row>
    <row r="17" spans="1:22" ht="12.75">
      <c r="A17" s="353">
        <f t="shared" si="0"/>
        <v>5</v>
      </c>
      <c r="B17" s="353">
        <v>2019</v>
      </c>
      <c r="C17" s="114">
        <v>14540553492.33</v>
      </c>
      <c r="D17" s="114">
        <v>8569866754.3000002</v>
      </c>
      <c r="E17" s="114">
        <v>195214945.53999999</v>
      </c>
      <c r="F17" s="809" t="s">
        <v>686</v>
      </c>
      <c r="G17" s="114">
        <v>183853113.82999998</v>
      </c>
      <c r="H17" s="810">
        <f>+E17/D17</f>
        <v>0.022779227628253299</v>
      </c>
      <c r="I17" s="810" t="s">
        <v>687</v>
      </c>
      <c r="J17" s="195" t="s">
        <v>798</v>
      </c>
      <c r="K17" s="114">
        <f>ROUND(+$E17*'[5]II-F Alloc_Factor'!E$40,2)</f>
        <v>90625111.450000003</v>
      </c>
      <c r="L17" s="114">
        <f>ROUND(+$E17*'[5]II-F Alloc_Factor'!F$40,2)</f>
        <v>0</v>
      </c>
      <c r="M17" s="114">
        <f>ROUND(+$E17*'[5]II-F Alloc_Factor'!G$40,2)</f>
        <v>115617.92</v>
      </c>
      <c r="N17" s="114">
        <f>SUM(K17:M17)</f>
        <v>90740729.370000005</v>
      </c>
      <c r="O17" s="114">
        <f>ROUND(+$E17*'[5]II-F Alloc_Factor'!I$40,2)</f>
        <v>98281527.319999993</v>
      </c>
      <c r="P17" s="114">
        <f>ROUND(+$E17*'[5]II-F Alloc_Factor'!J$40,2)</f>
        <v>0</v>
      </c>
      <c r="Q17" s="114">
        <f>SUM(O17:P17)</f>
        <v>98281527.319999993</v>
      </c>
      <c r="R17" s="114">
        <f>ROUND(+$E17*'[5]II-F Alloc_Factor'!L$40,2)</f>
        <v>3342432.1899999999</v>
      </c>
      <c r="S17" s="114">
        <f>+E17-N17-Q17-R17</f>
        <v>2850256.6599999941</v>
      </c>
      <c r="T17" s="114">
        <f>+N17+Q17+R17+S17</f>
        <v>195214945.53999999</v>
      </c>
      <c r="U17" s="811">
        <f>+T17-E17</f>
        <v>0</v>
      </c>
      <c r="V17" s="650" t="b">
        <f>ROUND(+E17,2)=ROUND(T17,2)</f>
        <v>1</v>
      </c>
    </row>
    <row r="18" spans="1:22" ht="12.75">
      <c r="A18" s="353">
        <f t="shared" si="0"/>
        <v>6</v>
      </c>
      <c r="B18" s="353"/>
      <c r="C18" s="114"/>
      <c r="D18" s="114"/>
      <c r="E18" s="114"/>
      <c r="F18" s="114"/>
      <c r="G18" s="114"/>
      <c r="H18" s="114"/>
      <c r="I18" s="114"/>
      <c r="J18" s="198"/>
      <c r="K18" s="114"/>
      <c r="L18" s="114"/>
      <c r="M18" s="114"/>
      <c r="N18" s="114"/>
      <c r="O18" s="114"/>
      <c r="P18" s="114"/>
      <c r="Q18" s="114"/>
      <c r="R18" s="114"/>
      <c r="S18" s="114"/>
      <c r="T18" s="114"/>
      <c r="U18" s="811"/>
      <c r="V18" s="263"/>
    </row>
    <row r="19" spans="1:22" ht="12.75">
      <c r="A19" s="353">
        <f t="shared" si="0"/>
        <v>7</v>
      </c>
      <c r="B19" s="353">
        <v>2018</v>
      </c>
      <c r="C19" s="114">
        <v>13383630868.599999</v>
      </c>
      <c r="D19" s="114">
        <v>7655988653.3299999</v>
      </c>
      <c r="E19" s="114">
        <v>183024248.28</v>
      </c>
      <c r="F19" s="809" t="s">
        <v>686</v>
      </c>
      <c r="G19" s="114">
        <v>176462620.64000002</v>
      </c>
      <c r="H19" s="810">
        <f>+E19/D19</f>
        <v>0.023906023972539842</v>
      </c>
      <c r="I19" s="810" t="s">
        <v>687</v>
      </c>
      <c r="J19" s="195" t="s">
        <v>798</v>
      </c>
      <c r="K19" s="114">
        <f>ROUND(+$E19*'[5]II-F Alloc_Factor'!E$40,2)</f>
        <v>84965794.260000005</v>
      </c>
      <c r="L19" s="114">
        <f>ROUND(+$E19*'[5]II-F Alloc_Factor'!F$40,2)</f>
        <v>0</v>
      </c>
      <c r="M19" s="114">
        <f>ROUND(+$E19*'[5]II-F Alloc_Factor'!G$40,2)</f>
        <v>108397.86</v>
      </c>
      <c r="N19" s="114">
        <f>SUM(K19:M19)</f>
        <v>85074192.120000005</v>
      </c>
      <c r="O19" s="114">
        <f>ROUND(+$E19*'[5]II-F Alloc_Factor'!I$40,2)</f>
        <v>92144085.629999995</v>
      </c>
      <c r="P19" s="114">
        <f>ROUND(+$E19*'[5]II-F Alloc_Factor'!J$40,2)</f>
        <v>0</v>
      </c>
      <c r="Q19" s="114">
        <f>SUM(O19:P19)</f>
        <v>92144085.629999995</v>
      </c>
      <c r="R19" s="114">
        <f>ROUND(+$E19*'[5]II-F Alloc_Factor'!L$40,2)</f>
        <v>3133705.4500000002</v>
      </c>
      <c r="S19" s="114">
        <f>+E19-N19-Q19-R19</f>
        <v>2672265.080000001</v>
      </c>
      <c r="T19" s="114">
        <f>+N19+Q19+R19+S19</f>
        <v>183024248.28</v>
      </c>
      <c r="U19" s="811">
        <f>+T19-E19</f>
        <v>0</v>
      </c>
      <c r="V19" s="650" t="b">
        <f>ROUND(+E19,2)=ROUND(T19,2)</f>
        <v>1</v>
      </c>
    </row>
    <row r="20" spans="1:22" ht="12.75">
      <c r="A20" s="353">
        <f t="shared" si="0"/>
        <v>8</v>
      </c>
      <c r="B20" s="353"/>
      <c r="C20" s="114"/>
      <c r="D20" s="114"/>
      <c r="E20" s="114"/>
      <c r="F20" s="114"/>
      <c r="G20" s="114"/>
      <c r="H20" s="114"/>
      <c r="I20" s="114"/>
      <c r="J20" s="195"/>
      <c r="K20" s="114"/>
      <c r="L20" s="114"/>
      <c r="M20" s="114"/>
      <c r="N20" s="114"/>
      <c r="O20" s="114"/>
      <c r="P20" s="114"/>
      <c r="Q20" s="114"/>
      <c r="R20" s="114"/>
      <c r="S20" s="114"/>
      <c r="T20" s="114"/>
      <c r="U20" s="811"/>
      <c r="V20" s="263"/>
    </row>
    <row r="21" spans="1:22" ht="12.75">
      <c r="A21" s="353">
        <f t="shared" si="0"/>
        <v>9</v>
      </c>
      <c r="B21" s="353">
        <v>2017</v>
      </c>
      <c r="C21" s="114">
        <v>12762247834.550001</v>
      </c>
      <c r="D21" s="114">
        <v>7458101328.3100004</v>
      </c>
      <c r="E21" s="114">
        <v>176353211.22</v>
      </c>
      <c r="F21" s="809" t="s">
        <v>686</v>
      </c>
      <c r="G21" s="114">
        <v>168478302.01000002</v>
      </c>
      <c r="H21" s="810">
        <f>+E21/D21</f>
        <v>0.023645858839512642</v>
      </c>
      <c r="I21" s="810" t="s">
        <v>687</v>
      </c>
      <c r="J21" s="195" t="s">
        <v>798</v>
      </c>
      <c r="K21" s="114">
        <f>ROUND(+$E21*'[5]II-F Alloc_Factor'!E$40,2)</f>
        <v>81868882.409999996</v>
      </c>
      <c r="L21" s="114">
        <f>ROUND(+$E21*'[5]II-F Alloc_Factor'!F$40,2)</f>
        <v>0</v>
      </c>
      <c r="M21" s="114">
        <f>ROUND(+$E21*'[5]II-F Alloc_Factor'!G$40,2)</f>
        <v>104446.87</v>
      </c>
      <c r="N21" s="114">
        <f>SUM(K21:M21)</f>
        <v>81973329.280000001</v>
      </c>
      <c r="O21" s="114">
        <f>ROUND(+$E21*'[5]II-F Alloc_Factor'!I$40,2)</f>
        <v>88785532.780000001</v>
      </c>
      <c r="P21" s="114">
        <f>ROUND(+$E21*'[5]II-F Alloc_Factor'!J$40,2)</f>
        <v>0</v>
      </c>
      <c r="Q21" s="114">
        <f>SUM(O21:P21)</f>
        <v>88785532.780000001</v>
      </c>
      <c r="R21" s="114">
        <f>ROUND(+$E21*'[5]II-F Alloc_Factor'!L$40,2)</f>
        <v>3019485.2599999998</v>
      </c>
      <c r="S21" s="114">
        <f>+E21-N21-Q21-R21</f>
        <v>2574863.8999999966</v>
      </c>
      <c r="T21" s="114">
        <f>+N21+Q21+R21+S21</f>
        <v>176353211.22</v>
      </c>
      <c r="U21" s="811">
        <f>+T21-E21</f>
        <v>0</v>
      </c>
      <c r="V21" s="650" t="b">
        <f>ROUND(+E21,2)=ROUND(T21,2)</f>
        <v>1</v>
      </c>
    </row>
    <row r="22" spans="1:21" ht="12.75">
      <c r="A22" s="353"/>
      <c r="J22" s="114"/>
      <c r="K22" s="114"/>
      <c r="L22" s="114"/>
      <c r="M22" s="114"/>
      <c r="N22" s="114"/>
      <c r="O22" s="114"/>
      <c r="P22" s="114"/>
      <c r="Q22" s="114"/>
      <c r="R22" s="114"/>
      <c r="S22" s="114"/>
      <c r="T22" s="114"/>
      <c r="U22" s="127"/>
    </row>
    <row r="23" spans="11:21" ht="12.75">
      <c r="K23" s="352"/>
      <c r="L23" s="352"/>
      <c r="M23" s="352"/>
      <c r="N23" s="352"/>
      <c r="U23" s="127"/>
    </row>
    <row r="24" spans="2:21" ht="12.75">
      <c r="B24" s="352" t="s">
        <v>685</v>
      </c>
      <c r="K24" s="352"/>
      <c r="L24" s="352"/>
      <c r="M24" s="352"/>
      <c r="N24" s="352"/>
      <c r="U24" s="127"/>
    </row>
    <row r="25" spans="2:21" ht="12.75">
      <c r="B25" s="197" t="s">
        <v>1000</v>
      </c>
      <c r="K25" s="352"/>
      <c r="L25" s="352"/>
      <c r="M25" s="352"/>
      <c r="N25" s="352"/>
      <c r="R25" s="197"/>
      <c r="U25" s="127"/>
    </row>
    <row r="26" spans="2:21" ht="12.75">
      <c r="B26" s="194" t="s">
        <v>57</v>
      </c>
      <c r="K26" s="352"/>
      <c r="L26" s="352"/>
      <c r="M26" s="352"/>
      <c r="N26" s="352"/>
      <c r="U26" s="127"/>
    </row>
    <row r="27" spans="2:21" ht="12.75">
      <c r="B27" s="352" t="s">
        <v>491</v>
      </c>
      <c r="K27" s="352"/>
      <c r="L27" s="352"/>
      <c r="M27" s="352"/>
      <c r="N27" s="352"/>
      <c r="U27" s="127"/>
    </row>
    <row r="28" spans="2:21" ht="12.75">
      <c r="B28" s="352" t="s">
        <v>492</v>
      </c>
      <c r="F28" s="261"/>
      <c r="G28" s="321"/>
      <c r="H28" s="812"/>
      <c r="I28" s="410"/>
      <c r="K28" s="352"/>
      <c r="L28" s="352"/>
      <c r="M28" s="352"/>
      <c r="N28" s="352"/>
      <c r="U28" s="127"/>
    </row>
    <row r="29" spans="2:21" ht="12.75">
      <c r="B29" s="352" t="s">
        <v>493</v>
      </c>
      <c r="F29" s="261"/>
      <c r="G29" s="321"/>
      <c r="H29" s="812"/>
      <c r="K29" s="352"/>
      <c r="L29" s="352"/>
      <c r="M29" s="352"/>
      <c r="N29" s="352"/>
      <c r="U29" s="127"/>
    </row>
    <row r="30" spans="2:21" ht="12.75">
      <c r="B30" s="352" t="s">
        <v>494</v>
      </c>
      <c r="F30" s="261"/>
      <c r="G30" s="321"/>
      <c r="H30" s="812"/>
      <c r="K30" s="352"/>
      <c r="L30" s="352"/>
      <c r="M30" s="352"/>
      <c r="N30" s="352"/>
      <c r="U30" s="127"/>
    </row>
    <row r="31" spans="6:21" ht="12.75">
      <c r="F31" s="261"/>
      <c r="G31" s="321"/>
      <c r="H31" s="812"/>
      <c r="K31" s="352"/>
      <c r="L31" s="352"/>
      <c r="M31" s="352"/>
      <c r="N31" s="352"/>
      <c r="U31" s="127"/>
    </row>
    <row r="32" spans="11:21" ht="12.75">
      <c r="K32" s="352"/>
      <c r="L32" s="352"/>
      <c r="M32" s="352"/>
      <c r="N32" s="352"/>
      <c r="U32" s="127"/>
    </row>
    <row r="33" spans="11:21" ht="12.75">
      <c r="K33" s="352"/>
      <c r="L33" s="352"/>
      <c r="M33" s="352"/>
      <c r="N33" s="352"/>
      <c r="U33" s="127"/>
    </row>
    <row r="34" spans="11:21" ht="12.75">
      <c r="K34" s="352"/>
      <c r="L34" s="352"/>
      <c r="M34" s="352"/>
      <c r="N34" s="352"/>
      <c r="U34" s="127"/>
    </row>
    <row r="35" spans="11:21" ht="12.75">
      <c r="K35" s="352"/>
      <c r="L35" s="352"/>
      <c r="M35" s="352"/>
      <c r="N35" s="352"/>
      <c r="U35" s="127"/>
    </row>
    <row r="36" spans="11:21" ht="12.75">
      <c r="K36" s="352"/>
      <c r="L36" s="352"/>
      <c r="M36" s="352"/>
      <c r="N36" s="352"/>
      <c r="U36" s="127"/>
    </row>
    <row r="37" spans="11:21" ht="12.75">
      <c r="K37" s="352"/>
      <c r="L37" s="352"/>
      <c r="M37" s="352"/>
      <c r="N37" s="352"/>
      <c r="U37" s="127"/>
    </row>
    <row r="38" spans="11:21" ht="12.75">
      <c r="K38" s="352"/>
      <c r="L38" s="352"/>
      <c r="M38" s="352"/>
      <c r="N38" s="352"/>
      <c r="U38" s="127"/>
    </row>
    <row r="39" spans="11:21" ht="12.75">
      <c r="K39" s="352"/>
      <c r="L39" s="352"/>
      <c r="M39" s="352"/>
      <c r="N39" s="352"/>
      <c r="U39" s="127"/>
    </row>
    <row r="40" spans="11:21" ht="12.75">
      <c r="K40" s="352"/>
      <c r="L40" s="352"/>
      <c r="M40" s="352"/>
      <c r="N40" s="352"/>
      <c r="U40" s="127"/>
    </row>
    <row r="41" spans="11:21" ht="12.75">
      <c r="K41" s="352"/>
      <c r="L41" s="352"/>
      <c r="M41" s="352"/>
      <c r="N41" s="352"/>
      <c r="U41" s="127"/>
    </row>
    <row r="42" spans="11:21" ht="12.75">
      <c r="K42" s="352"/>
      <c r="L42" s="352"/>
      <c r="M42" s="352"/>
      <c r="N42" s="352"/>
      <c r="U42" s="127"/>
    </row>
    <row r="43" spans="11:21" ht="12.75">
      <c r="K43" s="352"/>
      <c r="L43" s="352"/>
      <c r="M43" s="352"/>
      <c r="N43" s="352"/>
      <c r="U43" s="127"/>
    </row>
  </sheetData>
  <printOptions horizontalCentered="1"/>
  <pageMargins left="0.5" right="0.5" top="3" bottom="0.5" header="1.5" footer="0.5"/>
  <pageSetup orientation="landscape" pageOrder="overThenDown" scale="52" r:id="rId1"/>
  <headerFooter alignWithMargins="0">
    <oddHeader>&amp;C&amp;B
2022 RATE CASE
ONCOR ELECTRIC DELIVERY COMPANY LLC
II-E-2.1  AD VALOREM TAXES &amp;&amp; PLANT BALANCES
TEST YEAR ENDING DECEMBER 31, 2021
SPONSOR: B. L. CLUTTER&amp;R&amp;"Arial,Bold"Schedule II-E-2.1
Page &amp;P of &amp;N</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0">
    <tabColor rgb="FF92D050"/>
    <pageSetUpPr fitToPage="1"/>
  </sheetPr>
  <dimension ref="A1:E57"/>
  <sheetViews>
    <sheetView zoomScale="85" zoomScaleNormal="85" workbookViewId="0" topLeftCell="A1">
      <selection pane="topLeft" activeCell="A7" sqref="A7"/>
    </sheetView>
  </sheetViews>
  <sheetFormatPr defaultColWidth="9.14428571428571" defaultRowHeight="12.75"/>
  <cols>
    <col min="1" max="1" width="5.28571428571429" style="115" customWidth="1"/>
    <col min="2" max="2" width="51.1428571428571" style="115" customWidth="1"/>
    <col min="3" max="3" width="22.4285714285714" style="115" customWidth="1"/>
    <col min="4" max="4" width="20.8571428571429" style="115" customWidth="1"/>
    <col min="5" max="16384" width="9.14285714285714" style="115"/>
  </cols>
  <sheetData>
    <row r="1" spans="1:1" ht="12.75">
      <c r="A1" s="108" t="str">
        <f>+'[3]Input Data'!$A$9</f>
        <v>2022 RATE CASE</v>
      </c>
    </row>
    <row r="2" spans="1:4" ht="12.75">
      <c r="A2" s="167" t="str">
        <f>+'[3]Input Data'!$A$2</f>
        <v>ONCOR ELECTRIC DELIVERY COMPANY LLC</v>
      </c>
      <c r="B2" s="254"/>
      <c r="D2" s="255"/>
    </row>
    <row r="3" spans="1:4" ht="12.75">
      <c r="A3" s="168" t="str">
        <f>CONCATENATE('[3]Schedule Sponsors'!$A$85,'[3]Schedule Sponsors'!$B$85," - TAX METHOD 1")</f>
        <v>II-E-3   FEDERAL INCOME TAXES - TAX METHOD 1</v>
      </c>
      <c r="D3" s="255"/>
    </row>
    <row r="4" spans="1:1" ht="12.75">
      <c r="A4" s="168" t="str">
        <f>+'[3]Input Data'!$A$4</f>
        <v>TEST YEAR ENDING DECEMBER 31, 2021</v>
      </c>
    </row>
    <row r="5" spans="1:4" ht="12.75">
      <c r="A5" s="166" t="str">
        <f>CONCATENATE("SPONSOR: ",'[3]Schedule Sponsors'!$D$85)</f>
        <v>SPONSOR: B. L. CLUTTER</v>
      </c>
      <c r="D5" s="255"/>
    </row>
    <row r="6" spans="2:4" ht="12.75">
      <c r="B6" s="256"/>
      <c r="C6" s="256"/>
      <c r="D6" s="256"/>
    </row>
    <row r="7" spans="2:4" ht="12.75">
      <c r="B7" s="256"/>
      <c r="C7" s="256"/>
      <c r="D7" s="256"/>
    </row>
    <row r="8" spans="2:4" ht="12.75">
      <c r="B8" s="256"/>
      <c r="C8" s="256"/>
      <c r="D8" s="256"/>
    </row>
    <row r="9" spans="2:4" ht="13.5" thickBot="1">
      <c r="B9" s="256"/>
      <c r="C9" s="256"/>
      <c r="D9" s="256"/>
    </row>
    <row r="10" spans="1:4" s="194" customFormat="1" ht="12.75">
      <c r="A10" s="265" t="s">
        <v>252</v>
      </c>
      <c r="B10" s="257"/>
      <c r="C10" s="257"/>
      <c r="D10" s="257"/>
    </row>
    <row r="11" spans="1:4" s="258" customFormat="1" ht="12.75">
      <c r="A11" s="266" t="s">
        <v>147</v>
      </c>
      <c r="B11" s="266" t="s">
        <v>69</v>
      </c>
      <c r="C11" s="266" t="s">
        <v>253</v>
      </c>
      <c r="D11" s="266" t="s">
        <v>254</v>
      </c>
    </row>
    <row r="12" spans="1:4" s="352" customFormat="1" ht="13.5" thickBot="1">
      <c r="A12" s="267"/>
      <c r="B12" s="267" t="s">
        <v>237</v>
      </c>
      <c r="C12" s="267" t="s">
        <v>238</v>
      </c>
      <c r="D12" s="267" t="s">
        <v>239</v>
      </c>
    </row>
    <row r="13" spans="1:4" s="352" customFormat="1" ht="12.75">
      <c r="A13" s="259"/>
      <c r="B13" s="259"/>
      <c r="C13" s="259"/>
      <c r="D13" s="259"/>
    </row>
    <row r="14" spans="1:4" s="352" customFormat="1" ht="12.75">
      <c r="A14" s="353">
        <v>1</v>
      </c>
      <c r="B14" s="352" t="s">
        <v>166</v>
      </c>
      <c r="C14" s="804">
        <f>+'II-E-3'!E17</f>
        <v>1202002647.0699999</v>
      </c>
      <c r="D14" s="804">
        <f>+'II-E-3'!I17</f>
        <v>1326522950.5</v>
      </c>
    </row>
    <row r="15" spans="1:4" s="352" customFormat="1" ht="12.75">
      <c r="A15" s="353">
        <f>A14+1</f>
        <v>2</v>
      </c>
      <c r="C15" s="114"/>
      <c r="D15" s="114"/>
    </row>
    <row r="16" spans="1:4" s="352" customFormat="1" ht="12.75">
      <c r="A16" s="353">
        <f t="shared" si="0" ref="A16:A53">A15+1</f>
        <v>3</v>
      </c>
      <c r="B16" s="352" t="s">
        <v>255</v>
      </c>
      <c r="C16" s="114"/>
      <c r="D16" s="114"/>
    </row>
    <row r="17" spans="1:4" s="352" customFormat="1" ht="12.75">
      <c r="A17" s="353">
        <f t="shared" si="0"/>
        <v>4</v>
      </c>
      <c r="B17" s="352" t="s">
        <v>210</v>
      </c>
      <c r="C17" s="114">
        <f>+'II-E-3'!E20</f>
        <v>412784752.89999998</v>
      </c>
      <c r="D17" s="114">
        <f>+'II-E-3'!I20</f>
        <v>453463873.85999995</v>
      </c>
    </row>
    <row r="18" spans="1:4" s="352" customFormat="1" ht="12.75">
      <c r="A18" s="353">
        <f t="shared" si="0"/>
        <v>5</v>
      </c>
      <c r="B18" s="146" t="s">
        <v>224</v>
      </c>
      <c r="C18" s="114">
        <f>+'II-E-3'!E21</f>
        <v>1174249.98</v>
      </c>
      <c r="D18" s="114">
        <f>+'II-E-3'!I21</f>
        <v>771634.71999999997</v>
      </c>
    </row>
    <row r="19" spans="1:4" s="352" customFormat="1" ht="12.75">
      <c r="A19" s="353">
        <f t="shared" si="0"/>
        <v>6</v>
      </c>
      <c r="B19" s="146" t="s">
        <v>647</v>
      </c>
      <c r="C19" s="114">
        <f>+'II-E-3'!E22</f>
        <v>22126156.32</v>
      </c>
      <c r="D19" s="114">
        <f>+'II-E-3'!I22</f>
        <v>16233757.32</v>
      </c>
    </row>
    <row r="20" spans="1:4" s="352" customFormat="1" ht="12.75">
      <c r="A20" s="353">
        <f t="shared" si="0"/>
        <v>7</v>
      </c>
      <c r="B20" s="146" t="s">
        <v>648</v>
      </c>
      <c r="C20" s="114">
        <f>+'II-E-3'!E23</f>
        <v>30159720</v>
      </c>
      <c r="D20" s="114">
        <f>+'II-E-3'!I23</f>
        <v>36089806.799999997</v>
      </c>
    </row>
    <row r="21" spans="1:4" s="352" customFormat="1" ht="12.75">
      <c r="A21" s="353">
        <f t="shared" si="0"/>
        <v>8</v>
      </c>
      <c r="B21" s="146" t="s">
        <v>649</v>
      </c>
      <c r="C21" s="114">
        <f>+'II-E-3'!E24</f>
        <v>0</v>
      </c>
      <c r="D21" s="114">
        <f>+'II-E-3'!I24</f>
        <v>-1608928.6000000001</v>
      </c>
    </row>
    <row r="22" spans="1:4" s="352" customFormat="1" ht="12.75">
      <c r="A22" s="353">
        <f t="shared" si="0"/>
        <v>9</v>
      </c>
      <c r="B22" s="146" t="s">
        <v>1115</v>
      </c>
      <c r="C22" s="114">
        <f>+'II-E-3'!E25</f>
        <v>352219</v>
      </c>
      <c r="D22" s="114">
        <f>+'II-E-3'!I25</f>
        <v>503170</v>
      </c>
    </row>
    <row r="23" spans="1:4" s="352" customFormat="1" ht="12.75">
      <c r="A23" s="353">
        <f t="shared" si="0"/>
        <v>10</v>
      </c>
      <c r="B23" s="352" t="s">
        <v>386</v>
      </c>
      <c r="C23" s="114">
        <f>+'II-E-3'!E26</f>
        <v>120366.49000000001</v>
      </c>
      <c r="D23" s="114">
        <f>+'II-E-3'!I26</f>
        <v>120366.49000000001</v>
      </c>
    </row>
    <row r="24" spans="1:4" s="352" customFormat="1" ht="12.75">
      <c r="A24" s="353">
        <f t="shared" si="0"/>
        <v>11</v>
      </c>
      <c r="C24" s="359">
        <f>SUM(C17:C23)</f>
        <v>466717464.69</v>
      </c>
      <c r="D24" s="359">
        <f>SUM(D17:D23)</f>
        <v>505573680.58999997</v>
      </c>
    </row>
    <row r="25" spans="1:4" s="352" customFormat="1" ht="12.75">
      <c r="A25" s="353">
        <f t="shared" si="0"/>
        <v>12</v>
      </c>
      <c r="C25" s="114"/>
      <c r="D25" s="114"/>
    </row>
    <row r="26" spans="1:4" s="352" customFormat="1" ht="12.75">
      <c r="A26" s="353">
        <f t="shared" si="0"/>
        <v>13</v>
      </c>
      <c r="B26" s="352" t="s">
        <v>256</v>
      </c>
      <c r="C26" s="114"/>
      <c r="D26" s="114"/>
    </row>
    <row r="27" spans="1:4" s="352" customFormat="1" ht="12.75">
      <c r="A27" s="353">
        <f t="shared" si="0"/>
        <v>14</v>
      </c>
      <c r="B27" s="352" t="s">
        <v>395</v>
      </c>
      <c r="C27" s="114">
        <f>+'II-E-3'!E31</f>
        <v>280766.15000000002</v>
      </c>
      <c r="D27" s="114">
        <f>+'II-E-3'!I31</f>
        <v>280766.15000000002</v>
      </c>
    </row>
    <row r="28" spans="1:4" s="352" customFormat="1" ht="12.75">
      <c r="A28" s="353">
        <f t="shared" si="0"/>
        <v>15</v>
      </c>
      <c r="B28" s="352" t="s">
        <v>480</v>
      </c>
      <c r="C28" s="114">
        <f>+'II-E-3'!E32</f>
        <v>1697686.1399999999</v>
      </c>
      <c r="D28" s="114">
        <f>+'II-E-3'!I32</f>
        <v>1697686.1399999999</v>
      </c>
    </row>
    <row r="29" spans="1:4" s="352" customFormat="1" ht="12.75">
      <c r="A29" s="353">
        <f t="shared" si="0"/>
        <v>16</v>
      </c>
      <c r="B29" s="352" t="s">
        <v>416</v>
      </c>
      <c r="C29" s="114">
        <f>+'II-E-3'!E33</f>
        <v>207160</v>
      </c>
      <c r="D29" s="114">
        <f>+'II-E-3'!I33</f>
        <v>0</v>
      </c>
    </row>
    <row r="30" spans="1:4" s="352" customFormat="1" ht="12.75">
      <c r="A30" s="353">
        <f t="shared" si="0"/>
        <v>17</v>
      </c>
      <c r="B30" s="581" t="s">
        <v>646</v>
      </c>
      <c r="C30" s="114">
        <f>+'II-E-3'!E34</f>
        <v>1420342.1399999999</v>
      </c>
      <c r="D30" s="114">
        <f>+'II-E-3'!I34</f>
        <v>1420342.1399999999</v>
      </c>
    </row>
    <row r="31" spans="1:4" s="352" customFormat="1" ht="12.75">
      <c r="A31" s="353">
        <f t="shared" si="0"/>
        <v>18</v>
      </c>
      <c r="B31" s="352" t="s">
        <v>60</v>
      </c>
      <c r="C31" s="114">
        <f>+'II-E-3'!E35</f>
        <v>-4969701.4299999997</v>
      </c>
      <c r="D31" s="114">
        <f>+'II-E-3'!I35</f>
        <v>-4969701.4299999997</v>
      </c>
    </row>
    <row r="32" spans="1:4" s="352" customFormat="1" ht="12.75">
      <c r="A32" s="353">
        <f t="shared" si="0"/>
        <v>19</v>
      </c>
      <c r="B32" s="241" t="s">
        <v>1001</v>
      </c>
      <c r="C32" s="114">
        <f>+'II-E-3'!E36</f>
        <v>13309</v>
      </c>
      <c r="D32" s="114">
        <f>+'II-E-3'!I36</f>
        <v>0</v>
      </c>
    </row>
    <row r="33" spans="1:4" s="352" customFormat="1" ht="12.75">
      <c r="A33" s="353">
        <f t="shared" si="0"/>
        <v>20</v>
      </c>
      <c r="B33" s="352" t="s">
        <v>36</v>
      </c>
      <c r="C33" s="114">
        <f>+'II-E-3'!E37</f>
        <v>-294581.10999999999</v>
      </c>
      <c r="D33" s="114">
        <f>+'II-E-3'!I37</f>
        <v>0</v>
      </c>
    </row>
    <row r="34" spans="1:5" s="352" customFormat="1" ht="12.75">
      <c r="A34" s="353">
        <f t="shared" si="0"/>
        <v>21</v>
      </c>
      <c r="C34" s="359">
        <f>SUM(C27:C33)</f>
        <v>-1645019.1099999999</v>
      </c>
      <c r="D34" s="359">
        <f>SUM(D27:D33)</f>
        <v>-1570907</v>
      </c>
      <c r="E34" s="114"/>
    </row>
    <row r="35" spans="1:4" s="352" customFormat="1" ht="12.75">
      <c r="A35" s="353">
        <f t="shared" si="0"/>
        <v>22</v>
      </c>
      <c r="C35" s="114"/>
      <c r="D35" s="114"/>
    </row>
    <row r="36" spans="1:4" s="352" customFormat="1" ht="12.75">
      <c r="A36" s="353">
        <f t="shared" si="0"/>
        <v>23</v>
      </c>
      <c r="B36" s="352" t="s">
        <v>169</v>
      </c>
      <c r="C36" s="114">
        <f>+C14-C24+C34</f>
        <v>733640163.26999986</v>
      </c>
      <c r="D36" s="114">
        <f>+D14-D24+D34</f>
        <v>819378362.91000009</v>
      </c>
    </row>
    <row r="37" spans="1:4" s="352" customFormat="1" ht="12.75">
      <c r="A37" s="353">
        <f t="shared" si="0"/>
        <v>24</v>
      </c>
      <c r="B37" s="352" t="s">
        <v>170</v>
      </c>
      <c r="C37" s="260">
        <f>(1/0.79)*0.21</f>
        <v>0.26582278481012656</v>
      </c>
      <c r="D37" s="260">
        <f>(1/0.79)*0.21</f>
        <v>0.26582278481012656</v>
      </c>
    </row>
    <row r="38" spans="1:4" s="352" customFormat="1" ht="12.75">
      <c r="A38" s="353">
        <f t="shared" si="0"/>
        <v>25</v>
      </c>
      <c r="C38" s="114"/>
      <c r="D38" s="114"/>
    </row>
    <row r="39" spans="1:4" s="352" customFormat="1" ht="12.75">
      <c r="A39" s="353">
        <f t="shared" si="0"/>
        <v>26</v>
      </c>
      <c r="B39" s="352" t="s">
        <v>1195</v>
      </c>
      <c r="C39" s="114">
        <f>ROUND(+C36*C37,2)</f>
        <v>195018271.25</v>
      </c>
      <c r="D39" s="114">
        <f>ROUND(+D36*D37,2)</f>
        <v>217809438.24000001</v>
      </c>
    </row>
    <row r="40" spans="1:4" s="352" customFormat="1" ht="12.75">
      <c r="A40" s="353">
        <f t="shared" si="0"/>
        <v>27</v>
      </c>
      <c r="C40" s="114"/>
      <c r="D40" s="114"/>
    </row>
    <row r="41" spans="1:4" s="352" customFormat="1" ht="12.75">
      <c r="A41" s="353">
        <f t="shared" si="0"/>
        <v>28</v>
      </c>
      <c r="B41" s="352" t="s">
        <v>1290</v>
      </c>
      <c r="C41" s="114"/>
      <c r="D41" s="114"/>
    </row>
    <row r="42" spans="1:4" s="352" customFormat="1" ht="12.75">
      <c r="A42" s="353">
        <f t="shared" si="0"/>
        <v>29</v>
      </c>
      <c r="B42" s="146" t="s">
        <v>224</v>
      </c>
      <c r="C42" s="114">
        <f>+'II-E-3'!E45</f>
        <v>1174249.98</v>
      </c>
      <c r="D42" s="114">
        <f>+'II-E-3'!I45</f>
        <v>771634.71999999997</v>
      </c>
    </row>
    <row r="43" spans="1:4" s="352" customFormat="1" ht="12.75">
      <c r="A43" s="353">
        <f t="shared" si="0"/>
        <v>30</v>
      </c>
      <c r="B43" s="146" t="s">
        <v>647</v>
      </c>
      <c r="C43" s="114">
        <f>+'II-E-3'!E46</f>
        <v>22126156.32</v>
      </c>
      <c r="D43" s="114">
        <f>+'II-E-3'!I46</f>
        <v>16233757.32</v>
      </c>
    </row>
    <row r="44" spans="1:4" s="352" customFormat="1" ht="12.75">
      <c r="A44" s="353">
        <f t="shared" si="0"/>
        <v>31</v>
      </c>
      <c r="B44" s="146" t="s">
        <v>648</v>
      </c>
      <c r="C44" s="114">
        <f>+'II-E-3'!E47</f>
        <v>30159720</v>
      </c>
      <c r="D44" s="114">
        <f>+'II-E-3'!I47</f>
        <v>36089806.799999997</v>
      </c>
    </row>
    <row r="45" spans="1:4" s="352" customFormat="1" ht="12.75">
      <c r="A45" s="353">
        <f t="shared" si="0"/>
        <v>32</v>
      </c>
      <c r="B45" s="146" t="s">
        <v>649</v>
      </c>
      <c r="C45" s="114">
        <f>+'II-E-3'!E48</f>
        <v>0</v>
      </c>
      <c r="D45" s="114">
        <f>+'II-E-3'!I48</f>
        <v>-1608928.6000000001</v>
      </c>
    </row>
    <row r="46" spans="1:4" s="352" customFormat="1" ht="12.75">
      <c r="A46" s="353">
        <f t="shared" si="0"/>
        <v>33</v>
      </c>
      <c r="B46" s="146" t="s">
        <v>1115</v>
      </c>
      <c r="C46" s="114">
        <f>+'II-E-3'!E49</f>
        <v>352219</v>
      </c>
      <c r="D46" s="114">
        <f>+'II-E-3'!I49</f>
        <v>503170</v>
      </c>
    </row>
    <row r="47" spans="1:4" s="352" customFormat="1" ht="12.75">
      <c r="A47" s="353">
        <f t="shared" si="0"/>
        <v>34</v>
      </c>
      <c r="B47" s="146"/>
      <c r="C47" s="114"/>
      <c r="D47" s="114"/>
    </row>
    <row r="48" spans="1:4" s="352" customFormat="1" ht="12.75">
      <c r="A48" s="353">
        <f t="shared" si="0"/>
        <v>35</v>
      </c>
      <c r="B48" s="352" t="s">
        <v>256</v>
      </c>
      <c r="C48" s="114"/>
      <c r="D48" s="114"/>
    </row>
    <row r="49" spans="1:4" s="352" customFormat="1" ht="12.75">
      <c r="A49" s="353">
        <f t="shared" si="0"/>
        <v>36</v>
      </c>
      <c r="B49" s="352" t="s">
        <v>395</v>
      </c>
      <c r="C49" s="114">
        <f>+'II-E-3'!E52</f>
        <v>280766.15000000002</v>
      </c>
      <c r="D49" s="114">
        <f>+'II-E-3'!I52</f>
        <v>280766.15000000002</v>
      </c>
    </row>
    <row r="50" spans="1:4" s="352" customFormat="1" ht="12.75">
      <c r="A50" s="353">
        <f t="shared" si="0"/>
        <v>37</v>
      </c>
      <c r="B50" s="241" t="s">
        <v>1001</v>
      </c>
      <c r="C50" s="114">
        <f>+'II-E-3'!E53</f>
        <v>13309</v>
      </c>
      <c r="D50" s="114">
        <f>+'II-E-3'!I53</f>
        <v>0</v>
      </c>
    </row>
    <row r="51" spans="1:4" s="352" customFormat="1" ht="12.75">
      <c r="A51" s="353">
        <f t="shared" si="0"/>
        <v>38</v>
      </c>
      <c r="B51" s="352" t="s">
        <v>36</v>
      </c>
      <c r="C51" s="114">
        <f>C33</f>
        <v>-294581.10999999999</v>
      </c>
      <c r="D51" s="114">
        <f>+'II-E-3'!I54</f>
        <v>0</v>
      </c>
    </row>
    <row r="52" spans="1:4" s="352" customFormat="1" ht="12.75">
      <c r="A52" s="353">
        <f t="shared" si="0"/>
        <v>39</v>
      </c>
      <c r="C52" s="114"/>
      <c r="D52" s="114"/>
    </row>
    <row r="53" spans="1:4" s="352" customFormat="1" ht="13.5" thickBot="1">
      <c r="A53" s="353">
        <f t="shared" si="0"/>
        <v>40</v>
      </c>
      <c r="B53" s="352" t="s">
        <v>257</v>
      </c>
      <c r="C53" s="805">
        <f>C39-SUM(C42:C46)+SUM(C49:C51)</f>
        <v>141205419.98999998</v>
      </c>
      <c r="D53" s="805">
        <f>D39-SUM(D42:D46)+SUM(D49:D51)</f>
        <v>166100764.15000001</v>
      </c>
    </row>
    <row r="54" s="352" customFormat="1" ht="13.5" thickTop="1"/>
    <row r="55" spans="3:5" s="352" customFormat="1" ht="12.75">
      <c r="C55" s="262">
        <f>+'II-E-3'!E55</f>
        <v>141205419.98999998</v>
      </c>
      <c r="D55" s="262">
        <f>+'II-E-3'!I55</f>
        <v>166100764.15000001</v>
      </c>
      <c r="E55" s="263" t="s">
        <v>417</v>
      </c>
    </row>
    <row r="56" spans="3:4" s="352" customFormat="1" ht="12.75">
      <c r="C56" s="264">
        <f>C55-C53</f>
        <v>0</v>
      </c>
      <c r="D56" s="264">
        <f>+D53-D55</f>
        <v>0</v>
      </c>
    </row>
    <row r="57" spans="3:4" ht="12.75">
      <c r="C57" s="264"/>
      <c r="D57" s="264"/>
    </row>
  </sheetData>
  <pageMargins left="1.5" right="0.5" top="2.5" bottom="0.5" header="1" footer="0.5"/>
  <pageSetup orientation="portrait" pageOrder="overThenDown" scale="84" r:id="rId1"/>
  <headerFooter alignWithMargins="0">
    <oddHeader>&amp;C&amp;B
2022 RATE CASE
ONCOR ELECTRIC DELIVERY COMPANY LLC
II-E-3   FEDERAL INCOME TAXES - TAX METHOD 1
TEST YEAR ENDING DECEMBER 31, 2021
SPONSOR: B. L. CLUTTER&amp;R&amp;"Arial,Bold"Schedule &amp;A
Page &amp;P of &amp;N</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
    <tabColor rgb="FFFF0000"/>
  </sheetPr>
  <dimension ref="A1:Y136"/>
  <sheetViews>
    <sheetView tabSelected="1" zoomScale="80" zoomScaleNormal="80" workbookViewId="0" topLeftCell="A1">
      <pane xSplit="3" ySplit="13" topLeftCell="D17" activePane="bottomRight" state="frozen"/>
      <selection pane="topLeft" activeCell="U22" sqref="U22:V24"/>
      <selection pane="bottomLeft" activeCell="U22" sqref="U22:V24"/>
      <selection pane="topRight" activeCell="U22" sqref="U22:V24"/>
      <selection pane="bottomRight" activeCell="D14" sqref="D14"/>
    </sheetView>
  </sheetViews>
  <sheetFormatPr defaultColWidth="9.14428571428571" defaultRowHeight="12.75"/>
  <cols>
    <col min="1" max="1" width="5.71428571428571" style="173" customWidth="1"/>
    <col min="2" max="2" width="8.85714285714286" style="205" customWidth="1"/>
    <col min="3" max="3" width="44.4285714285714" style="205" customWidth="1"/>
    <col min="4" max="4" width="14.1428571428571" style="206" customWidth="1"/>
    <col min="5" max="9" width="17.7142857142857" style="205" customWidth="1"/>
    <col min="10" max="10" width="13.7142857142857" style="205" customWidth="1"/>
    <col min="11" max="11" width="17.7142857142857" style="207" customWidth="1"/>
    <col min="12" max="12" width="5.71428571428571" style="205" customWidth="1"/>
    <col min="13" max="13" width="16.8571428571429" style="207" bestFit="1" customWidth="1"/>
    <col min="14" max="14" width="22.7142857142857" style="205" bestFit="1" customWidth="1"/>
    <col min="15" max="15" width="17.7142857142857" style="205" customWidth="1"/>
    <col min="16" max="16" width="12.8571428571429" style="205" bestFit="1" customWidth="1"/>
    <col min="17" max="23" width="17.7142857142857" style="205" customWidth="1"/>
    <col min="24" max="24" width="8.14285714285714" style="208" bestFit="1" customWidth="1"/>
    <col min="25" max="25" width="7.14285714285714" style="209" bestFit="1" customWidth="1"/>
    <col min="26" max="16384" width="9.14285714285714" style="205"/>
  </cols>
  <sheetData>
    <row r="1" spans="1:1" ht="12.75">
      <c r="A1" s="204" t="str">
        <f>+'[3]Input Data'!$A$9</f>
        <v>2022 RATE CASE</v>
      </c>
    </row>
    <row r="2" spans="1:23" ht="12.75">
      <c r="A2" s="167" t="str">
        <f>+'[3]Input Data'!$A$2</f>
        <v>ONCOR ELECTRIC DELIVERY COMPANY LLC</v>
      </c>
      <c r="B2" s="173"/>
      <c r="C2" s="173"/>
      <c r="D2" s="204"/>
      <c r="E2" s="173"/>
      <c r="F2" s="210"/>
      <c r="G2" s="173"/>
      <c r="H2" s="173"/>
      <c r="I2" s="173"/>
      <c r="J2" s="173"/>
      <c r="K2" s="211"/>
      <c r="L2" s="173"/>
      <c r="M2" s="211"/>
      <c r="N2" s="143"/>
      <c r="O2" s="146"/>
      <c r="P2" s="146"/>
      <c r="Q2" s="146"/>
      <c r="R2" s="173"/>
      <c r="S2" s="173"/>
      <c r="T2" s="173"/>
      <c r="U2" s="173"/>
      <c r="V2" s="173"/>
      <c r="W2" s="173"/>
    </row>
    <row r="3" spans="1:23" ht="12.75">
      <c r="A3" s="168" t="str">
        <f>CONCATENATE('[3]Schedule Sponsors'!$A$85,'[3]Schedule Sponsors'!$B$85)</f>
        <v>II-E-3   FEDERAL INCOME TAXES</v>
      </c>
      <c r="B3" s="143"/>
      <c r="D3" s="204"/>
      <c r="E3" s="212"/>
      <c r="F3" s="213"/>
      <c r="G3" s="173"/>
      <c r="H3" s="173"/>
      <c r="I3" s="173"/>
      <c r="J3" s="173"/>
      <c r="K3" s="211"/>
      <c r="L3" s="173"/>
      <c r="M3" s="211"/>
      <c r="N3" s="197"/>
      <c r="O3" s="197"/>
      <c r="P3" s="197"/>
      <c r="Q3" s="197"/>
      <c r="R3" s="173"/>
      <c r="S3" s="173"/>
      <c r="T3" s="173"/>
      <c r="U3" s="173"/>
      <c r="V3" s="173"/>
      <c r="W3" s="173"/>
    </row>
    <row r="4" spans="1:23" ht="12.75">
      <c r="A4" s="168" t="str">
        <f>+'[3]Input Data'!$A$4</f>
        <v>TEST YEAR ENDING DECEMBER 31, 2021</v>
      </c>
      <c r="B4" s="143"/>
      <c r="D4" s="204"/>
      <c r="E4" s="212"/>
      <c r="F4" s="213"/>
      <c r="G4" s="173"/>
      <c r="H4" s="724"/>
      <c r="I4" s="173"/>
      <c r="J4" s="173"/>
      <c r="K4" s="211"/>
      <c r="L4" s="173"/>
      <c r="M4" s="211"/>
      <c r="N4" s="214"/>
      <c r="O4" s="214"/>
      <c r="P4" s="214"/>
      <c r="Q4" s="214"/>
      <c r="R4" s="173"/>
      <c r="S4" s="173"/>
      <c r="T4" s="173"/>
      <c r="U4" s="173"/>
      <c r="V4" s="173"/>
      <c r="W4" s="173"/>
    </row>
    <row r="5" spans="1:23" ht="12.75">
      <c r="A5" s="166" t="str">
        <f>CONCATENATE("SPONSOR: ",'[3]Schedule Sponsors'!$D$85)</f>
        <v>SPONSOR: B. L. CLUTTER</v>
      </c>
      <c r="B5" s="143"/>
      <c r="D5" s="204"/>
      <c r="E5" s="724"/>
      <c r="F5" s="173"/>
      <c r="G5" s="173"/>
      <c r="H5" s="173"/>
      <c r="I5" s="173"/>
      <c r="J5" s="173"/>
      <c r="K5" s="211"/>
      <c r="L5" s="173"/>
      <c r="M5" s="211"/>
      <c r="N5" s="173"/>
      <c r="O5" s="173"/>
      <c r="P5" s="173"/>
      <c r="Q5" s="173"/>
      <c r="R5" s="173"/>
      <c r="S5" s="173"/>
      <c r="T5" s="173"/>
      <c r="U5" s="173"/>
      <c r="V5" s="173"/>
      <c r="W5" s="173"/>
    </row>
    <row r="6" spans="2:23" ht="12.75">
      <c r="B6" s="143"/>
      <c r="D6" s="204"/>
      <c r="E6" s="212"/>
      <c r="F6" s="173"/>
      <c r="G6" s="173"/>
      <c r="H6" s="724"/>
      <c r="I6" s="173"/>
      <c r="J6" s="173"/>
      <c r="K6" s="211"/>
      <c r="L6" s="173"/>
      <c r="M6" s="211"/>
      <c r="N6" s="173"/>
      <c r="O6" s="173"/>
      <c r="P6" s="173"/>
      <c r="Q6" s="173"/>
      <c r="R6" s="173"/>
      <c r="S6" s="173"/>
      <c r="T6" s="173"/>
      <c r="U6" s="173"/>
      <c r="V6" s="173"/>
      <c r="W6" s="173"/>
    </row>
    <row r="7" spans="2:23" ht="12.75">
      <c r="B7" s="143"/>
      <c r="D7" s="204"/>
      <c r="E7" s="212"/>
      <c r="F7" s="212"/>
      <c r="G7" s="173"/>
      <c r="H7" s="724"/>
      <c r="I7" s="212"/>
      <c r="J7" s="173"/>
      <c r="K7" s="211"/>
      <c r="L7" s="173"/>
      <c r="M7" s="211"/>
      <c r="N7" s="173"/>
      <c r="O7" s="173"/>
      <c r="P7" s="173"/>
      <c r="Q7" s="173"/>
      <c r="R7" s="173"/>
      <c r="S7" s="173"/>
      <c r="T7" s="173"/>
      <c r="U7" s="173"/>
      <c r="V7" s="173"/>
      <c r="W7" s="173"/>
    </row>
    <row r="8" spans="2:23" ht="12.75">
      <c r="B8" s="204"/>
      <c r="C8" s="173"/>
      <c r="D8" s="204"/>
      <c r="E8" s="173"/>
      <c r="F8" s="173"/>
      <c r="G8" s="173"/>
      <c r="H8" s="173"/>
      <c r="I8" s="173"/>
      <c r="J8" s="173"/>
      <c r="K8" s="211"/>
      <c r="L8" s="173"/>
      <c r="M8" s="211"/>
      <c r="N8" s="173"/>
      <c r="O8" s="173"/>
      <c r="P8" s="173"/>
      <c r="Q8" s="173"/>
      <c r="R8" s="173"/>
      <c r="S8" s="173"/>
      <c r="T8" s="173"/>
      <c r="U8" s="173"/>
      <c r="V8" s="173"/>
      <c r="W8" s="173"/>
    </row>
    <row r="9" spans="2:23" ht="13.5" thickBot="1">
      <c r="B9" s="173" t="s">
        <v>72</v>
      </c>
      <c r="C9" s="173"/>
      <c r="D9" s="204"/>
      <c r="E9" s="215"/>
      <c r="F9" s="215"/>
      <c r="G9" s="215"/>
      <c r="H9" s="215"/>
      <c r="I9" s="215"/>
      <c r="J9" s="215"/>
      <c r="K9" s="215"/>
      <c r="L9" s="215"/>
      <c r="M9" s="215"/>
      <c r="N9" s="215"/>
      <c r="O9" s="215"/>
      <c r="P9" s="215"/>
      <c r="Q9" s="215"/>
      <c r="R9" s="215"/>
      <c r="S9" s="215"/>
      <c r="T9" s="215"/>
      <c r="U9" s="215"/>
      <c r="V9" s="215"/>
      <c r="W9" s="215"/>
    </row>
    <row r="10" spans="1:25" s="204" customFormat="1" ht="12.75">
      <c r="A10" s="216"/>
      <c r="B10" s="216"/>
      <c r="C10" s="216"/>
      <c r="D10" s="216"/>
      <c r="E10" s="216"/>
      <c r="F10" s="216"/>
      <c r="G10" s="217" t="s">
        <v>66</v>
      </c>
      <c r="H10" s="217" t="s">
        <v>400</v>
      </c>
      <c r="I10" s="217" t="s">
        <v>67</v>
      </c>
      <c r="J10" s="217" t="s">
        <v>84</v>
      </c>
      <c r="K10" s="217" t="s">
        <v>280</v>
      </c>
      <c r="L10" s="216"/>
      <c r="M10" s="217" t="s">
        <v>357</v>
      </c>
      <c r="N10" s="217"/>
      <c r="O10" s="217"/>
      <c r="P10" s="217"/>
      <c r="Q10" s="217"/>
      <c r="R10" s="217"/>
      <c r="S10" s="217"/>
      <c r="T10" s="217"/>
      <c r="U10" s="217"/>
      <c r="V10" s="217"/>
      <c r="W10" s="217"/>
      <c r="X10" s="98"/>
      <c r="Y10" s="532"/>
    </row>
    <row r="11" spans="1:25" s="204" customFormat="1" ht="12.75">
      <c r="A11" s="169" t="s">
        <v>252</v>
      </c>
      <c r="B11" s="169" t="s">
        <v>74</v>
      </c>
      <c r="C11" s="169"/>
      <c r="D11" s="169" t="s">
        <v>71</v>
      </c>
      <c r="E11" s="218" t="s">
        <v>76</v>
      </c>
      <c r="F11" s="169" t="s">
        <v>77</v>
      </c>
      <c r="G11" s="169" t="s">
        <v>68</v>
      </c>
      <c r="H11" s="169" t="s">
        <v>401</v>
      </c>
      <c r="I11" s="169" t="s">
        <v>66</v>
      </c>
      <c r="J11" s="169" t="s">
        <v>280</v>
      </c>
      <c r="K11" s="169" t="s">
        <v>47</v>
      </c>
      <c r="L11" s="169" t="s">
        <v>79</v>
      </c>
      <c r="M11" s="169" t="s">
        <v>80</v>
      </c>
      <c r="N11" s="169"/>
      <c r="O11" s="169" t="s">
        <v>628</v>
      </c>
      <c r="P11" s="169" t="s">
        <v>629</v>
      </c>
      <c r="Q11" s="169" t="s">
        <v>631</v>
      </c>
      <c r="R11" s="169"/>
      <c r="S11" s="169" t="s">
        <v>628</v>
      </c>
      <c r="T11" s="169" t="s">
        <v>631</v>
      </c>
      <c r="U11" s="169"/>
      <c r="V11" s="169"/>
      <c r="W11" s="169"/>
      <c r="X11" s="98"/>
      <c r="Y11" s="532"/>
    </row>
    <row r="12" spans="1:25" s="204" customFormat="1" ht="12.75">
      <c r="A12" s="169" t="s">
        <v>279</v>
      </c>
      <c r="B12" s="169" t="s">
        <v>213</v>
      </c>
      <c r="C12" s="169" t="s">
        <v>69</v>
      </c>
      <c r="D12" s="169" t="s">
        <v>73</v>
      </c>
      <c r="E12" s="218" t="s">
        <v>81</v>
      </c>
      <c r="F12" s="169" t="s">
        <v>82</v>
      </c>
      <c r="G12" s="169" t="s">
        <v>83</v>
      </c>
      <c r="H12" s="169" t="s">
        <v>402</v>
      </c>
      <c r="I12" s="169" t="s">
        <v>68</v>
      </c>
      <c r="J12" s="169" t="s">
        <v>80</v>
      </c>
      <c r="K12" s="169" t="s">
        <v>84</v>
      </c>
      <c r="L12" s="169" t="s">
        <v>85</v>
      </c>
      <c r="M12" s="169" t="s">
        <v>86</v>
      </c>
      <c r="N12" s="169" t="s">
        <v>208</v>
      </c>
      <c r="O12" s="169" t="s">
        <v>208</v>
      </c>
      <c r="P12" s="169" t="s">
        <v>632</v>
      </c>
      <c r="Q12" s="169" t="s">
        <v>208</v>
      </c>
      <c r="R12" s="169" t="s">
        <v>209</v>
      </c>
      <c r="S12" s="169" t="s">
        <v>209</v>
      </c>
      <c r="T12" s="169" t="s">
        <v>209</v>
      </c>
      <c r="U12" s="169" t="s">
        <v>203</v>
      </c>
      <c r="V12" s="169" t="s">
        <v>291</v>
      </c>
      <c r="W12" s="169" t="s">
        <v>78</v>
      </c>
      <c r="X12" s="98"/>
      <c r="Y12" s="532"/>
    </row>
    <row r="13" spans="1:25" s="204" customFormat="1" ht="13.5" thickBot="1">
      <c r="A13" s="219"/>
      <c r="B13" s="220" t="s">
        <v>237</v>
      </c>
      <c r="C13" s="220" t="s">
        <v>238</v>
      </c>
      <c r="D13" s="220" t="s">
        <v>239</v>
      </c>
      <c r="E13" s="220" t="s">
        <v>240</v>
      </c>
      <c r="F13" s="220" t="s">
        <v>241</v>
      </c>
      <c r="G13" s="220" t="s">
        <v>242</v>
      </c>
      <c r="H13" s="220" t="s">
        <v>243</v>
      </c>
      <c r="I13" s="220" t="s">
        <v>244</v>
      </c>
      <c r="J13" s="220" t="s">
        <v>245</v>
      </c>
      <c r="K13" s="220" t="s">
        <v>246</v>
      </c>
      <c r="L13" s="220" t="s">
        <v>247</v>
      </c>
      <c r="M13" s="220" t="s">
        <v>248</v>
      </c>
      <c r="N13" s="220" t="s">
        <v>249</v>
      </c>
      <c r="O13" s="220" t="s">
        <v>250</v>
      </c>
      <c r="P13" s="220" t="s">
        <v>251</v>
      </c>
      <c r="Q13" s="220" t="s">
        <v>148</v>
      </c>
      <c r="R13" s="220" t="s">
        <v>281</v>
      </c>
      <c r="S13" s="220" t="s">
        <v>292</v>
      </c>
      <c r="T13" s="220" t="s">
        <v>293</v>
      </c>
      <c r="U13" s="220" t="s">
        <v>509</v>
      </c>
      <c r="V13" s="220" t="s">
        <v>510</v>
      </c>
      <c r="W13" s="220" t="s">
        <v>511</v>
      </c>
      <c r="X13" s="98"/>
      <c r="Y13" s="532"/>
    </row>
    <row r="14" spans="1:25" s="173" customFormat="1" ht="12.75" customHeight="1">
      <c r="A14" s="221"/>
      <c r="B14" s="221"/>
      <c r="C14" s="221"/>
      <c r="D14" s="222"/>
      <c r="E14" s="221"/>
      <c r="F14" s="221"/>
      <c r="G14" s="221"/>
      <c r="H14" s="221"/>
      <c r="I14" s="221"/>
      <c r="J14" s="221"/>
      <c r="K14" s="223"/>
      <c r="L14" s="221"/>
      <c r="M14" s="223"/>
      <c r="N14" s="221"/>
      <c r="O14" s="221"/>
      <c r="P14" s="221"/>
      <c r="Q14" s="221"/>
      <c r="R14" s="221"/>
      <c r="S14" s="221"/>
      <c r="T14" s="221"/>
      <c r="U14" s="221"/>
      <c r="V14" s="221"/>
      <c r="W14" s="221"/>
      <c r="X14" s="224"/>
      <c r="Y14" s="225"/>
    </row>
    <row r="15" spans="1:25" s="193" customFormat="1" ht="12.75">
      <c r="A15" s="226">
        <v>1</v>
      </c>
      <c r="B15" s="43" t="s">
        <v>165</v>
      </c>
      <c r="D15" s="170"/>
      <c r="E15" s="200"/>
      <c r="F15" s="200"/>
      <c r="G15" s="200"/>
      <c r="H15" s="200"/>
      <c r="I15" s="200"/>
      <c r="J15" s="200"/>
      <c r="L15" s="200"/>
      <c r="M15" s="170"/>
      <c r="N15" s="200"/>
      <c r="O15" s="200"/>
      <c r="P15" s="200"/>
      <c r="Q15" s="200"/>
      <c r="R15" s="200"/>
      <c r="S15" s="200"/>
      <c r="T15" s="200"/>
      <c r="U15" s="200"/>
      <c r="V15" s="200"/>
      <c r="W15" s="200"/>
      <c r="X15" s="227"/>
      <c r="Y15" s="228"/>
    </row>
    <row r="16" spans="1:25" s="146" customFormat="1" ht="12.75">
      <c r="A16" s="226">
        <f>+A15+1</f>
        <v>2</v>
      </c>
      <c r="D16" s="170"/>
      <c r="E16" s="144"/>
      <c r="F16" s="144"/>
      <c r="G16" s="144"/>
      <c r="H16" s="144"/>
      <c r="I16" s="144"/>
      <c r="J16" s="144"/>
      <c r="K16" s="226"/>
      <c r="L16" s="144"/>
      <c r="M16" s="226"/>
      <c r="N16" s="144"/>
      <c r="O16" s="384"/>
      <c r="P16" s="384"/>
      <c r="Q16" s="384"/>
      <c r="R16" s="144"/>
      <c r="S16" s="384"/>
      <c r="T16" s="384"/>
      <c r="U16" s="144"/>
      <c r="V16" s="384"/>
      <c r="W16" s="144"/>
      <c r="X16" s="229"/>
      <c r="Y16" s="230"/>
    </row>
    <row r="17" spans="1:25" s="193" customFormat="1" ht="12.75">
      <c r="A17" s="226">
        <f t="shared" si="0" ref="A17:A55">+A16+1</f>
        <v>3</v>
      </c>
      <c r="C17" s="231" t="s">
        <v>166</v>
      </c>
      <c r="D17" s="170" t="s">
        <v>394</v>
      </c>
      <c r="E17" s="470">
        <f>+ROUND('[2]Ret &amp; Int'!$D$23,2)</f>
        <v>1202002647.0699999</v>
      </c>
      <c r="F17" s="470">
        <v>0</v>
      </c>
      <c r="G17" s="470">
        <f>SUM(E17:F17)</f>
        <v>1202002647.0699999</v>
      </c>
      <c r="H17" s="470">
        <f>ROUND(+'[2]Ret &amp; Int'!$E$23,2)</f>
        <v>124520303.43000001</v>
      </c>
      <c r="I17" s="470">
        <f>+G17+H17</f>
        <v>1326522950.5</v>
      </c>
      <c r="J17" s="232">
        <v>1</v>
      </c>
      <c r="K17" s="470">
        <f>+I17*J17</f>
        <v>1326522950.5</v>
      </c>
      <c r="L17" s="200"/>
      <c r="M17" s="333" t="s">
        <v>408</v>
      </c>
      <c r="N17" s="470">
        <f>ROUND(+'[2]Ret &amp; Int'!G23,2)</f>
        <v>547364294.51999998</v>
      </c>
      <c r="O17" s="470">
        <f>ROUND(+'[2]Ret &amp; Int'!H23,2)</f>
        <v>88352433.239999995</v>
      </c>
      <c r="P17" s="470">
        <f>ROUND(+'[2]Ret &amp; Int'!I23,2)</f>
        <v>684771.01000000001</v>
      </c>
      <c r="Q17" s="470">
        <f>SUM(N17:P17)</f>
        <v>636401498.76999998</v>
      </c>
      <c r="R17" s="470">
        <f>ROUND(+'[2]Ret &amp; Int'!K23,2)</f>
        <v>638839835.46000004</v>
      </c>
      <c r="S17" s="470">
        <f>ROUND(+'[2]Ret &amp; Int'!L23,2)</f>
        <v>7120941.7300000004</v>
      </c>
      <c r="T17" s="470">
        <f>SUM(R17:S17)</f>
        <v>645960777.19000006</v>
      </c>
      <c r="U17" s="470">
        <f>ROUND(+'[2]Ret &amp; Int'!N23,2)</f>
        <v>29703069.879999999</v>
      </c>
      <c r="V17" s="470">
        <f>+K17-Q17-T17-U17</f>
        <v>14457604.659999963</v>
      </c>
      <c r="W17" s="470">
        <f>+Q17+T17+U17+V17</f>
        <v>1326522950.5</v>
      </c>
      <c r="X17" s="235" t="b">
        <f>+K17=W17</f>
        <v>1</v>
      </c>
      <c r="Y17" s="230">
        <f>+K17-W17</f>
        <v>0</v>
      </c>
    </row>
    <row r="18" spans="1:25" s="146" customFormat="1" ht="12.75">
      <c r="A18" s="226">
        <f t="shared" si="0"/>
        <v>4</v>
      </c>
      <c r="D18" s="170"/>
      <c r="E18" s="384"/>
      <c r="F18" s="384"/>
      <c r="G18" s="384"/>
      <c r="H18" s="384"/>
      <c r="I18" s="384"/>
      <c r="J18" s="232"/>
      <c r="K18" s="226"/>
      <c r="L18" s="384"/>
      <c r="M18" s="226"/>
      <c r="N18" s="384"/>
      <c r="O18" s="384"/>
      <c r="P18" s="384"/>
      <c r="Q18" s="384"/>
      <c r="R18" s="384"/>
      <c r="S18" s="384"/>
      <c r="T18" s="384"/>
      <c r="U18" s="384"/>
      <c r="V18" s="384"/>
      <c r="W18" s="384"/>
      <c r="X18" s="229"/>
      <c r="Y18" s="230"/>
    </row>
    <row r="19" spans="1:25" s="146" customFormat="1" ht="12.75">
      <c r="A19" s="226">
        <f t="shared" si="0"/>
        <v>5</v>
      </c>
      <c r="C19" s="193" t="s">
        <v>167</v>
      </c>
      <c r="D19" s="170"/>
      <c r="E19" s="384"/>
      <c r="F19" s="384"/>
      <c r="G19" s="384"/>
      <c r="H19" s="384"/>
      <c r="I19" s="384"/>
      <c r="J19" s="232"/>
      <c r="K19" s="226"/>
      <c r="L19" s="384"/>
      <c r="M19" s="226"/>
      <c r="N19" s="384"/>
      <c r="O19" s="384"/>
      <c r="P19" s="384"/>
      <c r="Q19" s="384"/>
      <c r="R19" s="384"/>
      <c r="S19" s="384"/>
      <c r="T19" s="384"/>
      <c r="U19" s="384"/>
      <c r="V19" s="384"/>
      <c r="W19" s="384"/>
      <c r="X19" s="229"/>
      <c r="Y19" s="230"/>
    </row>
    <row r="20" spans="1:25" s="146" customFormat="1" ht="12.75">
      <c r="A20" s="226">
        <f t="shared" si="0"/>
        <v>6</v>
      </c>
      <c r="C20" s="146" t="s">
        <v>210</v>
      </c>
      <c r="D20" s="191" t="s">
        <v>999</v>
      </c>
      <c r="E20" s="470">
        <f>ROUND(+'[2]Ret &amp; Int'!$D$26,2)</f>
        <v>412784752.89999998</v>
      </c>
      <c r="F20" s="470">
        <v>0</v>
      </c>
      <c r="G20" s="470">
        <f t="shared" si="1" ref="G20:G26">SUM(E20:F20)</f>
        <v>412784752.89999998</v>
      </c>
      <c r="H20" s="470">
        <f>ROUND(+'[2]Ret &amp; Int'!$E$26,2)</f>
        <v>40679120.960000001</v>
      </c>
      <c r="I20" s="470">
        <f t="shared" si="2" ref="I20:I26">+G20+H20</f>
        <v>453463873.85999995</v>
      </c>
      <c r="J20" s="232">
        <v>1</v>
      </c>
      <c r="K20" s="233">
        <f t="shared" si="3" ref="K20:K26">+I20*J20</f>
        <v>453463873.85999995</v>
      </c>
      <c r="L20" s="384"/>
      <c r="M20" s="333" t="s">
        <v>408</v>
      </c>
      <c r="N20" s="773">
        <f>ROUND(,2)+'[2]Ret &amp; Int'!G26</f>
        <v>187113184.37000001</v>
      </c>
      <c r="O20" s="470">
        <f>ROUND(,2)+'[2]Ret &amp; Int'!H26</f>
        <v>30202746.68</v>
      </c>
      <c r="P20" s="470">
        <f>ROUND(,2)+'[2]Ret &amp; Int'!I26</f>
        <v>234084.84</v>
      </c>
      <c r="Q20" s="470">
        <f t="shared" si="4" ref="Q20:Q26">SUM(N20:P20)</f>
        <v>217550015.89000002</v>
      </c>
      <c r="R20" s="470">
        <f>ROUND(,2)+'[2]Ret &amp; Int'!K26</f>
        <v>218383546.59</v>
      </c>
      <c r="S20" s="470">
        <f>ROUND(,2)+'[2]Ret &amp; Int'!L26</f>
        <v>2434251</v>
      </c>
      <c r="T20" s="470">
        <f t="shared" si="5" ref="T20:T26">SUM(R20:S20)</f>
        <v>220817797.59</v>
      </c>
      <c r="U20" s="470">
        <f>ROUND(,2)+'[2]Ret &amp; Int'!N26</f>
        <v>10153815.380000001</v>
      </c>
      <c r="V20" s="470">
        <f>+K20-Q20-T20-U20</f>
        <v>4942244.9999999348</v>
      </c>
      <c r="W20" s="470">
        <f t="shared" si="6" ref="W20:W26">+Q20+T20+U20+V20</f>
        <v>453463873.85999995</v>
      </c>
      <c r="X20" s="235" t="b">
        <f>+K20=W20</f>
        <v>1</v>
      </c>
      <c r="Y20" s="230">
        <f>+K20-W20</f>
        <v>0</v>
      </c>
    </row>
    <row r="21" spans="1:25" s="146" customFormat="1" ht="12.75">
      <c r="A21" s="226">
        <f t="shared" si="0"/>
        <v>7</v>
      </c>
      <c r="C21" s="146" t="s">
        <v>224</v>
      </c>
      <c r="D21" s="191" t="s">
        <v>1286</v>
      </c>
      <c r="E21" s="426">
        <f>-ROUND('[2]Op ETR'!$G$37,2)</f>
        <v>1174249.98</v>
      </c>
      <c r="F21" s="426">
        <v>0</v>
      </c>
      <c r="G21" s="426">
        <f t="shared" si="1"/>
        <v>1174249.98</v>
      </c>
      <c r="H21" s="426">
        <f>771634.72-G21</f>
        <v>-402615.26000000001</v>
      </c>
      <c r="I21" s="426">
        <f t="shared" si="2"/>
        <v>771634.71999999997</v>
      </c>
      <c r="J21" s="232">
        <v>1</v>
      </c>
      <c r="K21" s="426">
        <f t="shared" si="3"/>
        <v>771634.71999999997</v>
      </c>
      <c r="L21" s="384"/>
      <c r="M21" s="333" t="s">
        <v>408</v>
      </c>
      <c r="N21" s="556">
        <v>580486.72999999998</v>
      </c>
      <c r="O21" s="556">
        <v>0</v>
      </c>
      <c r="P21" s="556">
        <v>0</v>
      </c>
      <c r="Q21" s="556">
        <f>SUM(N21:P21)</f>
        <v>580486.72999999998</v>
      </c>
      <c r="R21" s="556">
        <v>191147.98999999999</v>
      </c>
      <c r="S21" s="556">
        <v>0</v>
      </c>
      <c r="T21" s="556">
        <f>SUM(R21:S21)</f>
        <v>191147.98999999999</v>
      </c>
      <c r="U21" s="556">
        <v>0</v>
      </c>
      <c r="V21" s="556">
        <v>0</v>
      </c>
      <c r="W21" s="556">
        <f>+Q21+T21+U21+V21</f>
        <v>771634.71999999997</v>
      </c>
      <c r="X21" s="235" t="b">
        <f>+K21=W21</f>
        <v>1</v>
      </c>
      <c r="Y21" s="230">
        <f>+K21-W21</f>
        <v>0</v>
      </c>
    </row>
    <row r="22" spans="1:25" s="146" customFormat="1" ht="12.75">
      <c r="A22" s="226">
        <f t="shared" si="0"/>
        <v>8</v>
      </c>
      <c r="C22" s="146" t="s">
        <v>647</v>
      </c>
      <c r="D22" s="191" t="s">
        <v>1285</v>
      </c>
      <c r="E22" s="426">
        <f>-ROUND('[2]Op ETR'!$G$31,2)</f>
        <v>22126156.32</v>
      </c>
      <c r="F22" s="426">
        <v>0</v>
      </c>
      <c r="G22" s="426">
        <f t="shared" si="1"/>
        <v>22126156.32</v>
      </c>
      <c r="H22" s="426">
        <f>ROUND(+'II-E-3.18'!F19,2)</f>
        <v>-5892399</v>
      </c>
      <c r="I22" s="426">
        <f t="shared" si="2"/>
        <v>16233757.32</v>
      </c>
      <c r="J22" s="232">
        <v>1</v>
      </c>
      <c r="K22" s="426">
        <f t="shared" si="3"/>
        <v>16233757.32</v>
      </c>
      <c r="L22" s="384"/>
      <c r="M22" s="333" t="s">
        <v>408</v>
      </c>
      <c r="N22" s="426">
        <f>+'II-E-3.18'!M19</f>
        <v>6577848.7800000003</v>
      </c>
      <c r="O22" s="426">
        <f>+'II-E-3.18'!N19</f>
        <v>1908396.6699999999</v>
      </c>
      <c r="P22" s="426">
        <f>+'II-E-3.18'!O19</f>
        <v>8391.8999999999996</v>
      </c>
      <c r="Q22" s="426">
        <f t="shared" si="4"/>
        <v>8494637.3499999996</v>
      </c>
      <c r="R22" s="426">
        <f>+'II-E-3.18'!Q19</f>
        <v>7133574.9500000002</v>
      </c>
      <c r="S22" s="426">
        <f>+'II-E-3.18'!R19</f>
        <v>156060.32999999999</v>
      </c>
      <c r="T22" s="426">
        <f t="shared" si="5"/>
        <v>7289635.2800000003</v>
      </c>
      <c r="U22" s="426">
        <f>+'II-E-3.18'!T19</f>
        <v>242603.98999999999</v>
      </c>
      <c r="V22" s="426">
        <f>+K22-Q22-T22-U22</f>
        <v>206880.70000000042</v>
      </c>
      <c r="W22" s="426">
        <f>+Q22+T22+U22+V22</f>
        <v>16233757.32</v>
      </c>
      <c r="X22" s="235" t="b">
        <f>+K22=W22</f>
        <v>1</v>
      </c>
      <c r="Y22" s="230">
        <f>+K22-W22</f>
        <v>0</v>
      </c>
    </row>
    <row r="23" spans="1:25" s="146" customFormat="1" ht="12.75">
      <c r="A23" s="226">
        <f t="shared" si="0"/>
        <v>9</v>
      </c>
      <c r="C23" s="146" t="s">
        <v>648</v>
      </c>
      <c r="D23" s="191" t="s">
        <v>1285</v>
      </c>
      <c r="E23" s="426">
        <f>-ROUND('[2]Op ETR'!$G$32,2)</f>
        <v>30159720</v>
      </c>
      <c r="F23" s="426">
        <v>0</v>
      </c>
      <c r="G23" s="426">
        <f t="shared" si="1"/>
        <v>30159720</v>
      </c>
      <c r="H23" s="426">
        <f>ROUND(+'II-E-3.18'!F22+'II-E-3.18'!F23+'II-E-3.18'!F25+'II-E-3.18'!F26,2)</f>
        <v>5930086.7999999998</v>
      </c>
      <c r="I23" s="426">
        <f t="shared" si="2"/>
        <v>36089806.799999997</v>
      </c>
      <c r="J23" s="232">
        <v>1</v>
      </c>
      <c r="K23" s="426">
        <f t="shared" si="3"/>
        <v>36089806.799999997</v>
      </c>
      <c r="L23" s="384"/>
      <c r="M23" s="333" t="s">
        <v>408</v>
      </c>
      <c r="N23" s="426">
        <f>+'II-E-3.18'!M22+'II-E-3.18'!M23</f>
        <v>13270077.660000002</v>
      </c>
      <c r="O23" s="426">
        <f>+'II-E-3.18'!N25+'II-E-3.18'!N26</f>
        <v>-127668.07000000001</v>
      </c>
      <c r="P23" s="426">
        <f>+'II-E-3.18'!O22+'II-E-3.18'!O23</f>
        <v>21638.150000000001</v>
      </c>
      <c r="Q23" s="426">
        <f t="shared" si="4"/>
        <v>13164047.740000002</v>
      </c>
      <c r="R23" s="426">
        <f>+'II-E-3.18'!Q22+'II-E-3.18'!Q23</f>
        <v>20604260.02</v>
      </c>
      <c r="S23" s="426">
        <f>+'II-E-3.18'!R25+'II-E-3.18'!R26</f>
        <v>-10440.130000000001</v>
      </c>
      <c r="T23" s="426">
        <f t="shared" si="5"/>
        <v>20593819.890000001</v>
      </c>
      <c r="U23" s="426">
        <f>+'II-E-3.18'!T22+'II-E-3.18'!T23</f>
        <v>2549533.1000000001</v>
      </c>
      <c r="V23" s="426">
        <f>+'II-E-3.18'!U22+'II-E-3.18'!U23</f>
        <v>-217593.92999998515</v>
      </c>
      <c r="W23" s="426">
        <f>+Q23+T23+U23+V23</f>
        <v>36089806.800000019</v>
      </c>
      <c r="X23" s="235" t="b">
        <f t="shared" si="7" ref="X23:X24">+K23=W23</f>
        <v>1</v>
      </c>
      <c r="Y23" s="230">
        <f t="shared" si="8" ref="Y23:Y25">+K23-W23</f>
        <v>0</v>
      </c>
    </row>
    <row r="24" spans="1:25" s="146" customFormat="1" ht="12.75">
      <c r="A24" s="226">
        <f t="shared" si="0"/>
        <v>10</v>
      </c>
      <c r="C24" s="146" t="s">
        <v>649</v>
      </c>
      <c r="D24" s="191" t="s">
        <v>1285</v>
      </c>
      <c r="E24" s="426">
        <v>0</v>
      </c>
      <c r="F24" s="426"/>
      <c r="G24" s="426">
        <f t="shared" si="1"/>
        <v>0</v>
      </c>
      <c r="H24" s="426">
        <f>ROUND(+'II-E-3.18'!F24+'II-E-3.18'!F27,2)</f>
        <v>-1608928.6000000001</v>
      </c>
      <c r="I24" s="426">
        <f t="shared" si="2"/>
        <v>-1608928.6000000001</v>
      </c>
      <c r="J24" s="232">
        <v>1</v>
      </c>
      <c r="K24" s="426">
        <f t="shared" si="3"/>
        <v>-1608928.6000000001</v>
      </c>
      <c r="L24" s="384"/>
      <c r="M24" s="333" t="s">
        <v>408</v>
      </c>
      <c r="N24" s="426">
        <f>+'II-E-3.18'!M24</f>
        <v>-1546304.1399999999</v>
      </c>
      <c r="O24" s="426">
        <f>+'II-E-3.18'!N27</f>
        <v>1591785.54</v>
      </c>
      <c r="P24" s="426">
        <f>+'II-E-3.18'!O24</f>
        <v>-1972.75</v>
      </c>
      <c r="Q24" s="426">
        <f t="shared" si="4"/>
        <v>43508.65000000014</v>
      </c>
      <c r="R24" s="426">
        <f>+'II-E-3.18'!Q24</f>
        <v>-1676942.8500000001</v>
      </c>
      <c r="S24" s="426">
        <f>+'II-E-3.18'!R27</f>
        <v>130169.26</v>
      </c>
      <c r="T24" s="426">
        <f t="shared" si="5"/>
        <v>-1546773.5900000001</v>
      </c>
      <c r="U24" s="426">
        <f>+'II-E-3.18'!T24</f>
        <v>-57030.739999999998</v>
      </c>
      <c r="V24" s="426">
        <f>+'II-E-3.18'!U24</f>
        <v>-48632.919999999918</v>
      </c>
      <c r="W24" s="426">
        <f t="shared" si="9" ref="W24">+Q24+T24+U24+V24</f>
        <v>-1608928.5999999999</v>
      </c>
      <c r="X24" s="235" t="b">
        <f t="shared" si="7"/>
        <v>1</v>
      </c>
      <c r="Y24" s="230">
        <f t="shared" si="8"/>
        <v>0</v>
      </c>
    </row>
    <row r="25" spans="1:25" s="146" customFormat="1" ht="12.75">
      <c r="A25" s="226">
        <f t="shared" si="0"/>
        <v>11</v>
      </c>
      <c r="C25" s="146" t="s">
        <v>1115</v>
      </c>
      <c r="D25" s="191" t="s">
        <v>403</v>
      </c>
      <c r="E25" s="426">
        <f>-ROUND('[2]Op ETR'!$G$38,2)</f>
        <v>352219</v>
      </c>
      <c r="F25" s="426">
        <v>0</v>
      </c>
      <c r="G25" s="426">
        <f t="shared" si="1"/>
        <v>352219</v>
      </c>
      <c r="H25" s="426">
        <f>ROUND(+G25/0.7*0.3,2)</f>
        <v>150951</v>
      </c>
      <c r="I25" s="426">
        <f t="shared" si="2"/>
        <v>503170</v>
      </c>
      <c r="J25" s="232">
        <v>1</v>
      </c>
      <c r="K25" s="426">
        <f t="shared" si="3"/>
        <v>503170</v>
      </c>
      <c r="L25" s="384"/>
      <c r="M25" s="195" t="s">
        <v>798</v>
      </c>
      <c r="N25" s="556">
        <f>ROUND(+$K25*'[5]II-F Alloc_Factor'!E$40,2)</f>
        <v>233587.84</v>
      </c>
      <c r="O25" s="556">
        <f>ROUND(+$K25*'[5]II-F Alloc_Factor'!F$40,2)</f>
        <v>0</v>
      </c>
      <c r="P25" s="556">
        <f>ROUND(+$K25*'[5]II-F Alloc_Factor'!G$40,2)</f>
        <v>298.00999999999999</v>
      </c>
      <c r="Q25" s="556">
        <f>SUM(N25:P25)</f>
        <v>233885.85000000001</v>
      </c>
      <c r="R25" s="556">
        <f>ROUND(+$K25*'[5]II-F Alloc_Factor'!I$40,2)</f>
        <v>253322.39000000001</v>
      </c>
      <c r="S25" s="556">
        <f>ROUND(+$K25*'[5]II-F Alloc_Factor'!J$40,2)</f>
        <v>0</v>
      </c>
      <c r="T25" s="556">
        <f>SUM(R25:S25)</f>
        <v>253322.39000000001</v>
      </c>
      <c r="U25" s="556">
        <f>ROUND(+$K25*'[5]II-F Alloc_Factor'!L$40,2)</f>
        <v>8615.1800000000003</v>
      </c>
      <c r="V25" s="556">
        <f>+K25-Q25-T25-U25</f>
        <v>7346.580000000009</v>
      </c>
      <c r="W25" s="426">
        <f>+Q25+T25+U25+V25</f>
        <v>503170</v>
      </c>
      <c r="X25" s="235" t="b">
        <f>+K25=W25</f>
        <v>1</v>
      </c>
      <c r="Y25" s="230">
        <f t="shared" si="8"/>
        <v>0</v>
      </c>
    </row>
    <row r="26" spans="1:25" s="146" customFormat="1" ht="12.75">
      <c r="A26" s="226">
        <f t="shared" si="0"/>
        <v>12</v>
      </c>
      <c r="C26" s="197" t="s">
        <v>386</v>
      </c>
      <c r="D26" s="191" t="s">
        <v>403</v>
      </c>
      <c r="E26" s="426">
        <f>-ROUND('[2]Op ETR'!$F$27,2)</f>
        <v>120366.49000000001</v>
      </c>
      <c r="F26" s="426">
        <v>0</v>
      </c>
      <c r="G26" s="426">
        <f t="shared" si="1"/>
        <v>120366.49000000001</v>
      </c>
      <c r="H26" s="426">
        <v>0</v>
      </c>
      <c r="I26" s="426">
        <f t="shared" si="2"/>
        <v>120366.49000000001</v>
      </c>
      <c r="J26" s="232">
        <v>1</v>
      </c>
      <c r="K26" s="426">
        <f t="shared" si="3"/>
        <v>120366.49000000001</v>
      </c>
      <c r="L26" s="384"/>
      <c r="M26" s="226" t="s">
        <v>805</v>
      </c>
      <c r="N26" s="426">
        <f>ROUND($K26*'[5]II-F Alloc_Factor'!E$42,2)</f>
        <v>28038.459999999999</v>
      </c>
      <c r="O26" s="426">
        <f>ROUND($K26*'[5]II-F Alloc_Factor'!F$42,2)</f>
        <v>0</v>
      </c>
      <c r="P26" s="426">
        <f>ROUND($K26*'[5]II-F Alloc_Factor'!G$42,2)</f>
        <v>0</v>
      </c>
      <c r="Q26" s="426">
        <f t="shared" si="4"/>
        <v>28038.459999999999</v>
      </c>
      <c r="R26" s="426">
        <f>ROUND($K26*'[5]II-F Alloc_Factor'!I$42,2)</f>
        <v>85706.160000000003</v>
      </c>
      <c r="S26" s="426">
        <f>ROUND($K26*'[5]II-F Alloc_Factor'!J$42,2)</f>
        <v>0</v>
      </c>
      <c r="T26" s="426">
        <f t="shared" si="5"/>
        <v>85706.160000000003</v>
      </c>
      <c r="U26" s="426">
        <f>ROUND($K26*'[5]II-F Alloc_Factor'!L$42,2)</f>
        <v>4388.0100000000002</v>
      </c>
      <c r="V26" s="426">
        <f>+K26-Q26-T26-U26</f>
        <v>2233.8599999999951</v>
      </c>
      <c r="W26" s="426">
        <f t="shared" si="6"/>
        <v>120366.48999999999</v>
      </c>
      <c r="X26" s="235" t="b">
        <f>+K26=W26</f>
        <v>1</v>
      </c>
      <c r="Y26" s="230">
        <f>+K26-W26</f>
        <v>0</v>
      </c>
    </row>
    <row r="27" spans="1:25" s="146" customFormat="1" ht="12.75">
      <c r="A27" s="226">
        <f t="shared" si="0"/>
        <v>13</v>
      </c>
      <c r="D27" s="170"/>
      <c r="E27" s="238"/>
      <c r="F27" s="238"/>
      <c r="G27" s="238"/>
      <c r="H27" s="238"/>
      <c r="I27" s="238"/>
      <c r="J27" s="232"/>
      <c r="K27" s="238"/>
      <c r="L27" s="384"/>
      <c r="M27" s="226"/>
      <c r="N27" s="238"/>
      <c r="O27" s="238"/>
      <c r="P27" s="238"/>
      <c r="Q27" s="238"/>
      <c r="R27" s="238"/>
      <c r="S27" s="238"/>
      <c r="T27" s="238"/>
      <c r="U27" s="238"/>
      <c r="V27" s="238"/>
      <c r="W27" s="238"/>
      <c r="X27" s="229"/>
      <c r="Y27" s="230"/>
    </row>
    <row r="28" spans="1:25" s="193" customFormat="1" ht="12.75">
      <c r="A28" s="226">
        <f t="shared" si="0"/>
        <v>14</v>
      </c>
      <c r="C28" s="239" t="s">
        <v>89</v>
      </c>
      <c r="D28" s="170"/>
      <c r="E28" s="471">
        <f>SUM(E20:E26)</f>
        <v>466717464.69</v>
      </c>
      <c r="F28" s="471">
        <f>SUM(F20:F26)</f>
        <v>0</v>
      </c>
      <c r="G28" s="471">
        <f>SUM(G20:G26)</f>
        <v>466717464.69</v>
      </c>
      <c r="H28" s="471">
        <f>SUM(H20:H26)</f>
        <v>38856215.899999999</v>
      </c>
      <c r="I28" s="471">
        <f>SUM(I20:I26)</f>
        <v>505573680.58999997</v>
      </c>
      <c r="J28" s="240"/>
      <c r="K28" s="471">
        <f>SUM(K20:K26)</f>
        <v>505573680.58999997</v>
      </c>
      <c r="L28" s="200"/>
      <c r="M28" s="170"/>
      <c r="N28" s="471">
        <f t="shared" si="10" ref="N28:W28">SUM(N20:N26)</f>
        <v>206256919.70000002</v>
      </c>
      <c r="O28" s="471">
        <f t="shared" si="10"/>
        <v>33575260.82</v>
      </c>
      <c r="P28" s="471">
        <f t="shared" si="10"/>
        <v>262440.15000000002</v>
      </c>
      <c r="Q28" s="471">
        <f t="shared" si="10"/>
        <v>240094620.67000002</v>
      </c>
      <c r="R28" s="471">
        <f t="shared" si="10"/>
        <v>244974615.25</v>
      </c>
      <c r="S28" s="471">
        <f t="shared" si="10"/>
        <v>2710040.46</v>
      </c>
      <c r="T28" s="471">
        <f t="shared" si="10"/>
        <v>247684655.70999998</v>
      </c>
      <c r="U28" s="471">
        <f t="shared" si="10"/>
        <v>12901924.92</v>
      </c>
      <c r="V28" s="471">
        <f t="shared" si="10"/>
        <v>4892479.2899999507</v>
      </c>
      <c r="W28" s="471">
        <f t="shared" si="10"/>
        <v>505573680.58999997</v>
      </c>
      <c r="X28" s="235" t="b">
        <f>+K28=W28</f>
        <v>1</v>
      </c>
      <c r="Y28" s="230">
        <f>+K28-W28</f>
        <v>0</v>
      </c>
    </row>
    <row r="29" spans="1:25" s="146" customFormat="1" ht="12.75">
      <c r="A29" s="226">
        <f t="shared" si="0"/>
        <v>15</v>
      </c>
      <c r="D29" s="170"/>
      <c r="E29" s="384"/>
      <c r="F29" s="384"/>
      <c r="G29" s="384"/>
      <c r="H29" s="384"/>
      <c r="I29" s="384"/>
      <c r="J29" s="232"/>
      <c r="K29" s="226"/>
      <c r="L29" s="384"/>
      <c r="M29" s="226"/>
      <c r="N29" s="384"/>
      <c r="O29" s="384"/>
      <c r="P29" s="384"/>
      <c r="Q29" s="384"/>
      <c r="R29" s="384"/>
      <c r="S29" s="384"/>
      <c r="T29" s="384"/>
      <c r="U29" s="384"/>
      <c r="V29" s="384"/>
      <c r="W29" s="384"/>
      <c r="X29" s="229"/>
      <c r="Y29" s="230"/>
    </row>
    <row r="30" spans="1:25" s="193" customFormat="1" ht="12.75">
      <c r="A30" s="226">
        <f t="shared" si="0"/>
        <v>16</v>
      </c>
      <c r="C30" s="193" t="s">
        <v>168</v>
      </c>
      <c r="D30" s="170"/>
      <c r="E30" s="200"/>
      <c r="F30" s="200"/>
      <c r="G30" s="200"/>
      <c r="H30" s="200"/>
      <c r="I30" s="200"/>
      <c r="J30" s="240"/>
      <c r="K30" s="170"/>
      <c r="L30" s="200"/>
      <c r="M30" s="170"/>
      <c r="N30" s="200"/>
      <c r="O30" s="200"/>
      <c r="P30" s="200"/>
      <c r="Q30" s="200"/>
      <c r="R30" s="200"/>
      <c r="S30" s="200"/>
      <c r="T30" s="200"/>
      <c r="U30" s="200"/>
      <c r="V30" s="200"/>
      <c r="W30" s="200"/>
      <c r="X30" s="229"/>
      <c r="Y30" s="230"/>
    </row>
    <row r="31" spans="1:25" s="146" customFormat="1" ht="12.75">
      <c r="A31" s="226">
        <f t="shared" si="0"/>
        <v>17</v>
      </c>
      <c r="C31" s="241" t="s">
        <v>395</v>
      </c>
      <c r="D31" s="177" t="s">
        <v>403</v>
      </c>
      <c r="E31" s="470">
        <f>+ROUND('[2]Op ETR'!$G$33,2)</f>
        <v>280766.15000000002</v>
      </c>
      <c r="F31" s="470">
        <v>0</v>
      </c>
      <c r="G31" s="470">
        <f>SUM(E31:F31)</f>
        <v>280766.15000000002</v>
      </c>
      <c r="H31" s="470">
        <v>0</v>
      </c>
      <c r="I31" s="470">
        <f>+G31+H31</f>
        <v>280766.15000000002</v>
      </c>
      <c r="J31" s="232">
        <v>1</v>
      </c>
      <c r="K31" s="470">
        <f>+I31*J31</f>
        <v>280766.15000000002</v>
      </c>
      <c r="L31" s="144"/>
      <c r="M31" s="195" t="s">
        <v>798</v>
      </c>
      <c r="N31" s="560">
        <f>ROUND(+$K31*'[5]II-F Alloc_Factor'!E$40,2)</f>
        <v>130340.76</v>
      </c>
      <c r="O31" s="560">
        <f>ROUND(+$K31*'[5]II-F Alloc_Factor'!F$40,2)</f>
        <v>0</v>
      </c>
      <c r="P31" s="560">
        <f>ROUND(+$K31*'[5]II-F Alloc_Factor'!G$40,2)</f>
        <v>166.28999999999999</v>
      </c>
      <c r="Q31" s="560">
        <f>SUM(N31:P31)</f>
        <v>130507.04999999999</v>
      </c>
      <c r="R31" s="560">
        <f>ROUND(+$K31*'[5]II-F Alloc_Factor'!I$40,2)</f>
        <v>141352.53</v>
      </c>
      <c r="S31" s="560">
        <f>ROUND(+$K31*'[5]II-F Alloc_Factor'!J$40,2)</f>
        <v>0</v>
      </c>
      <c r="T31" s="560">
        <f>SUM(R31:S31)</f>
        <v>141352.53</v>
      </c>
      <c r="U31" s="560">
        <f>ROUND(+$K31*'[5]II-F Alloc_Factor'!L$40,2)</f>
        <v>4807.2200000000003</v>
      </c>
      <c r="V31" s="470">
        <f>+K31-Q31-T31-U31</f>
        <v>4099.3500000000358</v>
      </c>
      <c r="W31" s="470">
        <f t="shared" si="11" ref="W31">+Q31+T31+U31+V31</f>
        <v>280766.14999999997</v>
      </c>
      <c r="X31" s="235" t="b">
        <f>+K31=W31</f>
        <v>1</v>
      </c>
      <c r="Y31" s="230">
        <f>+K31-W31</f>
        <v>0</v>
      </c>
    </row>
    <row r="32" spans="1:25" s="146" customFormat="1" ht="12.75">
      <c r="A32" s="226">
        <f t="shared" si="0"/>
        <v>18</v>
      </c>
      <c r="C32" s="146" t="s">
        <v>415</v>
      </c>
      <c r="D32" s="177" t="s">
        <v>403</v>
      </c>
      <c r="E32" s="426">
        <f>+ROUND('[2]Op ETR'!$F$15,2)</f>
        <v>1697686.1399999999</v>
      </c>
      <c r="F32" s="426">
        <v>0</v>
      </c>
      <c r="G32" s="426">
        <f t="shared" si="12" ref="G32:G37">SUM(E32:F32)</f>
        <v>1697686.1399999999</v>
      </c>
      <c r="H32" s="426">
        <v>0</v>
      </c>
      <c r="I32" s="426">
        <f t="shared" si="13" ref="I32:I37">+G32+H32</f>
        <v>1697686.1399999999</v>
      </c>
      <c r="J32" s="232">
        <v>1</v>
      </c>
      <c r="K32" s="426">
        <f t="shared" si="14" ref="K32:K37">+I32*J32</f>
        <v>1697686.1399999999</v>
      </c>
      <c r="L32" s="144"/>
      <c r="M32" s="226" t="s">
        <v>13</v>
      </c>
      <c r="N32" s="426">
        <f>ROUND(+$K$32*'[5]II-F Alloc_Factor'!E17,2)</f>
        <v>373833.14000000001</v>
      </c>
      <c r="O32" s="426">
        <f>ROUND(+$K$32*'[5]II-F Alloc_Factor'!F17,2)</f>
        <v>0</v>
      </c>
      <c r="P32" s="426">
        <f>ROUND(+$K$32*'[5]II-F Alloc_Factor'!G17,2)</f>
        <v>0</v>
      </c>
      <c r="Q32" s="426">
        <f t="shared" si="15" ref="Q32:Q37">SUM(N32:P32)</f>
        <v>373833.14000000001</v>
      </c>
      <c r="R32" s="426">
        <f>ROUND(+$K$32*'[5]II-F Alloc_Factor'!I17,2)</f>
        <v>1031343.5</v>
      </c>
      <c r="S32" s="426">
        <f>ROUND(+$K$32*'[5]II-F Alloc_Factor'!J17,2)</f>
        <v>0</v>
      </c>
      <c r="T32" s="426">
        <f t="shared" si="16" ref="T32:T37">SUM(R32:S32)</f>
        <v>1031343.5</v>
      </c>
      <c r="U32" s="426">
        <f>ROUND(+$K$32*'[5]II-F Alloc_Factor'!L17,2)</f>
        <v>281193.88</v>
      </c>
      <c r="V32" s="426">
        <f>+K32-Q32-T32-U32</f>
        <v>11315.619999999995</v>
      </c>
      <c r="W32" s="426">
        <f t="shared" si="17" ref="W32:W37">+Q32+T32+U32+V32</f>
        <v>1697686.1400000001</v>
      </c>
      <c r="X32" s="235" t="b">
        <f>+K32=W32</f>
        <v>1</v>
      </c>
      <c r="Y32" s="230">
        <f>+K32-W32</f>
        <v>0</v>
      </c>
    </row>
    <row r="33" spans="1:25" s="146" customFormat="1" ht="12.6" customHeight="1">
      <c r="A33" s="226">
        <f t="shared" si="0"/>
        <v>19</v>
      </c>
      <c r="C33" s="146" t="s">
        <v>416</v>
      </c>
      <c r="D33" s="177" t="s">
        <v>403</v>
      </c>
      <c r="E33" s="426">
        <f>+ROUND('[2]Op ETR'!$F$18,2)</f>
        <v>207160</v>
      </c>
      <c r="F33" s="426">
        <v>0</v>
      </c>
      <c r="G33" s="426">
        <f t="shared" si="12"/>
        <v>207160</v>
      </c>
      <c r="H33" s="426">
        <f>-G33</f>
        <v>-207160</v>
      </c>
      <c r="I33" s="426">
        <f t="shared" si="13"/>
        <v>0</v>
      </c>
      <c r="J33" s="232">
        <v>1</v>
      </c>
      <c r="K33" s="426">
        <f t="shared" si="14"/>
        <v>0</v>
      </c>
      <c r="L33" s="144"/>
      <c r="M33" s="226"/>
      <c r="N33" s="426">
        <v>0</v>
      </c>
      <c r="O33" s="426"/>
      <c r="P33" s="426"/>
      <c r="Q33" s="426">
        <f t="shared" si="15"/>
        <v>0</v>
      </c>
      <c r="R33" s="426">
        <v>0</v>
      </c>
      <c r="S33" s="426"/>
      <c r="T33" s="426">
        <f t="shared" si="16"/>
        <v>0</v>
      </c>
      <c r="U33" s="426">
        <v>0</v>
      </c>
      <c r="V33" s="426">
        <v>0</v>
      </c>
      <c r="W33" s="426">
        <f t="shared" si="17"/>
        <v>0</v>
      </c>
      <c r="X33" s="235" t="b">
        <f t="shared" si="18" ref="X33:X34">+K33=W33</f>
        <v>1</v>
      </c>
      <c r="Y33" s="230">
        <f t="shared" si="19" ref="Y33:Y35">+K33-W33</f>
        <v>0</v>
      </c>
    </row>
    <row r="34" spans="1:25" s="146" customFormat="1" ht="12.75">
      <c r="A34" s="226">
        <f t="shared" si="0"/>
        <v>20</v>
      </c>
      <c r="C34" s="581" t="s">
        <v>646</v>
      </c>
      <c r="D34" s="177" t="s">
        <v>403</v>
      </c>
      <c r="E34" s="426">
        <f>+ROUND('[2]Op ETR'!$F$19,2)</f>
        <v>1420342.1399999999</v>
      </c>
      <c r="F34" s="426"/>
      <c r="G34" s="426">
        <f t="shared" si="12"/>
        <v>1420342.1399999999</v>
      </c>
      <c r="H34" s="426">
        <v>0</v>
      </c>
      <c r="I34" s="426">
        <f t="shared" si="13"/>
        <v>1420342.1399999999</v>
      </c>
      <c r="J34" s="232">
        <v>1</v>
      </c>
      <c r="K34" s="426">
        <f t="shared" si="14"/>
        <v>1420342.1399999999</v>
      </c>
      <c r="L34" s="384"/>
      <c r="M34" s="226" t="s">
        <v>13</v>
      </c>
      <c r="N34" s="426">
        <f>ROUND(+$K$34*'[5]II-F Alloc_Factor'!E17,2)</f>
        <v>312761.56</v>
      </c>
      <c r="O34" s="426">
        <f>ROUND(+$K$34*'[5]II-F Alloc_Factor'!F17,2)</f>
        <v>0</v>
      </c>
      <c r="P34" s="426">
        <f>ROUND(+$K$34*'[5]II-F Alloc_Factor'!G17,2)</f>
        <v>0</v>
      </c>
      <c r="Q34" s="426">
        <f t="shared" si="15"/>
        <v>312761.56</v>
      </c>
      <c r="R34" s="426">
        <f>ROUND(+$K$34*'[5]II-F Alloc_Factor'!I17,2)</f>
        <v>862857.16000000003</v>
      </c>
      <c r="S34" s="426">
        <f>ROUND(+$K$34*'[5]II-F Alloc_Factor'!J17,2)</f>
        <v>0</v>
      </c>
      <c r="T34" s="426">
        <f t="shared" si="16"/>
        <v>862857.16000000003</v>
      </c>
      <c r="U34" s="426">
        <f>ROUND(+$K$34*'[5]II-F Alloc_Factor'!L17,2)</f>
        <v>235256.39999999999</v>
      </c>
      <c r="V34" s="426">
        <f>+K34-Q34-T34-U34</f>
        <v>9467.0199999998149</v>
      </c>
      <c r="W34" s="426">
        <f t="shared" si="20" ref="W34">+Q34+T34+U34+V34</f>
        <v>1420342.1399999997</v>
      </c>
      <c r="X34" s="235" t="b">
        <f t="shared" si="18"/>
        <v>1</v>
      </c>
      <c r="Y34" s="230">
        <f t="shared" si="19"/>
        <v>0</v>
      </c>
    </row>
    <row r="35" spans="1:25" s="146" customFormat="1" ht="12.75">
      <c r="A35" s="226">
        <f t="shared" si="0"/>
        <v>21</v>
      </c>
      <c r="C35" s="146" t="s">
        <v>60</v>
      </c>
      <c r="D35" s="177" t="s">
        <v>403</v>
      </c>
      <c r="E35" s="426">
        <f>+ROUND('[2]Op ETR'!$F$21+'[2]Op ETR'!$F$24,2)</f>
        <v>-4969701.4299999997</v>
      </c>
      <c r="F35" s="426">
        <v>0</v>
      </c>
      <c r="G35" s="426">
        <f t="shared" si="12"/>
        <v>-4969701.4299999997</v>
      </c>
      <c r="H35" s="426">
        <v>0</v>
      </c>
      <c r="I35" s="426">
        <f t="shared" si="13"/>
        <v>-4969701.4299999997</v>
      </c>
      <c r="J35" s="232">
        <v>1</v>
      </c>
      <c r="K35" s="426">
        <f t="shared" si="14"/>
        <v>-4969701.4299999997</v>
      </c>
      <c r="L35" s="144"/>
      <c r="M35" s="226" t="s">
        <v>407</v>
      </c>
      <c r="N35" s="426">
        <f>ROUND(+$K$35*'[5]II-F Alloc_Factor'!E27,2)</f>
        <v>-1426489.3000000001</v>
      </c>
      <c r="O35" s="426">
        <f>ROUND(+$K$35*'[5]II-F Alloc_Factor'!F27,2)</f>
        <v>0</v>
      </c>
      <c r="P35" s="426">
        <f>ROUND(+$K$35*'[5]II-F Alloc_Factor'!G27,2)</f>
        <v>0</v>
      </c>
      <c r="Q35" s="426">
        <f t="shared" si="15"/>
        <v>-1426489.3000000001</v>
      </c>
      <c r="R35" s="426">
        <f>ROUND(+$K$35*'[5]II-F Alloc_Factor'!I27,2)</f>
        <v>-2460478.1699999999</v>
      </c>
      <c r="S35" s="426">
        <f>ROUND(+$K$35*'[5]II-F Alloc_Factor'!J27,2)</f>
        <v>0</v>
      </c>
      <c r="T35" s="426">
        <f t="shared" si="16"/>
        <v>-2460478.1699999999</v>
      </c>
      <c r="U35" s="426">
        <f>ROUND(+$K$35*'[5]II-F Alloc_Factor'!L27,2)</f>
        <v>-815018.30000000005</v>
      </c>
      <c r="V35" s="426">
        <f>ROUND(+$K$35*'[5]II-F Alloc_Factor'!M27,2)</f>
        <v>-267715.65999999997</v>
      </c>
      <c r="W35" s="426">
        <f t="shared" si="17"/>
        <v>-4969701.4299999997</v>
      </c>
      <c r="X35" s="235" t="b">
        <f>+K35=W35</f>
        <v>1</v>
      </c>
      <c r="Y35" s="230">
        <f t="shared" si="19"/>
        <v>0</v>
      </c>
    </row>
    <row r="36" spans="1:25" s="146" customFormat="1" ht="12.75">
      <c r="A36" s="226">
        <f t="shared" si="0"/>
        <v>22</v>
      </c>
      <c r="C36" s="146" t="s">
        <v>1001</v>
      </c>
      <c r="D36" s="177" t="s">
        <v>403</v>
      </c>
      <c r="E36" s="426">
        <f>+ROUND('[2]Op ETR'!$G$39,2)</f>
        <v>13309</v>
      </c>
      <c r="F36" s="426"/>
      <c r="G36" s="426">
        <f t="shared" si="12"/>
        <v>13309</v>
      </c>
      <c r="H36" s="426">
        <f>-G36</f>
        <v>-13309</v>
      </c>
      <c r="I36" s="426">
        <f t="shared" si="13"/>
        <v>0</v>
      </c>
      <c r="J36" s="232">
        <v>1</v>
      </c>
      <c r="K36" s="426">
        <f t="shared" si="14"/>
        <v>0</v>
      </c>
      <c r="L36" s="384"/>
      <c r="M36" s="226"/>
      <c r="N36" s="426">
        <v>0</v>
      </c>
      <c r="O36" s="426">
        <v>0</v>
      </c>
      <c r="P36" s="426">
        <v>0</v>
      </c>
      <c r="Q36" s="426">
        <f t="shared" si="15"/>
        <v>0</v>
      </c>
      <c r="R36" s="426">
        <v>0</v>
      </c>
      <c r="S36" s="426">
        <v>0</v>
      </c>
      <c r="T36" s="426">
        <f t="shared" si="16"/>
        <v>0</v>
      </c>
      <c r="U36" s="426">
        <v>0</v>
      </c>
      <c r="V36" s="426">
        <v>0</v>
      </c>
      <c r="W36" s="426">
        <f t="shared" si="17"/>
        <v>0</v>
      </c>
      <c r="X36" s="235" t="b">
        <f>+K36=W36</f>
        <v>1</v>
      </c>
      <c r="Y36" s="230">
        <f t="shared" si="21" ref="Y36">+K36-W36</f>
        <v>0</v>
      </c>
    </row>
    <row r="37" spans="1:25" s="146" customFormat="1" ht="12.75">
      <c r="A37" s="226">
        <f t="shared" si="0"/>
        <v>23</v>
      </c>
      <c r="C37" s="146" t="s">
        <v>36</v>
      </c>
      <c r="D37" s="177" t="s">
        <v>403</v>
      </c>
      <c r="E37" s="426">
        <f>+ROUND('[2]Op ETR'!$G$40,2)</f>
        <v>-294581.10999999999</v>
      </c>
      <c r="F37" s="426">
        <v>0</v>
      </c>
      <c r="G37" s="426">
        <f t="shared" si="12"/>
        <v>-294581.10999999999</v>
      </c>
      <c r="H37" s="426">
        <f>-G37</f>
        <v>294581.10999999999</v>
      </c>
      <c r="I37" s="426">
        <f t="shared" si="13"/>
        <v>0</v>
      </c>
      <c r="J37" s="232">
        <v>1</v>
      </c>
      <c r="K37" s="426">
        <f t="shared" si="14"/>
        <v>0</v>
      </c>
      <c r="L37" s="144"/>
      <c r="M37" s="226"/>
      <c r="N37" s="426">
        <v>0</v>
      </c>
      <c r="O37" s="426"/>
      <c r="P37" s="426"/>
      <c r="Q37" s="426">
        <f t="shared" si="15"/>
        <v>0</v>
      </c>
      <c r="R37" s="426">
        <v>0</v>
      </c>
      <c r="S37" s="426"/>
      <c r="T37" s="426">
        <f t="shared" si="16"/>
        <v>0</v>
      </c>
      <c r="U37" s="426">
        <v>0</v>
      </c>
      <c r="V37" s="426">
        <v>0</v>
      </c>
      <c r="W37" s="426">
        <f t="shared" si="17"/>
        <v>0</v>
      </c>
      <c r="X37" s="235" t="b">
        <f>+K37=W37</f>
        <v>1</v>
      </c>
      <c r="Y37" s="230">
        <f>+K37-W37</f>
        <v>0</v>
      </c>
    </row>
    <row r="38" spans="1:25" s="146" customFormat="1" ht="12.75">
      <c r="A38" s="226">
        <f t="shared" si="0"/>
        <v>24</v>
      </c>
      <c r="C38" s="242"/>
      <c r="D38" s="170"/>
      <c r="E38" s="243"/>
      <c r="F38" s="238"/>
      <c r="G38" s="238"/>
      <c r="H38" s="238"/>
      <c r="I38" s="238"/>
      <c r="J38" s="232"/>
      <c r="K38" s="238"/>
      <c r="L38" s="144"/>
      <c r="M38" s="226"/>
      <c r="N38" s="238"/>
      <c r="O38" s="238"/>
      <c r="P38" s="238"/>
      <c r="Q38" s="238"/>
      <c r="R38" s="238"/>
      <c r="S38" s="238"/>
      <c r="T38" s="238"/>
      <c r="U38" s="238"/>
      <c r="V38" s="238"/>
      <c r="W38" s="238"/>
      <c r="X38" s="229"/>
      <c r="Y38" s="230"/>
    </row>
    <row r="39" spans="1:25" s="193" customFormat="1" ht="12.75">
      <c r="A39" s="226">
        <f t="shared" si="0"/>
        <v>25</v>
      </c>
      <c r="C39" s="193" t="s">
        <v>169</v>
      </c>
      <c r="D39" s="170"/>
      <c r="E39" s="471">
        <f>+E17-E28+SUM(E31:E37)</f>
        <v>733640163.26999986</v>
      </c>
      <c r="F39" s="471">
        <f>+F17-F28+SUM(F31:F37)</f>
        <v>0</v>
      </c>
      <c r="G39" s="471">
        <f>+G17-G28+SUM(G31:G37)</f>
        <v>733640163.26999986</v>
      </c>
      <c r="H39" s="471">
        <f>+H17-H28+SUM(H31:H37)</f>
        <v>85738199.640000001</v>
      </c>
      <c r="I39" s="471">
        <f>+I17-I28+SUM(I31:I37)</f>
        <v>819378362.91000009</v>
      </c>
      <c r="J39" s="200"/>
      <c r="K39" s="471">
        <f>+K17-K28+SUM(K31:K37)</f>
        <v>819378362.91000009</v>
      </c>
      <c r="L39" s="200"/>
      <c r="M39" s="226"/>
      <c r="N39" s="471">
        <f t="shared" si="22" ref="N39:W39">+N17-N28+SUM(N31:N37)</f>
        <v>340497820.97999996</v>
      </c>
      <c r="O39" s="471">
        <f t="shared" si="22"/>
        <v>54777172.419999994</v>
      </c>
      <c r="P39" s="471">
        <f t="shared" si="22"/>
        <v>422497.14999999997</v>
      </c>
      <c r="Q39" s="471">
        <f t="shared" si="22"/>
        <v>395697490.54999995</v>
      </c>
      <c r="R39" s="471">
        <f t="shared" si="22"/>
        <v>393440295.23000002</v>
      </c>
      <c r="S39" s="471">
        <f t="shared" si="22"/>
        <v>4410901.2700000005</v>
      </c>
      <c r="T39" s="471">
        <f t="shared" si="22"/>
        <v>397851196.50000006</v>
      </c>
      <c r="U39" s="471">
        <f t="shared" si="22"/>
        <v>16507384.16</v>
      </c>
      <c r="V39" s="471">
        <f t="shared" si="22"/>
        <v>9322291.7000000123</v>
      </c>
      <c r="W39" s="471">
        <f t="shared" si="22"/>
        <v>819378362.91000009</v>
      </c>
      <c r="X39" s="235" t="b">
        <f>ROUND(+K39,2)=ROUND(W39,2)</f>
        <v>1</v>
      </c>
      <c r="Y39" s="230">
        <f>+K39-W39</f>
        <v>0</v>
      </c>
    </row>
    <row r="40" spans="1:25" s="193" customFormat="1" ht="12.75">
      <c r="A40" s="226">
        <f t="shared" si="0"/>
        <v>26</v>
      </c>
      <c r="C40" s="193" t="s">
        <v>170</v>
      </c>
      <c r="D40" s="170"/>
      <c r="E40" s="244">
        <f>(1/0.79)*0.21</f>
        <v>0.26582278481012656</v>
      </c>
      <c r="F40" s="244">
        <f t="shared" si="23" ref="F40:K40">(1/0.79)*0.21</f>
        <v>0.26582278481012656</v>
      </c>
      <c r="G40" s="244">
        <f t="shared" si="23"/>
        <v>0.26582278481012656</v>
      </c>
      <c r="H40" s="244">
        <f t="shared" si="23"/>
        <v>0.26582278481012656</v>
      </c>
      <c r="I40" s="244">
        <f t="shared" si="23"/>
        <v>0.26582278481012656</v>
      </c>
      <c r="J40" s="245"/>
      <c r="K40" s="244">
        <f t="shared" si="23"/>
        <v>0.26582278481012656</v>
      </c>
      <c r="L40" s="246"/>
      <c r="M40" s="226"/>
      <c r="N40" s="244">
        <f t="shared" si="24" ref="N40:W40">(1/0.79)*0.21</f>
        <v>0.26582278481012656</v>
      </c>
      <c r="O40" s="244">
        <f t="shared" si="24"/>
        <v>0.26582278481012656</v>
      </c>
      <c r="P40" s="244">
        <f t="shared" si="24"/>
        <v>0.26582278481012656</v>
      </c>
      <c r="Q40" s="244">
        <f t="shared" si="24"/>
        <v>0.26582278481012656</v>
      </c>
      <c r="R40" s="244">
        <f t="shared" si="24"/>
        <v>0.26582278481012656</v>
      </c>
      <c r="S40" s="244">
        <f t="shared" si="24"/>
        <v>0.26582278481012656</v>
      </c>
      <c r="T40" s="244">
        <f t="shared" si="24"/>
        <v>0.26582278481012656</v>
      </c>
      <c r="U40" s="244">
        <f t="shared" si="24"/>
        <v>0.26582278481012656</v>
      </c>
      <c r="V40" s="244">
        <f t="shared" si="24"/>
        <v>0.26582278481012656</v>
      </c>
      <c r="W40" s="244">
        <f t="shared" si="24"/>
        <v>0.26582278481012656</v>
      </c>
      <c r="X40" s="229"/>
      <c r="Y40" s="230"/>
    </row>
    <row r="41" spans="1:25" s="146" customFormat="1" ht="12.75">
      <c r="A41" s="226">
        <f t="shared" si="0"/>
        <v>27</v>
      </c>
      <c r="D41" s="170"/>
      <c r="E41" s="247"/>
      <c r="F41" s="144"/>
      <c r="G41" s="144"/>
      <c r="H41" s="144"/>
      <c r="I41" s="144"/>
      <c r="J41" s="232"/>
      <c r="K41" s="226"/>
      <c r="L41" s="144"/>
      <c r="M41" s="226"/>
      <c r="N41" s="144"/>
      <c r="O41" s="384"/>
      <c r="P41" s="384"/>
      <c r="Q41" s="384"/>
      <c r="R41" s="384"/>
      <c r="S41" s="384"/>
      <c r="T41" s="384"/>
      <c r="U41" s="384"/>
      <c r="V41" s="384"/>
      <c r="W41" s="384"/>
      <c r="X41" s="229"/>
      <c r="Y41" s="230"/>
    </row>
    <row r="42" spans="1:25" s="193" customFormat="1" ht="12.75">
      <c r="A42" s="226">
        <f t="shared" si="0"/>
        <v>28</v>
      </c>
      <c r="C42" s="193" t="s">
        <v>171</v>
      </c>
      <c r="D42" s="170"/>
      <c r="E42" s="471">
        <f>ROUND(E39*E40,2)</f>
        <v>195018271.25</v>
      </c>
      <c r="F42" s="471">
        <f t="shared" si="25" ref="F42:I42">ROUND(F39*F40,2)</f>
        <v>0</v>
      </c>
      <c r="G42" s="471">
        <f t="shared" si="25"/>
        <v>195018271.25</v>
      </c>
      <c r="H42" s="471">
        <f t="shared" si="25"/>
        <v>22791166.989999998</v>
      </c>
      <c r="I42" s="471">
        <f t="shared" si="25"/>
        <v>217809438.24000001</v>
      </c>
      <c r="J42" s="200"/>
      <c r="K42" s="471">
        <f t="shared" si="26" ref="K42">ROUND(K39*K40,2)</f>
        <v>217809438.24000001</v>
      </c>
      <c r="L42" s="200"/>
      <c r="M42" s="226"/>
      <c r="N42" s="471">
        <f>ROUND(N39*N40,2)</f>
        <v>90512078.989999995</v>
      </c>
      <c r="O42" s="471">
        <f t="shared" si="27" ref="O42:U42">ROUND(O39*O40,2)</f>
        <v>14561020.52</v>
      </c>
      <c r="P42" s="471">
        <f t="shared" si="27"/>
        <v>112309.37</v>
      </c>
      <c r="Q42" s="471">
        <f>SUM(N42:P42)</f>
        <v>105185408.88</v>
      </c>
      <c r="R42" s="471">
        <f t="shared" si="27"/>
        <v>104585394.93000001</v>
      </c>
      <c r="S42" s="471">
        <f t="shared" si="27"/>
        <v>1172518.0600000001</v>
      </c>
      <c r="T42" s="471">
        <f>SUM(R42:S42)</f>
        <v>105757912.99000001</v>
      </c>
      <c r="U42" s="471">
        <f t="shared" si="27"/>
        <v>4388038.8300000001</v>
      </c>
      <c r="V42" s="471">
        <f>+K42-Q42-T42-U42</f>
        <v>2478077.5400000047</v>
      </c>
      <c r="W42" s="471">
        <f>Q42+T42+U42+V42</f>
        <v>217809438.24000001</v>
      </c>
      <c r="X42" s="235" t="b">
        <f>ROUND(+K42,0)=ROUND(W42,0)</f>
        <v>1</v>
      </c>
      <c r="Y42" s="230">
        <f>+K42-W42</f>
        <v>0</v>
      </c>
    </row>
    <row r="43" spans="1:25" s="146" customFormat="1" ht="12.75">
      <c r="A43" s="226">
        <f t="shared" si="0"/>
        <v>29</v>
      </c>
      <c r="D43" s="170"/>
      <c r="E43" s="144"/>
      <c r="F43" s="144"/>
      <c r="G43" s="144"/>
      <c r="H43" s="144"/>
      <c r="I43" s="144"/>
      <c r="J43" s="232"/>
      <c r="K43" s="226"/>
      <c r="L43" s="144"/>
      <c r="M43" s="226"/>
      <c r="N43" s="144"/>
      <c r="O43" s="384"/>
      <c r="P43" s="384"/>
      <c r="Q43" s="384"/>
      <c r="R43" s="144"/>
      <c r="S43" s="384"/>
      <c r="T43" s="384"/>
      <c r="U43" s="144"/>
      <c r="V43" s="384"/>
      <c r="W43" s="144"/>
      <c r="X43" s="229"/>
      <c r="Y43" s="230"/>
    </row>
    <row r="44" spans="1:25" s="193" customFormat="1" ht="12.75">
      <c r="A44" s="226">
        <f t="shared" si="0"/>
        <v>30</v>
      </c>
      <c r="C44" s="193" t="s">
        <v>211</v>
      </c>
      <c r="D44" s="170"/>
      <c r="E44" s="200"/>
      <c r="F44" s="200"/>
      <c r="G44" s="200"/>
      <c r="H44" s="200"/>
      <c r="I44" s="200"/>
      <c r="J44" s="240"/>
      <c r="K44" s="170"/>
      <c r="L44" s="200"/>
      <c r="M44" s="226"/>
      <c r="N44" s="200"/>
      <c r="O44" s="200"/>
      <c r="P44" s="200"/>
      <c r="Q44" s="200"/>
      <c r="R44" s="200"/>
      <c r="S44" s="200"/>
      <c r="T44" s="200"/>
      <c r="U44" s="200"/>
      <c r="V44" s="200"/>
      <c r="W44" s="200"/>
      <c r="X44" s="229"/>
      <c r="Y44" s="230"/>
    </row>
    <row r="45" spans="1:25" s="146" customFormat="1" ht="12.75">
      <c r="A45" s="226">
        <f t="shared" si="0"/>
        <v>31</v>
      </c>
      <c r="C45" s="146" t="s">
        <v>224</v>
      </c>
      <c r="D45" s="177" t="str">
        <f>+D21</f>
        <v>WP/II-E-3.9/1</v>
      </c>
      <c r="E45" s="470">
        <f>+E21</f>
        <v>1174249.98</v>
      </c>
      <c r="F45" s="470">
        <f>+F21</f>
        <v>0</v>
      </c>
      <c r="G45" s="470">
        <f>+E45+F45</f>
        <v>1174249.98</v>
      </c>
      <c r="H45" s="470">
        <f>+H21</f>
        <v>-402615.26000000001</v>
      </c>
      <c r="I45" s="470">
        <f>+G45+H45</f>
        <v>771634.71999999997</v>
      </c>
      <c r="J45" s="232">
        <v>1</v>
      </c>
      <c r="K45" s="470">
        <f>+I45*J45</f>
        <v>771634.71999999997</v>
      </c>
      <c r="L45" s="144"/>
      <c r="M45" s="195" t="str">
        <f t="shared" si="28" ref="M45:N49">+M21</f>
        <v>Direct Assignment</v>
      </c>
      <c r="N45" s="470">
        <f t="shared" si="28"/>
        <v>580486.72999999998</v>
      </c>
      <c r="O45" s="470">
        <f t="shared" si="29" ref="O45:V45">+O21</f>
        <v>0</v>
      </c>
      <c r="P45" s="470">
        <f t="shared" si="29"/>
        <v>0</v>
      </c>
      <c r="Q45" s="470">
        <f t="shared" si="30" ref="Q45:Q49">SUM(N45:P45)</f>
        <v>580486.72999999998</v>
      </c>
      <c r="R45" s="470">
        <f t="shared" si="29"/>
        <v>191147.98999999999</v>
      </c>
      <c r="S45" s="470">
        <f t="shared" si="29"/>
        <v>0</v>
      </c>
      <c r="T45" s="470">
        <f t="shared" si="31" ref="T45:T49">SUM(R45:S45)</f>
        <v>191147.98999999999</v>
      </c>
      <c r="U45" s="470">
        <f t="shared" si="29"/>
        <v>0</v>
      </c>
      <c r="V45" s="470">
        <f t="shared" si="29"/>
        <v>0</v>
      </c>
      <c r="W45" s="470">
        <f t="shared" si="32" ref="W45:W49">+Q45+T45+U45+V45</f>
        <v>771634.71999999997</v>
      </c>
      <c r="X45" s="235" t="b">
        <f>+K45=W45</f>
        <v>1</v>
      </c>
      <c r="Y45" s="230">
        <f>+K45-W45</f>
        <v>0</v>
      </c>
    </row>
    <row r="46" spans="1:25" s="146" customFormat="1" ht="12.75">
      <c r="A46" s="226">
        <f t="shared" si="0"/>
        <v>32</v>
      </c>
      <c r="C46" s="146" t="s">
        <v>647</v>
      </c>
      <c r="D46" s="177" t="str">
        <f t="shared" si="33" ref="D46:D48">+D22</f>
        <v>WP/II-E-3.19/1</v>
      </c>
      <c r="E46" s="426">
        <f>+E22</f>
        <v>22126156.32</v>
      </c>
      <c r="F46" s="426">
        <f>+F22</f>
        <v>0</v>
      </c>
      <c r="G46" s="426">
        <f>+G22</f>
        <v>22126156.32</v>
      </c>
      <c r="H46" s="426">
        <f>+H22</f>
        <v>-5892399</v>
      </c>
      <c r="I46" s="426">
        <f>+G46+H46</f>
        <v>16233757.32</v>
      </c>
      <c r="J46" s="232">
        <v>1</v>
      </c>
      <c r="K46" s="426">
        <f>+I46*J46</f>
        <v>16233757.32</v>
      </c>
      <c r="L46" s="144"/>
      <c r="M46" s="195" t="str">
        <f t="shared" si="28"/>
        <v>Direct Assignment</v>
      </c>
      <c r="N46" s="426">
        <f t="shared" si="28"/>
        <v>6577848.7800000003</v>
      </c>
      <c r="O46" s="426">
        <f t="shared" si="34" ref="O46:V46">+O22</f>
        <v>1908396.6699999999</v>
      </c>
      <c r="P46" s="426">
        <f t="shared" si="34"/>
        <v>8391.8999999999996</v>
      </c>
      <c r="Q46" s="426">
        <f t="shared" si="30"/>
        <v>8494637.3499999996</v>
      </c>
      <c r="R46" s="426">
        <f t="shared" si="34"/>
        <v>7133574.9500000002</v>
      </c>
      <c r="S46" s="426">
        <f t="shared" si="34"/>
        <v>156060.32999999999</v>
      </c>
      <c r="T46" s="426">
        <f t="shared" si="31"/>
        <v>7289635.2800000003</v>
      </c>
      <c r="U46" s="426">
        <f t="shared" si="34"/>
        <v>242603.98999999999</v>
      </c>
      <c r="V46" s="426">
        <f t="shared" si="34"/>
        <v>206880.70000000042</v>
      </c>
      <c r="W46" s="426">
        <f t="shared" si="32"/>
        <v>16233757.32</v>
      </c>
      <c r="X46" s="235" t="b">
        <f>+K46=W46</f>
        <v>1</v>
      </c>
      <c r="Y46" s="230">
        <f t="shared" si="35" ref="Y46:Y49">+K46-W46</f>
        <v>0</v>
      </c>
    </row>
    <row r="47" spans="1:25" s="146" customFormat="1" ht="12.75">
      <c r="A47" s="226">
        <f t="shared" si="0"/>
        <v>33</v>
      </c>
      <c r="C47" s="146" t="s">
        <v>648</v>
      </c>
      <c r="D47" s="177" t="str">
        <f t="shared" si="33"/>
        <v>WP/II-E-3.19/1</v>
      </c>
      <c r="E47" s="426">
        <f>+E23</f>
        <v>30159720</v>
      </c>
      <c r="F47" s="426"/>
      <c r="G47" s="426">
        <f>+G23</f>
        <v>30159720</v>
      </c>
      <c r="H47" s="426">
        <f>+H23</f>
        <v>5930086.7999999998</v>
      </c>
      <c r="I47" s="426">
        <f t="shared" si="36" ref="I47:I48">+G47+H47</f>
        <v>36089806.799999997</v>
      </c>
      <c r="J47" s="232">
        <v>1</v>
      </c>
      <c r="K47" s="426">
        <f t="shared" si="37" ref="K47:K48">+I47*J47</f>
        <v>36089806.799999997</v>
      </c>
      <c r="L47" s="384"/>
      <c r="M47" s="195" t="str">
        <f t="shared" si="28"/>
        <v>Direct Assignment</v>
      </c>
      <c r="N47" s="426">
        <f t="shared" si="28"/>
        <v>13270077.660000002</v>
      </c>
      <c r="O47" s="426">
        <f>+O23</f>
        <v>-127668.07000000001</v>
      </c>
      <c r="P47" s="426">
        <f>+P23</f>
        <v>21638.150000000001</v>
      </c>
      <c r="Q47" s="426">
        <f t="shared" si="30"/>
        <v>13164047.740000002</v>
      </c>
      <c r="R47" s="426">
        <f>+R23</f>
        <v>20604260.02</v>
      </c>
      <c r="S47" s="426">
        <f>+S23</f>
        <v>-10440.130000000001</v>
      </c>
      <c r="T47" s="426">
        <f t="shared" si="31"/>
        <v>20593819.890000001</v>
      </c>
      <c r="U47" s="426">
        <f>+U23</f>
        <v>2549533.1000000001</v>
      </c>
      <c r="V47" s="426">
        <f>+V23</f>
        <v>-217593.92999998515</v>
      </c>
      <c r="W47" s="426">
        <f t="shared" si="38" ref="W47:W48">+Q47+T47+U47+V47</f>
        <v>36089806.800000019</v>
      </c>
      <c r="X47" s="235" t="b">
        <f t="shared" si="39" ref="X47:X48">+K47=W47</f>
        <v>1</v>
      </c>
      <c r="Y47" s="230">
        <f t="shared" si="35"/>
        <v>0</v>
      </c>
    </row>
    <row r="48" spans="1:25" s="146" customFormat="1" ht="12.75">
      <c r="A48" s="226">
        <f t="shared" si="0"/>
        <v>34</v>
      </c>
      <c r="C48" s="146" t="s">
        <v>649</v>
      </c>
      <c r="D48" s="177" t="str">
        <f t="shared" si="33"/>
        <v>WP/II-E-3.19/1</v>
      </c>
      <c r="E48" s="426">
        <f>+E24</f>
        <v>0</v>
      </c>
      <c r="F48" s="426"/>
      <c r="G48" s="426">
        <f>+G24</f>
        <v>0</v>
      </c>
      <c r="H48" s="426">
        <f>+H24</f>
        <v>-1608928.6000000001</v>
      </c>
      <c r="I48" s="426">
        <f t="shared" si="36"/>
        <v>-1608928.6000000001</v>
      </c>
      <c r="J48" s="232">
        <v>1</v>
      </c>
      <c r="K48" s="426">
        <f t="shared" si="37"/>
        <v>-1608928.6000000001</v>
      </c>
      <c r="L48" s="384"/>
      <c r="M48" s="195" t="str">
        <f t="shared" si="28"/>
        <v>Direct Assignment</v>
      </c>
      <c r="N48" s="426">
        <f t="shared" si="28"/>
        <v>-1546304.1399999999</v>
      </c>
      <c r="O48" s="426">
        <f>+O24</f>
        <v>1591785.54</v>
      </c>
      <c r="P48" s="426">
        <f>+P24</f>
        <v>-1972.75</v>
      </c>
      <c r="Q48" s="426">
        <f t="shared" si="30"/>
        <v>43508.65000000014</v>
      </c>
      <c r="R48" s="426">
        <f>+R24</f>
        <v>-1676942.8500000001</v>
      </c>
      <c r="S48" s="426">
        <f>+S24</f>
        <v>130169.26</v>
      </c>
      <c r="T48" s="426">
        <f t="shared" si="31"/>
        <v>-1546773.5900000001</v>
      </c>
      <c r="U48" s="426">
        <f>+U24</f>
        <v>-57030.739999999998</v>
      </c>
      <c r="V48" s="426">
        <f>+V24</f>
        <v>-48632.919999999918</v>
      </c>
      <c r="W48" s="426">
        <f t="shared" si="38"/>
        <v>-1608928.5999999999</v>
      </c>
      <c r="X48" s="235" t="b">
        <f t="shared" si="39"/>
        <v>1</v>
      </c>
      <c r="Y48" s="230">
        <f t="shared" si="35"/>
        <v>0</v>
      </c>
    </row>
    <row r="49" spans="1:25" s="146" customFormat="1" ht="12.75">
      <c r="A49" s="226">
        <f t="shared" si="0"/>
        <v>35</v>
      </c>
      <c r="C49" s="146" t="s">
        <v>1115</v>
      </c>
      <c r="D49" s="177" t="s">
        <v>403</v>
      </c>
      <c r="E49" s="426">
        <f>+E25</f>
        <v>352219</v>
      </c>
      <c r="F49" s="426">
        <f>+F25</f>
        <v>0</v>
      </c>
      <c r="G49" s="426">
        <f>+E49+F49</f>
        <v>352219</v>
      </c>
      <c r="H49" s="426">
        <f>+H25</f>
        <v>150951</v>
      </c>
      <c r="I49" s="426">
        <f>+G49+H49</f>
        <v>503170</v>
      </c>
      <c r="J49" s="232">
        <v>1</v>
      </c>
      <c r="K49" s="426">
        <f>+I49*J49</f>
        <v>503170</v>
      </c>
      <c r="L49" s="144"/>
      <c r="M49" s="195" t="str">
        <f t="shared" si="28"/>
        <v>PLTSVC-ONC</v>
      </c>
      <c r="N49" s="426">
        <f t="shared" si="28"/>
        <v>233587.84</v>
      </c>
      <c r="O49" s="426">
        <f t="shared" si="40" ref="O49:V49">+O25</f>
        <v>0</v>
      </c>
      <c r="P49" s="426">
        <f t="shared" si="40"/>
        <v>298.00999999999999</v>
      </c>
      <c r="Q49" s="426">
        <f t="shared" si="30"/>
        <v>233885.85000000001</v>
      </c>
      <c r="R49" s="426">
        <f t="shared" si="40"/>
        <v>253322.39000000001</v>
      </c>
      <c r="S49" s="426">
        <f t="shared" si="40"/>
        <v>0</v>
      </c>
      <c r="T49" s="426">
        <f t="shared" si="31"/>
        <v>253322.39000000001</v>
      </c>
      <c r="U49" s="426">
        <f t="shared" si="40"/>
        <v>8615.1800000000003</v>
      </c>
      <c r="V49" s="426">
        <f t="shared" si="40"/>
        <v>7346.580000000009</v>
      </c>
      <c r="W49" s="426">
        <f t="shared" si="32"/>
        <v>503170</v>
      </c>
      <c r="X49" s="235" t="b">
        <f>+K49=W49</f>
        <v>1</v>
      </c>
      <c r="Y49" s="230">
        <f t="shared" si="35"/>
        <v>0</v>
      </c>
    </row>
    <row r="50" spans="1:25" s="146" customFormat="1" ht="12.75">
      <c r="A50" s="226">
        <f t="shared" si="0"/>
        <v>36</v>
      </c>
      <c r="D50" s="177"/>
      <c r="E50" s="144"/>
      <c r="F50" s="144"/>
      <c r="G50" s="144"/>
      <c r="H50" s="144"/>
      <c r="I50" s="144"/>
      <c r="J50" s="232"/>
      <c r="K50" s="233"/>
      <c r="L50" s="144"/>
      <c r="M50" s="353"/>
      <c r="N50" s="144"/>
      <c r="O50" s="384"/>
      <c r="P50" s="384"/>
      <c r="Q50" s="384"/>
      <c r="R50" s="384"/>
      <c r="S50" s="384"/>
      <c r="T50" s="384"/>
      <c r="U50" s="384"/>
      <c r="V50" s="384"/>
      <c r="W50" s="144"/>
      <c r="X50" s="235"/>
      <c r="Y50" s="230"/>
    </row>
    <row r="51" spans="1:25" s="193" customFormat="1" ht="12.75">
      <c r="A51" s="226">
        <f t="shared" si="0"/>
        <v>37</v>
      </c>
      <c r="C51" s="193" t="s">
        <v>212</v>
      </c>
      <c r="D51" s="170"/>
      <c r="E51" s="200"/>
      <c r="F51" s="200"/>
      <c r="G51" s="200"/>
      <c r="H51" s="200"/>
      <c r="I51" s="200"/>
      <c r="J51" s="240"/>
      <c r="K51" s="170"/>
      <c r="L51" s="200"/>
      <c r="M51" s="226"/>
      <c r="N51" s="200"/>
      <c r="O51" s="200"/>
      <c r="P51" s="200"/>
      <c r="Q51" s="200"/>
      <c r="R51" s="200"/>
      <c r="S51" s="200"/>
      <c r="T51" s="200"/>
      <c r="U51" s="200"/>
      <c r="V51" s="200"/>
      <c r="W51" s="200"/>
      <c r="X51" s="229"/>
      <c r="Y51" s="230"/>
    </row>
    <row r="52" spans="1:25" s="146" customFormat="1" ht="12.75">
      <c r="A52" s="226">
        <f t="shared" si="0"/>
        <v>38</v>
      </c>
      <c r="C52" s="241" t="s">
        <v>395</v>
      </c>
      <c r="D52" s="177" t="s">
        <v>403</v>
      </c>
      <c r="E52" s="470">
        <f>+E31</f>
        <v>280766.15000000002</v>
      </c>
      <c r="F52" s="470">
        <f>+F31</f>
        <v>0</v>
      </c>
      <c r="G52" s="470">
        <f>E52+F52</f>
        <v>280766.15000000002</v>
      </c>
      <c r="H52" s="470">
        <f>+H31</f>
        <v>0</v>
      </c>
      <c r="I52" s="470">
        <f>+G52+H52</f>
        <v>280766.15000000002</v>
      </c>
      <c r="J52" s="232">
        <v>1</v>
      </c>
      <c r="K52" s="470">
        <f>+I52*J52</f>
        <v>280766.15000000002</v>
      </c>
      <c r="L52" s="144"/>
      <c r="M52" s="353" t="str">
        <f>+M31</f>
        <v>PLTSVC-ONC</v>
      </c>
      <c r="N52" s="470">
        <f>+N31</f>
        <v>130340.76</v>
      </c>
      <c r="O52" s="470">
        <f t="shared" si="41" ref="O52:V52">+O31</f>
        <v>0</v>
      </c>
      <c r="P52" s="470">
        <f t="shared" si="41"/>
        <v>166.28999999999999</v>
      </c>
      <c r="Q52" s="470">
        <f t="shared" si="41"/>
        <v>130507.04999999999</v>
      </c>
      <c r="R52" s="470">
        <f t="shared" si="41"/>
        <v>141352.53</v>
      </c>
      <c r="S52" s="470">
        <f t="shared" si="41"/>
        <v>0</v>
      </c>
      <c r="T52" s="470">
        <f t="shared" si="41"/>
        <v>141352.53</v>
      </c>
      <c r="U52" s="470">
        <f t="shared" si="41"/>
        <v>4807.2200000000003</v>
      </c>
      <c r="V52" s="470">
        <f t="shared" si="41"/>
        <v>4099.3500000000358</v>
      </c>
      <c r="W52" s="470">
        <f t="shared" si="42" ref="W52:W54">+Q52+T52+U52+V52</f>
        <v>280766.14999999997</v>
      </c>
      <c r="X52" s="235" t="b">
        <f>+K52=W52</f>
        <v>1</v>
      </c>
      <c r="Y52" s="230">
        <f>+K52-W52</f>
        <v>0</v>
      </c>
    </row>
    <row r="53" spans="1:25" s="146" customFormat="1" ht="12.75">
      <c r="A53" s="226">
        <f t="shared" si="0"/>
        <v>39</v>
      </c>
      <c r="C53" s="241" t="s">
        <v>1001</v>
      </c>
      <c r="D53" s="177" t="s">
        <v>403</v>
      </c>
      <c r="E53" s="426">
        <f>+E36</f>
        <v>13309</v>
      </c>
      <c r="F53" s="426"/>
      <c r="G53" s="426">
        <f>E53+F53</f>
        <v>13309</v>
      </c>
      <c r="H53" s="426">
        <f>+H36</f>
        <v>-13309</v>
      </c>
      <c r="I53" s="426">
        <f>+G53+H53</f>
        <v>0</v>
      </c>
      <c r="J53" s="232">
        <v>1</v>
      </c>
      <c r="K53" s="470">
        <f>+I53*J53</f>
        <v>0</v>
      </c>
      <c r="L53" s="384"/>
      <c r="M53" s="353"/>
      <c r="N53" s="426">
        <f>+N36</f>
        <v>0</v>
      </c>
      <c r="O53" s="426">
        <f t="shared" si="43" ref="O53:W53">+O36</f>
        <v>0</v>
      </c>
      <c r="P53" s="426">
        <f t="shared" si="43"/>
        <v>0</v>
      </c>
      <c r="Q53" s="426">
        <f t="shared" si="43"/>
        <v>0</v>
      </c>
      <c r="R53" s="426">
        <f t="shared" si="43"/>
        <v>0</v>
      </c>
      <c r="S53" s="426">
        <f t="shared" si="43"/>
        <v>0</v>
      </c>
      <c r="T53" s="426">
        <f t="shared" si="43"/>
        <v>0</v>
      </c>
      <c r="U53" s="426">
        <f t="shared" si="43"/>
        <v>0</v>
      </c>
      <c r="V53" s="426">
        <f t="shared" si="43"/>
        <v>0</v>
      </c>
      <c r="W53" s="426">
        <f t="shared" si="43"/>
        <v>0</v>
      </c>
      <c r="X53" s="235" t="b">
        <f>+K53=W53</f>
        <v>1</v>
      </c>
      <c r="Y53" s="230">
        <f>+K53-W53</f>
        <v>0</v>
      </c>
    </row>
    <row r="54" spans="1:25" s="146" customFormat="1" ht="12.75">
      <c r="A54" s="226">
        <f t="shared" si="0"/>
        <v>40</v>
      </c>
      <c r="C54" s="146" t="s">
        <v>36</v>
      </c>
      <c r="D54" s="177" t="s">
        <v>403</v>
      </c>
      <c r="E54" s="426">
        <f>+E37</f>
        <v>-294581.10999999999</v>
      </c>
      <c r="F54" s="426">
        <f>+F37</f>
        <v>0</v>
      </c>
      <c r="G54" s="426">
        <f>E54+F54</f>
        <v>-294581.10999999999</v>
      </c>
      <c r="H54" s="426">
        <f>+H37</f>
        <v>294581.10999999999</v>
      </c>
      <c r="I54" s="426">
        <f>+G54+H54</f>
        <v>0</v>
      </c>
      <c r="J54" s="232">
        <v>1</v>
      </c>
      <c r="K54" s="426">
        <f>+I54*J54</f>
        <v>0</v>
      </c>
      <c r="L54" s="144"/>
      <c r="M54" s="226"/>
      <c r="N54" s="426">
        <v>0</v>
      </c>
      <c r="O54" s="426">
        <v>0</v>
      </c>
      <c r="P54" s="426">
        <v>0</v>
      </c>
      <c r="Q54" s="426">
        <f t="shared" si="44" ref="Q54">SUM(N54:P54)</f>
        <v>0</v>
      </c>
      <c r="R54" s="426">
        <v>0</v>
      </c>
      <c r="S54" s="426">
        <v>0</v>
      </c>
      <c r="T54" s="426">
        <f t="shared" si="45" ref="T54">SUM(R54:S54)</f>
        <v>0</v>
      </c>
      <c r="U54" s="426">
        <v>0</v>
      </c>
      <c r="V54" s="426">
        <v>0</v>
      </c>
      <c r="W54" s="426">
        <f t="shared" si="42"/>
        <v>0</v>
      </c>
      <c r="X54" s="235" t="b">
        <f>+K54=W54</f>
        <v>1</v>
      </c>
      <c r="Y54" s="230">
        <f>+K54-W54</f>
        <v>0</v>
      </c>
    </row>
    <row r="55" spans="1:25" s="193" customFormat="1" ht="12.75">
      <c r="A55" s="226">
        <f t="shared" si="0"/>
        <v>41</v>
      </c>
      <c r="B55" s="193" t="s">
        <v>226</v>
      </c>
      <c r="D55" s="177" t="s">
        <v>403</v>
      </c>
      <c r="E55" s="471">
        <f>+E42-SUM(E45:E49)+SUM(E52:E54)</f>
        <v>141205419.98999998</v>
      </c>
      <c r="F55" s="471">
        <f>+F42-SUM(F45:F49)+SUM(F52:F54)</f>
        <v>0</v>
      </c>
      <c r="G55" s="471">
        <f>+G42-SUM(G45:G49)+SUM(G52:G54)</f>
        <v>141205419.98999998</v>
      </c>
      <c r="H55" s="471">
        <f>+H42-SUM(H45:H49)+SUM(H52:H54)</f>
        <v>24895344.159999996</v>
      </c>
      <c r="I55" s="471">
        <f>+I42-SUM(I45:I49)+SUM(I52:I54)</f>
        <v>166100764.15000001</v>
      </c>
      <c r="J55" s="200"/>
      <c r="K55" s="471">
        <f>+K42-SUM(K45:K49)+SUM(K52:K54)</f>
        <v>166100764.15000001</v>
      </c>
      <c r="L55" s="200"/>
      <c r="M55" s="226"/>
      <c r="N55" s="471">
        <f t="shared" si="46" ref="N55:W55">+N42-SUM(N45:N49)+SUM(N52:N54)</f>
        <v>71526722.879999995</v>
      </c>
      <c r="O55" s="471">
        <f t="shared" si="46"/>
        <v>11188506.379999999</v>
      </c>
      <c r="P55" s="471">
        <f t="shared" si="46"/>
        <v>84120.349999999991</v>
      </c>
      <c r="Q55" s="471">
        <f t="shared" si="46"/>
        <v>82799349.609999999</v>
      </c>
      <c r="R55" s="471">
        <f t="shared" si="46"/>
        <v>78221384.960000008</v>
      </c>
      <c r="S55" s="471">
        <f t="shared" si="46"/>
        <v>896728.60000000009</v>
      </c>
      <c r="T55" s="471">
        <f t="shared" si="46"/>
        <v>79118113.560000002</v>
      </c>
      <c r="U55" s="471">
        <f t="shared" si="46"/>
        <v>1649124.5200000003</v>
      </c>
      <c r="V55" s="471">
        <f t="shared" si="46"/>
        <v>2534176.4599999893</v>
      </c>
      <c r="W55" s="471">
        <f t="shared" si="46"/>
        <v>166100764.15000001</v>
      </c>
      <c r="X55" s="235" t="b">
        <f>+K55=W55</f>
        <v>1</v>
      </c>
      <c r="Y55" s="230">
        <f>+K55-W55</f>
        <v>0</v>
      </c>
    </row>
    <row r="56" spans="3:25" s="173" customFormat="1" ht="12.75" customHeight="1">
      <c r="C56" s="248"/>
      <c r="D56" s="80"/>
      <c r="E56" s="249"/>
      <c r="F56" s="249"/>
      <c r="G56" s="249"/>
      <c r="H56" s="249"/>
      <c r="I56" s="249"/>
      <c r="J56" s="249"/>
      <c r="K56" s="211"/>
      <c r="L56" s="249"/>
      <c r="M56" s="211"/>
      <c r="N56" s="249"/>
      <c r="O56" s="249"/>
      <c r="P56" s="249"/>
      <c r="Q56" s="249"/>
      <c r="R56" s="250"/>
      <c r="S56" s="250"/>
      <c r="T56" s="250"/>
      <c r="U56" s="250"/>
      <c r="V56" s="250"/>
      <c r="W56" s="250"/>
      <c r="X56" s="224"/>
      <c r="Y56" s="225"/>
    </row>
    <row r="57" spans="4:25" s="173" customFormat="1" ht="12.75" customHeight="1">
      <c r="D57" s="204"/>
      <c r="K57" s="251"/>
      <c r="M57" s="211"/>
      <c r="N57" s="251"/>
      <c r="O57" s="251"/>
      <c r="P57" s="251"/>
      <c r="Q57" s="251"/>
      <c r="R57" s="251"/>
      <c r="S57" s="251"/>
      <c r="T57" s="251"/>
      <c r="U57" s="251"/>
      <c r="V57" s="251"/>
      <c r="W57" s="251"/>
      <c r="X57" s="224"/>
      <c r="Y57" s="225"/>
    </row>
    <row r="58" spans="4:25" s="173" customFormat="1" ht="12.75" customHeight="1">
      <c r="D58" s="632" t="s">
        <v>462</v>
      </c>
      <c r="E58" s="633">
        <f>+'[2]Op ETR'!$G$44</f>
        <v>141205420.08590001</v>
      </c>
      <c r="K58" s="446"/>
      <c r="M58" s="211"/>
      <c r="X58" s="224"/>
      <c r="Y58" s="225"/>
    </row>
    <row r="59" spans="4:25" s="173" customFormat="1" ht="12.75" customHeight="1">
      <c r="D59" s="632" t="s">
        <v>463</v>
      </c>
      <c r="E59" s="631">
        <f>E58-E55</f>
        <v>0.095900028944015503</v>
      </c>
      <c r="K59" s="211"/>
      <c r="M59" s="211"/>
      <c r="N59" s="251"/>
      <c r="O59" s="251"/>
      <c r="P59" s="251"/>
      <c r="Q59" s="251"/>
      <c r="X59" s="224"/>
      <c r="Y59" s="225"/>
    </row>
    <row r="60" spans="4:25" s="173" customFormat="1" ht="12.75">
      <c r="D60" s="204"/>
      <c r="E60" s="252"/>
      <c r="H60" s="634" t="s">
        <v>522</v>
      </c>
      <c r="I60" s="430">
        <f>+I17-I20+I55</f>
        <v>1039159840.7900001</v>
      </c>
      <c r="J60" s="635" t="s">
        <v>811</v>
      </c>
      <c r="K60" s="636">
        <f>+'II-E-3.2a'!E31</f>
        <v>166100764.15000001</v>
      </c>
      <c r="M60" s="211"/>
      <c r="X60" s="224"/>
      <c r="Y60" s="225"/>
    </row>
    <row r="61" spans="4:25" s="173" customFormat="1" ht="12.75">
      <c r="D61" s="204"/>
      <c r="E61" s="249"/>
      <c r="F61" s="251"/>
      <c r="H61" s="634" t="s">
        <v>55</v>
      </c>
      <c r="I61" s="431">
        <f>+'II-E-3.15'!E25</f>
        <v>1039159840.7900009</v>
      </c>
      <c r="J61" s="635" t="s">
        <v>797</v>
      </c>
      <c r="K61" s="637">
        <f>+K60-K55</f>
        <v>0</v>
      </c>
      <c r="M61" s="211"/>
      <c r="X61" s="224"/>
      <c r="Y61" s="225"/>
    </row>
    <row r="62" spans="4:25" s="173" customFormat="1" ht="12.75" customHeight="1">
      <c r="D62" s="204"/>
      <c r="E62" s="253"/>
      <c r="G62" s="253"/>
      <c r="H62" s="432"/>
      <c r="I62" s="429">
        <f>+I60-I61</f>
        <v>0</v>
      </c>
      <c r="K62" s="211"/>
      <c r="M62" s="211"/>
      <c r="X62" s="224"/>
      <c r="Y62" s="225"/>
    </row>
    <row r="63" spans="4:25" s="173" customFormat="1" ht="12.75" customHeight="1">
      <c r="D63" s="204"/>
      <c r="E63" s="212"/>
      <c r="K63" s="211"/>
      <c r="M63" s="211"/>
      <c r="X63" s="224"/>
      <c r="Y63" s="225"/>
    </row>
    <row r="64" spans="4:25" s="173" customFormat="1" ht="12.75" customHeight="1">
      <c r="D64" s="204"/>
      <c r="E64" s="251"/>
      <c r="K64" s="211"/>
      <c r="M64" s="211"/>
      <c r="X64" s="224"/>
      <c r="Y64" s="225"/>
    </row>
    <row r="65" spans="4:25" s="173" customFormat="1" ht="12.75" customHeight="1">
      <c r="D65" s="204"/>
      <c r="K65" s="211"/>
      <c r="M65" s="211"/>
      <c r="X65" s="224"/>
      <c r="Y65" s="225"/>
    </row>
    <row r="66" spans="4:25" s="173" customFormat="1" ht="12.75" customHeight="1">
      <c r="D66" s="204"/>
      <c r="K66" s="211"/>
      <c r="M66" s="211"/>
      <c r="X66" s="224"/>
      <c r="Y66" s="225"/>
    </row>
    <row r="67" spans="4:25" s="173" customFormat="1" ht="12.75" customHeight="1">
      <c r="D67" s="204"/>
      <c r="F67" s="253"/>
      <c r="K67" s="211"/>
      <c r="M67" s="211"/>
      <c r="X67" s="224"/>
      <c r="Y67" s="225"/>
    </row>
    <row r="68" spans="4:25" s="173" customFormat="1" ht="12.75" customHeight="1">
      <c r="D68" s="204"/>
      <c r="F68" s="253"/>
      <c r="K68" s="211"/>
      <c r="M68" s="211"/>
      <c r="X68" s="224"/>
      <c r="Y68" s="225"/>
    </row>
    <row r="69" spans="4:25" s="173" customFormat="1" ht="12.75" customHeight="1">
      <c r="D69" s="204"/>
      <c r="F69" s="253"/>
      <c r="K69" s="211"/>
      <c r="M69" s="211"/>
      <c r="X69" s="224"/>
      <c r="Y69" s="225"/>
    </row>
    <row r="70" spans="4:25" s="173" customFormat="1" ht="12.75" customHeight="1">
      <c r="D70" s="204"/>
      <c r="F70" s="253"/>
      <c r="K70" s="211"/>
      <c r="M70" s="211"/>
      <c r="X70" s="224"/>
      <c r="Y70" s="225"/>
    </row>
    <row r="71" spans="4:25" s="173" customFormat="1" ht="12.75" customHeight="1">
      <c r="D71" s="204"/>
      <c r="F71" s="253"/>
      <c r="K71" s="211"/>
      <c r="M71" s="211"/>
      <c r="X71" s="224"/>
      <c r="Y71" s="225"/>
    </row>
    <row r="72" spans="4:25" s="173" customFormat="1" ht="12.75" customHeight="1">
      <c r="D72" s="204"/>
      <c r="K72" s="211"/>
      <c r="M72" s="211"/>
      <c r="X72" s="224"/>
      <c r="Y72" s="225"/>
    </row>
    <row r="73" spans="4:25" s="173" customFormat="1" ht="12.75" customHeight="1">
      <c r="D73" s="204"/>
      <c r="K73" s="211"/>
      <c r="M73" s="211"/>
      <c r="X73" s="224"/>
      <c r="Y73" s="225"/>
    </row>
    <row r="74" spans="4:25" s="173" customFormat="1" ht="12.75" customHeight="1">
      <c r="D74" s="204"/>
      <c r="K74" s="211"/>
      <c r="M74" s="211"/>
      <c r="X74" s="224"/>
      <c r="Y74" s="225"/>
    </row>
    <row r="75" spans="4:25" s="173" customFormat="1" ht="12.75" customHeight="1">
      <c r="D75" s="204"/>
      <c r="F75" s="253"/>
      <c r="K75" s="211"/>
      <c r="M75" s="211"/>
      <c r="X75" s="224"/>
      <c r="Y75" s="225"/>
    </row>
    <row r="76" spans="4:25" s="173" customFormat="1" ht="12.75" customHeight="1">
      <c r="D76" s="204"/>
      <c r="F76" s="253"/>
      <c r="K76" s="211"/>
      <c r="M76" s="211"/>
      <c r="X76" s="224"/>
      <c r="Y76" s="225"/>
    </row>
    <row r="77" spans="4:25" s="173" customFormat="1" ht="12.75" customHeight="1">
      <c r="D77" s="204"/>
      <c r="F77" s="253"/>
      <c r="K77" s="211"/>
      <c r="M77" s="211"/>
      <c r="X77" s="224"/>
      <c r="Y77" s="225"/>
    </row>
    <row r="78" spans="4:25" s="173" customFormat="1" ht="12.75" customHeight="1">
      <c r="D78" s="204"/>
      <c r="K78" s="211"/>
      <c r="M78" s="211"/>
      <c r="X78" s="224"/>
      <c r="Y78" s="225"/>
    </row>
    <row r="79" spans="4:25" s="173" customFormat="1" ht="12.75" customHeight="1">
      <c r="D79" s="204"/>
      <c r="K79" s="211"/>
      <c r="M79" s="211"/>
      <c r="X79" s="224"/>
      <c r="Y79" s="225"/>
    </row>
    <row r="80" spans="4:25" s="173" customFormat="1" ht="12.75" customHeight="1">
      <c r="D80" s="204"/>
      <c r="K80" s="211"/>
      <c r="M80" s="211"/>
      <c r="X80" s="224"/>
      <c r="Y80" s="225"/>
    </row>
    <row r="81" spans="4:25" s="173" customFormat="1" ht="12.75" customHeight="1">
      <c r="D81" s="204"/>
      <c r="K81" s="211"/>
      <c r="M81" s="211"/>
      <c r="X81" s="224"/>
      <c r="Y81" s="225"/>
    </row>
    <row r="82" spans="4:25" s="173" customFormat="1" ht="12.75" customHeight="1">
      <c r="D82" s="204"/>
      <c r="K82" s="211"/>
      <c r="M82" s="211"/>
      <c r="X82" s="224"/>
      <c r="Y82" s="225"/>
    </row>
    <row r="83" spans="4:25" s="173" customFormat="1" ht="12.75" customHeight="1">
      <c r="D83" s="204"/>
      <c r="K83" s="211"/>
      <c r="M83" s="211"/>
      <c r="X83" s="224"/>
      <c r="Y83" s="225"/>
    </row>
    <row r="84" spans="4:25" s="173" customFormat="1" ht="12.75" customHeight="1">
      <c r="D84" s="204"/>
      <c r="K84" s="211"/>
      <c r="M84" s="211"/>
      <c r="X84" s="224"/>
      <c r="Y84" s="225"/>
    </row>
    <row r="85" spans="4:25" s="173" customFormat="1" ht="12.75" customHeight="1">
      <c r="D85" s="204"/>
      <c r="K85" s="211"/>
      <c r="M85" s="211"/>
      <c r="X85" s="224"/>
      <c r="Y85" s="225"/>
    </row>
    <row r="86" spans="4:25" s="173" customFormat="1" ht="12.75" customHeight="1">
      <c r="D86" s="204"/>
      <c r="K86" s="211"/>
      <c r="M86" s="211"/>
      <c r="X86" s="224"/>
      <c r="Y86" s="225"/>
    </row>
    <row r="87" spans="4:25" s="173" customFormat="1" ht="12.75" customHeight="1">
      <c r="D87" s="204"/>
      <c r="K87" s="211"/>
      <c r="M87" s="211"/>
      <c r="X87" s="224"/>
      <c r="Y87" s="225"/>
    </row>
    <row r="88" spans="4:25" s="173" customFormat="1" ht="12.75" customHeight="1">
      <c r="D88" s="204"/>
      <c r="K88" s="211"/>
      <c r="M88" s="211"/>
      <c r="X88" s="224"/>
      <c r="Y88" s="225"/>
    </row>
    <row r="89" spans="4:25" s="173" customFormat="1" ht="12.75" customHeight="1">
      <c r="D89" s="204"/>
      <c r="K89" s="211"/>
      <c r="M89" s="211"/>
      <c r="X89" s="224"/>
      <c r="Y89" s="225"/>
    </row>
    <row r="90" spans="4:25" s="173" customFormat="1" ht="12.75" customHeight="1">
      <c r="D90" s="204"/>
      <c r="K90" s="211"/>
      <c r="M90" s="211"/>
      <c r="X90" s="224"/>
      <c r="Y90" s="225"/>
    </row>
    <row r="91" spans="4:25" s="173" customFormat="1" ht="12.75" customHeight="1">
      <c r="D91" s="204"/>
      <c r="K91" s="211"/>
      <c r="M91" s="211"/>
      <c r="X91" s="224"/>
      <c r="Y91" s="225"/>
    </row>
    <row r="92" spans="4:25" s="173" customFormat="1" ht="12.75" customHeight="1">
      <c r="D92" s="204"/>
      <c r="K92" s="211"/>
      <c r="M92" s="211"/>
      <c r="X92" s="224"/>
      <c r="Y92" s="225"/>
    </row>
    <row r="93" spans="4:25" s="173" customFormat="1" ht="12.75" customHeight="1">
      <c r="D93" s="204"/>
      <c r="K93" s="211"/>
      <c r="M93" s="211"/>
      <c r="X93" s="224"/>
      <c r="Y93" s="225"/>
    </row>
    <row r="94" spans="4:25" s="173" customFormat="1" ht="12.75" customHeight="1">
      <c r="D94" s="204"/>
      <c r="K94" s="211"/>
      <c r="M94" s="211"/>
      <c r="X94" s="224"/>
      <c r="Y94" s="225"/>
    </row>
    <row r="95" spans="4:25" s="173" customFormat="1" ht="12.75" customHeight="1">
      <c r="D95" s="204"/>
      <c r="K95" s="211"/>
      <c r="M95" s="211"/>
      <c r="X95" s="224"/>
      <c r="Y95" s="225"/>
    </row>
    <row r="96" spans="4:25" s="173" customFormat="1" ht="12.75" customHeight="1">
      <c r="D96" s="204"/>
      <c r="K96" s="211"/>
      <c r="M96" s="211"/>
      <c r="X96" s="224"/>
      <c r="Y96" s="225"/>
    </row>
    <row r="97" spans="4:25" s="173" customFormat="1" ht="12.75" customHeight="1">
      <c r="D97" s="204"/>
      <c r="K97" s="211"/>
      <c r="M97" s="211"/>
      <c r="X97" s="224"/>
      <c r="Y97" s="225"/>
    </row>
    <row r="98" spans="4:25" s="173" customFormat="1" ht="12.75" customHeight="1">
      <c r="D98" s="204"/>
      <c r="K98" s="211"/>
      <c r="M98" s="211"/>
      <c r="X98" s="224"/>
      <c r="Y98" s="225"/>
    </row>
    <row r="99" spans="4:25" s="173" customFormat="1" ht="12.75" customHeight="1">
      <c r="D99" s="204"/>
      <c r="K99" s="211"/>
      <c r="M99" s="211"/>
      <c r="X99" s="224"/>
      <c r="Y99" s="225"/>
    </row>
    <row r="100" spans="4:25" s="173" customFormat="1" ht="12.75" customHeight="1">
      <c r="D100" s="204"/>
      <c r="K100" s="211"/>
      <c r="M100" s="211"/>
      <c r="X100" s="224"/>
      <c r="Y100" s="225"/>
    </row>
    <row r="101" spans="4:25" s="173" customFormat="1" ht="12.75" customHeight="1">
      <c r="D101" s="204"/>
      <c r="K101" s="211"/>
      <c r="M101" s="211"/>
      <c r="X101" s="224"/>
      <c r="Y101" s="225"/>
    </row>
    <row r="102" spans="4:25" s="173" customFormat="1" ht="12.75" customHeight="1">
      <c r="D102" s="204"/>
      <c r="K102" s="211"/>
      <c r="M102" s="211"/>
      <c r="X102" s="224"/>
      <c r="Y102" s="225"/>
    </row>
    <row r="103" spans="4:25" s="173" customFormat="1" ht="12.75" customHeight="1">
      <c r="D103" s="204"/>
      <c r="K103" s="211"/>
      <c r="M103" s="211"/>
      <c r="X103" s="224"/>
      <c r="Y103" s="225"/>
    </row>
    <row r="104" spans="4:25" s="173" customFormat="1" ht="12.75" customHeight="1">
      <c r="D104" s="204"/>
      <c r="K104" s="211"/>
      <c r="M104" s="211"/>
      <c r="X104" s="224"/>
      <c r="Y104" s="225"/>
    </row>
    <row r="105" spans="4:25" s="173" customFormat="1" ht="12.75" customHeight="1">
      <c r="D105" s="204"/>
      <c r="K105" s="211"/>
      <c r="M105" s="211"/>
      <c r="X105" s="224"/>
      <c r="Y105" s="225"/>
    </row>
    <row r="106" spans="4:25" s="173" customFormat="1" ht="12.75" customHeight="1">
      <c r="D106" s="204"/>
      <c r="K106" s="211"/>
      <c r="M106" s="211"/>
      <c r="X106" s="224"/>
      <c r="Y106" s="225"/>
    </row>
    <row r="107" spans="4:25" s="173" customFormat="1" ht="12.75" customHeight="1">
      <c r="D107" s="204"/>
      <c r="K107" s="211"/>
      <c r="M107" s="211"/>
      <c r="X107" s="224"/>
      <c r="Y107" s="225"/>
    </row>
    <row r="108" spans="4:25" s="173" customFormat="1" ht="12.75" customHeight="1">
      <c r="D108" s="204"/>
      <c r="K108" s="211"/>
      <c r="M108" s="211"/>
      <c r="X108" s="224"/>
      <c r="Y108" s="225"/>
    </row>
    <row r="109" spans="4:25" s="173" customFormat="1" ht="12.75" customHeight="1">
      <c r="D109" s="204"/>
      <c r="K109" s="211"/>
      <c r="M109" s="211"/>
      <c r="X109" s="224"/>
      <c r="Y109" s="225"/>
    </row>
    <row r="110" spans="4:25" s="173" customFormat="1" ht="12.75" customHeight="1">
      <c r="D110" s="204"/>
      <c r="K110" s="211"/>
      <c r="M110" s="211"/>
      <c r="X110" s="224"/>
      <c r="Y110" s="225"/>
    </row>
    <row r="111" spans="4:25" s="173" customFormat="1" ht="12.75" customHeight="1">
      <c r="D111" s="204"/>
      <c r="K111" s="211"/>
      <c r="M111" s="211"/>
      <c r="X111" s="224"/>
      <c r="Y111" s="225"/>
    </row>
    <row r="112" spans="4:25" s="173" customFormat="1" ht="12.75" customHeight="1">
      <c r="D112" s="204"/>
      <c r="K112" s="211"/>
      <c r="M112" s="211"/>
      <c r="X112" s="224"/>
      <c r="Y112" s="225"/>
    </row>
    <row r="113" spans="4:25" s="173" customFormat="1" ht="12.75" customHeight="1">
      <c r="D113" s="204"/>
      <c r="K113" s="211"/>
      <c r="M113" s="211"/>
      <c r="X113" s="224"/>
      <c r="Y113" s="225"/>
    </row>
    <row r="114" spans="4:25" s="173" customFormat="1" ht="12.75" customHeight="1">
      <c r="D114" s="204"/>
      <c r="K114" s="211"/>
      <c r="M114" s="211"/>
      <c r="X114" s="224"/>
      <c r="Y114" s="225"/>
    </row>
    <row r="115" spans="4:25" s="173" customFormat="1" ht="12.75" customHeight="1">
      <c r="D115" s="204"/>
      <c r="K115" s="211"/>
      <c r="M115" s="211"/>
      <c r="X115" s="224"/>
      <c r="Y115" s="225"/>
    </row>
    <row r="116" spans="4:25" s="173" customFormat="1" ht="12.75" customHeight="1">
      <c r="D116" s="204"/>
      <c r="K116" s="211"/>
      <c r="M116" s="211"/>
      <c r="X116" s="224"/>
      <c r="Y116" s="225"/>
    </row>
    <row r="117" spans="4:25" s="173" customFormat="1" ht="12.75" customHeight="1">
      <c r="D117" s="204"/>
      <c r="K117" s="211"/>
      <c r="M117" s="211"/>
      <c r="X117" s="224"/>
      <c r="Y117" s="225"/>
    </row>
    <row r="118" spans="4:25" s="173" customFormat="1" ht="12.75" customHeight="1">
      <c r="D118" s="204"/>
      <c r="K118" s="211"/>
      <c r="M118" s="211"/>
      <c r="X118" s="224"/>
      <c r="Y118" s="225"/>
    </row>
    <row r="119" spans="4:25" s="173" customFormat="1" ht="12.75" customHeight="1">
      <c r="D119" s="204"/>
      <c r="K119" s="211"/>
      <c r="M119" s="211"/>
      <c r="X119" s="224"/>
      <c r="Y119" s="225"/>
    </row>
    <row r="120" spans="4:25" s="173" customFormat="1" ht="12.75" customHeight="1">
      <c r="D120" s="204"/>
      <c r="K120" s="211"/>
      <c r="M120" s="211"/>
      <c r="X120" s="224"/>
      <c r="Y120" s="225"/>
    </row>
    <row r="121" spans="4:25" s="173" customFormat="1" ht="12.75" customHeight="1">
      <c r="D121" s="204"/>
      <c r="K121" s="211"/>
      <c r="M121" s="211"/>
      <c r="X121" s="224"/>
      <c r="Y121" s="225"/>
    </row>
    <row r="122" spans="4:25" s="173" customFormat="1" ht="12.75" customHeight="1">
      <c r="D122" s="204"/>
      <c r="K122" s="211"/>
      <c r="M122" s="211"/>
      <c r="X122" s="224"/>
      <c r="Y122" s="225"/>
    </row>
    <row r="123" spans="4:25" s="173" customFormat="1" ht="12.75" customHeight="1">
      <c r="D123" s="204"/>
      <c r="K123" s="211"/>
      <c r="M123" s="211"/>
      <c r="X123" s="224"/>
      <c r="Y123" s="225"/>
    </row>
    <row r="124" spans="4:25" s="173" customFormat="1" ht="12.75" customHeight="1">
      <c r="D124" s="204"/>
      <c r="K124" s="211"/>
      <c r="M124" s="211"/>
      <c r="X124" s="224"/>
      <c r="Y124" s="225"/>
    </row>
    <row r="125" spans="4:25" s="173" customFormat="1" ht="12.75" customHeight="1">
      <c r="D125" s="204"/>
      <c r="K125" s="211"/>
      <c r="M125" s="211"/>
      <c r="X125" s="224"/>
      <c r="Y125" s="225"/>
    </row>
    <row r="126" spans="4:25" s="173" customFormat="1" ht="12.75" customHeight="1">
      <c r="D126" s="204"/>
      <c r="K126" s="211"/>
      <c r="M126" s="211"/>
      <c r="X126" s="224"/>
      <c r="Y126" s="225"/>
    </row>
    <row r="127" spans="4:25" s="173" customFormat="1" ht="12.75" customHeight="1">
      <c r="D127" s="204"/>
      <c r="K127" s="211"/>
      <c r="M127" s="211"/>
      <c r="X127" s="224"/>
      <c r="Y127" s="225"/>
    </row>
    <row r="128" spans="4:25" s="173" customFormat="1" ht="12.75" customHeight="1">
      <c r="D128" s="204"/>
      <c r="K128" s="211"/>
      <c r="M128" s="211"/>
      <c r="X128" s="224"/>
      <c r="Y128" s="225"/>
    </row>
    <row r="129" spans="4:25" s="173" customFormat="1" ht="12.75" customHeight="1">
      <c r="D129" s="204"/>
      <c r="K129" s="211"/>
      <c r="M129" s="211"/>
      <c r="X129" s="224"/>
      <c r="Y129" s="225"/>
    </row>
    <row r="130" spans="4:25" s="173" customFormat="1" ht="12.75" customHeight="1">
      <c r="D130" s="204"/>
      <c r="K130" s="211"/>
      <c r="M130" s="211"/>
      <c r="X130" s="224"/>
      <c r="Y130" s="225"/>
    </row>
    <row r="131" spans="4:25" s="173" customFormat="1" ht="12.75" customHeight="1">
      <c r="D131" s="204"/>
      <c r="K131" s="211"/>
      <c r="M131" s="211"/>
      <c r="X131" s="224"/>
      <c r="Y131" s="225"/>
    </row>
    <row r="132" spans="4:25" s="173" customFormat="1" ht="12.75" customHeight="1">
      <c r="D132" s="204"/>
      <c r="K132" s="211"/>
      <c r="M132" s="211"/>
      <c r="X132" s="224"/>
      <c r="Y132" s="225"/>
    </row>
    <row r="133" spans="4:25" s="173" customFormat="1" ht="12.75" customHeight="1">
      <c r="D133" s="204"/>
      <c r="K133" s="211"/>
      <c r="M133" s="211"/>
      <c r="X133" s="224"/>
      <c r="Y133" s="225"/>
    </row>
    <row r="134" spans="1:1" ht="12.75">
      <c r="A134" s="205"/>
    </row>
    <row r="135" spans="1:1" ht="12.75">
      <c r="A135" s="205"/>
    </row>
    <row r="136" spans="1:1" ht="12.75">
      <c r="A136" s="205"/>
    </row>
  </sheetData>
  <printOptions horizontalCentered="1"/>
  <pageMargins left="0.5" right="0.5" top="3" bottom="0.5" header="1.5" footer="0.5"/>
  <pageSetup fitToHeight="0" fitToWidth="2" orientation="landscape" pageOrder="overThenDown" scale="46" r:id="rId1"/>
  <headerFooter alignWithMargins="0">
    <oddHeader>&amp;C&amp;B
2022 RATE CASE
ONCOR ELECTRIC DELIVERY COMPANY LLC
II-E-3   FEDERAL INCOME TAXES
TEST YEAR ENDING DECEMBER 31, 2021
SPONSOR: B. L. CLUTTER&amp;R&amp;"Arial,Bold"Schedule &amp;A
Page &amp;P of &amp;N</oddHeader>
  </headerFooter>
  <colBreaks count="1" manualBreakCount="1">
    <brk id="10" min="9" max="53"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3">
    <tabColor rgb="FF92D050"/>
    <pageSetUpPr fitToPage="1"/>
  </sheetPr>
  <dimension ref="A1:M177"/>
  <sheetViews>
    <sheetView zoomScale="80" zoomScaleNormal="80" workbookViewId="0" topLeftCell="A1">
      <pane xSplit="2" ySplit="13" topLeftCell="C14" activePane="bottomRight" state="frozen"/>
      <selection pane="topLeft" activeCell="H16" sqref="H16"/>
      <selection pane="bottomLeft" activeCell="H16" sqref="H16"/>
      <selection pane="topRight" activeCell="H16" sqref="H16"/>
      <selection pane="bottomRight" activeCell="B81" sqref="B81"/>
    </sheetView>
  </sheetViews>
  <sheetFormatPr defaultColWidth="9.14428571428571" defaultRowHeight="12.75"/>
  <cols>
    <col min="1" max="1" width="6.57142857142857" style="115" customWidth="1"/>
    <col min="2" max="2" width="66.5714285714286" style="115" customWidth="1"/>
    <col min="3" max="3" width="1.71428571428571" style="115" customWidth="1"/>
    <col min="4" max="5" width="19.4285714285714" style="115" customWidth="1"/>
    <col min="6" max="6" width="18.8571428571429" style="115" bestFit="1" customWidth="1"/>
    <col min="7" max="7" width="15" style="115" bestFit="1" customWidth="1"/>
    <col min="8" max="8" width="14.5714285714286" style="115" bestFit="1" customWidth="1"/>
    <col min="9" max="9" width="9.28571428571429" style="115" bestFit="1" customWidth="1"/>
    <col min="10" max="10" width="12.8571428571429" style="115" bestFit="1" customWidth="1"/>
    <col min="11" max="11" width="7.42857142857143" style="115" bestFit="1" customWidth="1"/>
    <col min="12" max="16384" width="9.14285714285714" style="115"/>
  </cols>
  <sheetData>
    <row r="1" spans="1:1" ht="12.75">
      <c r="A1" s="108" t="str">
        <f>+'[3]Input Data'!$A$9</f>
        <v>2022 RATE CASE</v>
      </c>
    </row>
    <row r="2" spans="1:1" ht="12.75">
      <c r="A2" s="167" t="str">
        <f>+'[3]Input Data'!$A$2</f>
        <v>ONCOR ELECTRIC DELIVERY COMPANY LLC</v>
      </c>
    </row>
    <row r="3" spans="1:1" ht="12.75">
      <c r="A3" s="168" t="str">
        <f>CONCATENATE('[3]Schedule Sponsors'!$A$86,'[3]Schedule Sponsors'!$B$86)</f>
        <v>II-E-3.1  RECONCILIATION OF TEST YEAR BOOK NET INCOME TO TAXABLE NET INCOME</v>
      </c>
    </row>
    <row r="4" spans="1:1" ht="12.75">
      <c r="A4" s="168" t="str">
        <f>+'[3]Input Data'!$A$4</f>
        <v>TEST YEAR ENDING DECEMBER 31, 2021</v>
      </c>
    </row>
    <row r="5" spans="1:1" ht="12.75">
      <c r="A5" s="168" t="str">
        <f>CONCATENATE("SPONSOR: ",'[3]Schedule Sponsors'!$D$86)</f>
        <v>SPONSOR: B. L. CLUTTER</v>
      </c>
    </row>
    <row r="6" spans="1:1" ht="12.75">
      <c r="A6" s="166"/>
    </row>
    <row r="7" spans="2:2" ht="12.75">
      <c r="B7" s="197"/>
    </row>
    <row r="9" ht="13.5" thickBot="1"/>
    <row r="10" spans="1:10" s="177" customFormat="1" ht="12.75">
      <c r="A10" s="271" t="s">
        <v>252</v>
      </c>
      <c r="B10" s="265"/>
      <c r="C10" s="272"/>
      <c r="D10" s="273"/>
      <c r="E10" s="463"/>
      <c r="J10" s="360"/>
    </row>
    <row r="11" spans="1:10" s="177" customFormat="1" ht="12.75">
      <c r="A11" s="274" t="s">
        <v>147</v>
      </c>
      <c r="B11" s="266" t="s">
        <v>69</v>
      </c>
      <c r="C11" s="275"/>
      <c r="D11" s="276" t="s">
        <v>1002</v>
      </c>
      <c r="E11" s="464" t="s">
        <v>644</v>
      </c>
      <c r="J11" s="360"/>
    </row>
    <row r="12" spans="1:10" s="352" customFormat="1" ht="13.5" thickBot="1">
      <c r="A12" s="277"/>
      <c r="B12" s="267" t="s">
        <v>237</v>
      </c>
      <c r="C12" s="278"/>
      <c r="D12" s="279" t="s">
        <v>238</v>
      </c>
      <c r="E12" s="318" t="s">
        <v>239</v>
      </c>
      <c r="J12" s="283"/>
    </row>
    <row r="13" spans="4:10" s="352" customFormat="1" ht="12.75">
      <c r="D13" s="268"/>
      <c r="E13" s="268"/>
      <c r="J13" s="283"/>
    </row>
    <row r="14" spans="1:10" s="352" customFormat="1" ht="12.75">
      <c r="A14" s="353">
        <v>1</v>
      </c>
      <c r="B14" s="352" t="s">
        <v>355</v>
      </c>
      <c r="D14" s="114"/>
      <c r="E14" s="114"/>
      <c r="J14" s="283"/>
    </row>
    <row r="15" spans="1:10" s="352" customFormat="1" ht="12.75">
      <c r="A15" s="353">
        <f t="shared" si="0" ref="A15:A80">A14+1</f>
        <v>2</v>
      </c>
      <c r="B15" s="352" t="s">
        <v>356</v>
      </c>
      <c r="C15" s="280"/>
      <c r="D15" s="483">
        <f>ROUND(+'[2]Op Income'!$E$21,2)</f>
        <v>789217894.16999996</v>
      </c>
      <c r="E15" s="483">
        <v>733461910</v>
      </c>
      <c r="F15" s="281" t="s">
        <v>404</v>
      </c>
      <c r="H15" s="261"/>
      <c r="J15" s="283"/>
    </row>
    <row r="16" spans="1:10" s="352" customFormat="1" ht="12.75">
      <c r="A16" s="353">
        <f t="shared" si="0"/>
        <v>3</v>
      </c>
      <c r="C16" s="282"/>
      <c r="D16" s="114"/>
      <c r="E16" s="114"/>
      <c r="J16" s="283"/>
    </row>
    <row r="17" spans="1:10" s="352" customFormat="1" ht="12.75">
      <c r="A17" s="353">
        <f t="shared" si="0"/>
        <v>4</v>
      </c>
      <c r="B17" s="352" t="s">
        <v>155</v>
      </c>
      <c r="D17" s="15">
        <f>ROUND(+'[2]Op Income'!$E$17,2)</f>
        <v>23877559.489999998</v>
      </c>
      <c r="E17" s="15">
        <v>22577798</v>
      </c>
      <c r="F17" s="281" t="s">
        <v>404</v>
      </c>
      <c r="H17" s="114"/>
      <c r="J17" s="283"/>
    </row>
    <row r="18" spans="1:10" s="352" customFormat="1" ht="12.75">
      <c r="A18" s="353">
        <f t="shared" si="0"/>
        <v>5</v>
      </c>
      <c r="D18" s="484"/>
      <c r="E18" s="484"/>
      <c r="J18" s="283"/>
    </row>
    <row r="19" spans="1:10" s="352" customFormat="1" ht="12.75">
      <c r="A19" s="353">
        <f t="shared" si="0"/>
        <v>6</v>
      </c>
      <c r="B19" s="352" t="s">
        <v>165</v>
      </c>
      <c r="D19" s="15">
        <f>ROUND(+'[2]Op Income'!$E$16+'[2]Op Income'!$E$18,2)</f>
        <v>141205420.41999999</v>
      </c>
      <c r="E19" s="15">
        <v>125526450</v>
      </c>
      <c r="F19" s="281" t="s">
        <v>404</v>
      </c>
      <c r="J19" s="283"/>
    </row>
    <row r="20" spans="1:10" s="352" customFormat="1" ht="12.75">
      <c r="A20" s="353">
        <f t="shared" si="0"/>
        <v>7</v>
      </c>
      <c r="J20" s="283"/>
    </row>
    <row r="21" spans="1:11" s="352" customFormat="1" ht="12.75">
      <c r="A21" s="353">
        <f t="shared" si="0"/>
        <v>8</v>
      </c>
      <c r="B21" s="194" t="s">
        <v>151</v>
      </c>
      <c r="H21" s="263" t="s">
        <v>465</v>
      </c>
      <c r="I21" s="586">
        <v>2021</v>
      </c>
      <c r="J21" s="283"/>
      <c r="K21" s="586">
        <v>2020</v>
      </c>
    </row>
    <row r="22" spans="1:11" s="352" customFormat="1" ht="12.75">
      <c r="A22" s="353">
        <f t="shared" si="0"/>
        <v>9</v>
      </c>
      <c r="H22" s="263" t="s">
        <v>1003</v>
      </c>
      <c r="I22" s="587">
        <v>-205790</v>
      </c>
      <c r="J22" s="283"/>
      <c r="K22" s="587">
        <v>-186081</v>
      </c>
    </row>
    <row r="23" spans="1:13" s="352" customFormat="1" ht="12.75">
      <c r="A23" s="353">
        <f t="shared" si="0"/>
        <v>10</v>
      </c>
      <c r="B23" s="352" t="s">
        <v>415</v>
      </c>
      <c r="D23" s="483">
        <f>+'II-E-3'!E32</f>
        <v>1697686.1399999999</v>
      </c>
      <c r="E23" s="483">
        <v>2869393</v>
      </c>
      <c r="F23" s="263" t="s">
        <v>232</v>
      </c>
      <c r="H23" s="263" t="s">
        <v>1004</v>
      </c>
      <c r="I23" s="587">
        <v>-107497.55934750001</v>
      </c>
      <c r="J23" s="362"/>
      <c r="K23" s="587">
        <v>-107497.53136500002</v>
      </c>
      <c r="L23" s="197"/>
      <c r="M23" s="197"/>
    </row>
    <row r="24" spans="1:11" s="197" customFormat="1" ht="12.75">
      <c r="A24" s="353">
        <f t="shared" si="0"/>
        <v>11</v>
      </c>
      <c r="B24" s="146" t="s">
        <v>416</v>
      </c>
      <c r="C24" s="352"/>
      <c r="D24" s="15">
        <f>+'II-E-3'!E33</f>
        <v>207160</v>
      </c>
      <c r="E24" s="15">
        <v>177236</v>
      </c>
      <c r="F24" s="263" t="s">
        <v>232</v>
      </c>
      <c r="H24" s="650" t="s">
        <v>1005</v>
      </c>
      <c r="I24" s="588">
        <v>63550</v>
      </c>
      <c r="K24" s="588">
        <v>0</v>
      </c>
    </row>
    <row r="25" spans="1:13" s="197" customFormat="1" ht="12.75">
      <c r="A25" s="353">
        <f t="shared" si="0"/>
        <v>12</v>
      </c>
      <c r="B25" s="581" t="s">
        <v>646</v>
      </c>
      <c r="C25" s="352"/>
      <c r="D25" s="15">
        <f>+'II-E-3'!E34</f>
        <v>1420342.1399999999</v>
      </c>
      <c r="E25" s="15">
        <v>449568</v>
      </c>
      <c r="F25" s="263" t="s">
        <v>232</v>
      </c>
      <c r="H25" s="361">
        <f>+D28+D17</f>
        <v>-249737.51000000164</v>
      </c>
      <c r="I25" s="588">
        <f>SUM(I22:I24)</f>
        <v>-249737.55934749998</v>
      </c>
      <c r="J25" s="361">
        <f>+E17+E28</f>
        <v>-293579</v>
      </c>
      <c r="K25" s="588">
        <f>SUM(K22:K24)</f>
        <v>-293578.531365</v>
      </c>
      <c r="L25" s="352"/>
      <c r="M25" s="352"/>
    </row>
    <row r="26" spans="1:10" s="352" customFormat="1" ht="12.75">
      <c r="A26" s="353">
        <f t="shared" si="0"/>
        <v>13</v>
      </c>
      <c r="B26" s="146" t="s">
        <v>60</v>
      </c>
      <c r="D26" s="485">
        <f>+'II-E-3'!E35</f>
        <v>-4969701.4299999997</v>
      </c>
      <c r="E26" s="15">
        <v>-4182465</v>
      </c>
      <c r="F26" s="263" t="s">
        <v>232</v>
      </c>
      <c r="J26" s="283"/>
    </row>
    <row r="27" spans="1:10" s="352" customFormat="1" ht="12.75">
      <c r="A27" s="353">
        <f t="shared" si="0"/>
        <v>14</v>
      </c>
      <c r="B27" s="352" t="s">
        <v>386</v>
      </c>
      <c r="D27" s="15">
        <f>-'II-E-3'!E26</f>
        <v>-120366.49000000001</v>
      </c>
      <c r="E27" s="15">
        <v>-120366</v>
      </c>
      <c r="F27" s="263" t="s">
        <v>232</v>
      </c>
      <c r="J27" s="283"/>
    </row>
    <row r="28" spans="1:10" s="352" customFormat="1" ht="12.75">
      <c r="A28" s="353">
        <f t="shared" si="0"/>
        <v>15</v>
      </c>
      <c r="B28" s="352" t="s">
        <v>481</v>
      </c>
      <c r="D28" s="486">
        <f>-24127297</f>
        <v>-24127297</v>
      </c>
      <c r="E28" s="486">
        <f>-22871377</f>
        <v>-22871377</v>
      </c>
      <c r="I28" s="484"/>
      <c r="J28" s="283"/>
    </row>
    <row r="29" spans="1:10" s="352" customFormat="1" ht="12.75">
      <c r="A29" s="353">
        <f t="shared" si="0"/>
        <v>16</v>
      </c>
      <c r="G29" s="261"/>
      <c r="J29" s="283"/>
    </row>
    <row r="30" spans="1:10" s="352" customFormat="1" ht="12.75">
      <c r="A30" s="353">
        <f t="shared" si="0"/>
        <v>17</v>
      </c>
      <c r="B30" s="352" t="s">
        <v>152</v>
      </c>
      <c r="D30" s="483">
        <f>SUM(D23:D28)</f>
        <v>-25892176.640000001</v>
      </c>
      <c r="E30" s="483">
        <f>SUM(E23:E28)</f>
        <v>-23678011</v>
      </c>
      <c r="J30" s="283"/>
    </row>
    <row r="31" spans="1:10" s="352" customFormat="1" ht="12.75">
      <c r="A31" s="353">
        <f t="shared" si="0"/>
        <v>18</v>
      </c>
      <c r="J31" s="283"/>
    </row>
    <row r="32" spans="1:13" s="352" customFormat="1" ht="12.75">
      <c r="A32" s="353">
        <f t="shared" si="0"/>
        <v>19</v>
      </c>
      <c r="B32" s="194" t="s">
        <v>153</v>
      </c>
      <c r="H32" s="197"/>
      <c r="I32" s="197"/>
      <c r="J32" s="362"/>
      <c r="K32" s="197"/>
      <c r="L32" s="197"/>
      <c r="M32" s="197"/>
    </row>
    <row r="33" spans="1:13" s="197" customFormat="1" ht="12.75">
      <c r="A33" s="353">
        <f t="shared" si="0"/>
        <v>20</v>
      </c>
      <c r="B33" s="352"/>
      <c r="C33" s="352"/>
      <c r="D33" s="352"/>
      <c r="E33" s="352"/>
      <c r="H33" s="352"/>
      <c r="I33" s="352"/>
      <c r="J33" s="283"/>
      <c r="K33" s="352"/>
      <c r="L33" s="352"/>
      <c r="M33" s="352"/>
    </row>
    <row r="34" spans="1:10" s="352" customFormat="1" ht="12.75">
      <c r="A34" s="353">
        <f t="shared" si="0"/>
        <v>21</v>
      </c>
      <c r="B34" s="197" t="s">
        <v>301</v>
      </c>
      <c r="H34" s="197"/>
      <c r="I34" s="197"/>
      <c r="J34" s="512"/>
    </row>
    <row r="35" spans="1:9" s="352" customFormat="1" ht="12.75">
      <c r="A35" s="353">
        <f t="shared" si="0"/>
        <v>22</v>
      </c>
      <c r="B35" s="197" t="s">
        <v>174</v>
      </c>
      <c r="D35" s="483">
        <f>+'II-E-3.16'!D15</f>
        <v>-140027423</v>
      </c>
      <c r="E35" s="474">
        <v>-62536985</v>
      </c>
      <c r="F35" s="263" t="s">
        <v>56</v>
      </c>
      <c r="G35" s="727"/>
      <c r="H35" s="197"/>
      <c r="I35" s="197"/>
    </row>
    <row r="36" spans="1:9" s="352" customFormat="1" ht="12.75">
      <c r="A36" s="353">
        <f t="shared" si="0"/>
        <v>23</v>
      </c>
      <c r="B36" s="197" t="s">
        <v>363</v>
      </c>
      <c r="D36" s="15">
        <f>+'II-E-3.16'!D16</f>
        <v>-135840689</v>
      </c>
      <c r="E36" s="474">
        <v>-107159529</v>
      </c>
      <c r="F36" s="263" t="s">
        <v>56</v>
      </c>
      <c r="G36" s="727"/>
      <c r="H36" s="197"/>
      <c r="I36" s="197"/>
    </row>
    <row r="37" spans="1:9" s="352" customFormat="1" ht="12.75">
      <c r="A37" s="353">
        <f t="shared" si="0"/>
        <v>24</v>
      </c>
      <c r="B37" s="197" t="s">
        <v>418</v>
      </c>
      <c r="D37" s="15">
        <f>+'II-E-3.16'!D17</f>
        <v>-151262484</v>
      </c>
      <c r="E37" s="474">
        <v>-174384834</v>
      </c>
      <c r="F37" s="263" t="s">
        <v>56</v>
      </c>
      <c r="G37" s="727"/>
      <c r="H37" s="197"/>
      <c r="I37" s="197"/>
    </row>
    <row r="38" spans="1:9" s="352" customFormat="1" ht="12.75">
      <c r="A38" s="353">
        <f t="shared" si="0"/>
        <v>25</v>
      </c>
      <c r="B38" s="197" t="s">
        <v>336</v>
      </c>
      <c r="D38" s="15">
        <f>+'II-E-3.16'!D18</f>
        <v>-129340536</v>
      </c>
      <c r="E38" s="474">
        <v>-109554756</v>
      </c>
      <c r="F38" s="263" t="s">
        <v>56</v>
      </c>
      <c r="G38" s="727"/>
      <c r="H38" s="197"/>
      <c r="I38" s="197"/>
    </row>
    <row r="39" spans="1:9" s="352" customFormat="1" ht="12.75">
      <c r="A39" s="353">
        <f t="shared" si="0"/>
        <v>26</v>
      </c>
      <c r="B39" s="660" t="s">
        <v>437</v>
      </c>
      <c r="D39" s="15">
        <f>+'II-E-3.16'!D19</f>
        <v>-36210732</v>
      </c>
      <c r="E39" s="474">
        <v>-39214961</v>
      </c>
      <c r="F39" s="263" t="s">
        <v>56</v>
      </c>
      <c r="G39" s="727"/>
      <c r="H39" s="197"/>
      <c r="I39" s="197"/>
    </row>
    <row r="40" spans="1:9" s="352" customFormat="1" ht="12.75">
      <c r="A40" s="353">
        <f t="shared" si="0"/>
        <v>27</v>
      </c>
      <c r="B40" s="197" t="s">
        <v>29</v>
      </c>
      <c r="D40" s="15">
        <f>+'II-E-3.16'!D20</f>
        <v>48861823</v>
      </c>
      <c r="E40" s="474">
        <v>43963357</v>
      </c>
      <c r="F40" s="263" t="s">
        <v>56</v>
      </c>
      <c r="G40" s="727"/>
      <c r="H40" s="197"/>
      <c r="I40" s="197"/>
    </row>
    <row r="41" spans="1:9" s="352" customFormat="1" ht="12.75">
      <c r="A41" s="353">
        <f t="shared" si="0"/>
        <v>28</v>
      </c>
      <c r="B41" s="197" t="s">
        <v>362</v>
      </c>
      <c r="D41" s="15">
        <f>+'II-E-3.16'!D21</f>
        <v>17913000</v>
      </c>
      <c r="E41" s="474">
        <v>27515000</v>
      </c>
      <c r="F41" s="263" t="s">
        <v>56</v>
      </c>
      <c r="G41" s="727"/>
      <c r="H41" s="197"/>
      <c r="I41" s="197"/>
    </row>
    <row r="42" spans="1:9" s="352" customFormat="1" ht="12.75">
      <c r="A42" s="353">
        <f t="shared" si="0"/>
        <v>29</v>
      </c>
      <c r="B42" s="197" t="s">
        <v>28</v>
      </c>
      <c r="D42" s="15">
        <f>+'II-E-3.16'!D22</f>
        <v>-14204809</v>
      </c>
      <c r="E42" s="474">
        <v>-19124617</v>
      </c>
      <c r="F42" s="263" t="s">
        <v>56</v>
      </c>
      <c r="G42" s="727"/>
      <c r="H42" s="197"/>
      <c r="I42" s="197"/>
    </row>
    <row r="43" spans="1:9" s="352" customFormat="1" ht="12.75">
      <c r="A43" s="353">
        <f t="shared" si="0"/>
        <v>30</v>
      </c>
      <c r="B43" s="197" t="s">
        <v>27</v>
      </c>
      <c r="D43" s="15">
        <f>+'II-E-3.16'!D23</f>
        <v>-12047944</v>
      </c>
      <c r="E43" s="474">
        <v>-31027860</v>
      </c>
      <c r="F43" s="263" t="s">
        <v>56</v>
      </c>
      <c r="G43" s="727"/>
      <c r="H43" s="197"/>
      <c r="I43" s="197"/>
    </row>
    <row r="44" spans="1:9" s="352" customFormat="1" ht="12.75">
      <c r="A44" s="353">
        <f t="shared" si="0"/>
        <v>31</v>
      </c>
      <c r="B44" s="197" t="s">
        <v>664</v>
      </c>
      <c r="C44" s="197"/>
      <c r="D44" s="485">
        <f>+'II-E-3.16'!D24</f>
        <v>-21475301</v>
      </c>
      <c r="E44" s="474">
        <v>-21628498</v>
      </c>
      <c r="F44" s="263" t="s">
        <v>56</v>
      </c>
      <c r="G44" s="727"/>
      <c r="H44" s="197"/>
      <c r="I44" s="197"/>
    </row>
    <row r="45" spans="1:9" s="352" customFormat="1" ht="12.75">
      <c r="A45" s="353">
        <f t="shared" si="0"/>
        <v>32</v>
      </c>
      <c r="B45" s="197" t="s">
        <v>361</v>
      </c>
      <c r="D45" s="15">
        <f>+'II-E-3.16'!D25</f>
        <v>1214871</v>
      </c>
      <c r="E45" s="474">
        <v>1922216</v>
      </c>
      <c r="F45" s="263" t="s">
        <v>56</v>
      </c>
      <c r="G45" s="727"/>
      <c r="H45" s="197"/>
      <c r="I45" s="197"/>
    </row>
    <row r="46" spans="1:9" s="352" customFormat="1" ht="12.75">
      <c r="A46" s="353">
        <f t="shared" si="0"/>
        <v>33</v>
      </c>
      <c r="B46" s="197" t="s">
        <v>420</v>
      </c>
      <c r="D46" s="15">
        <f>+'II-E-3.16'!D26</f>
        <v>3635365</v>
      </c>
      <c r="E46" s="474">
        <v>4409064</v>
      </c>
      <c r="F46" s="263" t="s">
        <v>56</v>
      </c>
      <c r="G46" s="727"/>
      <c r="H46" s="197"/>
      <c r="I46" s="197"/>
    </row>
    <row r="47" spans="1:9" s="352" customFormat="1" ht="12.75">
      <c r="A47" s="353">
        <f t="shared" si="0"/>
        <v>34</v>
      </c>
      <c r="B47" s="660" t="s">
        <v>447</v>
      </c>
      <c r="D47" s="15">
        <f>+'II-E-3.16'!D27</f>
        <v>-10463199</v>
      </c>
      <c r="E47" s="474">
        <v>-14963809</v>
      </c>
      <c r="F47" s="263" t="s">
        <v>56</v>
      </c>
      <c r="G47" s="727"/>
      <c r="H47" s="197"/>
      <c r="I47" s="197"/>
    </row>
    <row r="48" spans="1:9" s="352" customFormat="1" ht="12.75">
      <c r="A48" s="353">
        <f t="shared" si="0"/>
        <v>35</v>
      </c>
      <c r="B48" s="660" t="s">
        <v>448</v>
      </c>
      <c r="D48" s="15">
        <f>+'II-E-3.16'!D28</f>
        <v>51678</v>
      </c>
      <c r="E48" s="474">
        <v>2236146</v>
      </c>
      <c r="F48" s="263" t="s">
        <v>56</v>
      </c>
      <c r="G48" s="727"/>
      <c r="H48" s="197"/>
      <c r="I48" s="197"/>
    </row>
    <row r="49" spans="1:9" s="352" customFormat="1" ht="12.75">
      <c r="A49" s="353">
        <f t="shared" si="0"/>
        <v>36</v>
      </c>
      <c r="B49" s="197" t="s">
        <v>421</v>
      </c>
      <c r="D49" s="15">
        <f>+'II-E-3.16'!D29</f>
        <v>7788021</v>
      </c>
      <c r="E49" s="474">
        <v>5144380</v>
      </c>
      <c r="F49" s="263" t="s">
        <v>56</v>
      </c>
      <c r="G49" s="727"/>
      <c r="H49" s="197"/>
      <c r="I49" s="197"/>
    </row>
    <row r="50" spans="1:9" s="352" customFormat="1" ht="12.75">
      <c r="A50" s="353">
        <f t="shared" si="0"/>
        <v>37</v>
      </c>
      <c r="B50" s="197" t="s">
        <v>177</v>
      </c>
      <c r="D50" s="15">
        <f>+'II-E-3.16'!D30</f>
        <v>60560259</v>
      </c>
      <c r="E50" s="474">
        <v>33817030</v>
      </c>
      <c r="F50" s="263" t="s">
        <v>56</v>
      </c>
      <c r="G50" s="727"/>
      <c r="H50" s="197"/>
      <c r="I50" s="197"/>
    </row>
    <row r="51" spans="1:13" s="352" customFormat="1" ht="12.75">
      <c r="A51" s="353">
        <f t="shared" si="0"/>
        <v>38</v>
      </c>
      <c r="B51" s="197" t="s">
        <v>26</v>
      </c>
      <c r="D51" s="15">
        <f>+'II-E-3.16'!D31</f>
        <v>4755508</v>
      </c>
      <c r="E51" s="474">
        <v>2047167</v>
      </c>
      <c r="F51" s="263" t="s">
        <v>56</v>
      </c>
      <c r="G51" s="727"/>
      <c r="H51" s="197"/>
      <c r="I51" s="197"/>
      <c r="K51" s="197"/>
      <c r="L51" s="197"/>
      <c r="M51" s="197"/>
    </row>
    <row r="52" spans="1:7" s="197" customFormat="1" ht="12.75">
      <c r="A52" s="353">
        <f t="shared" si="0"/>
        <v>39</v>
      </c>
      <c r="B52" s="197" t="s">
        <v>369</v>
      </c>
      <c r="C52" s="352"/>
      <c r="D52" s="15">
        <f>+'II-E-3.16'!D32</f>
        <v>-1923024</v>
      </c>
      <c r="E52" s="474">
        <v>-1336617</v>
      </c>
      <c r="F52" s="263" t="s">
        <v>56</v>
      </c>
      <c r="G52" s="727"/>
    </row>
    <row r="53" spans="1:7" s="197" customFormat="1" ht="12.75">
      <c r="A53" s="353">
        <f t="shared" si="0"/>
        <v>40</v>
      </c>
      <c r="B53" s="197" t="s">
        <v>189</v>
      </c>
      <c r="C53" s="352"/>
      <c r="D53" s="15">
        <f>+'II-E-3.16'!D33</f>
        <v>-332581</v>
      </c>
      <c r="E53" s="474">
        <v>1156394</v>
      </c>
      <c r="F53" s="263" t="s">
        <v>56</v>
      </c>
      <c r="G53" s="727"/>
    </row>
    <row r="54" spans="1:7" s="197" customFormat="1" ht="12.75">
      <c r="A54" s="353">
        <f t="shared" si="0"/>
        <v>41</v>
      </c>
      <c r="B54" s="197" t="s">
        <v>175</v>
      </c>
      <c r="C54" s="352"/>
      <c r="D54" s="15">
        <f>+'II-E-3.16'!D34</f>
        <v>-14185444</v>
      </c>
      <c r="E54" s="474">
        <v>20893941</v>
      </c>
      <c r="F54" s="263" t="s">
        <v>56</v>
      </c>
      <c r="G54" s="727"/>
    </row>
    <row r="55" spans="1:13" s="197" customFormat="1" ht="12.75">
      <c r="A55" s="353">
        <f t="shared" si="0"/>
        <v>42</v>
      </c>
      <c r="B55" s="197" t="s">
        <v>365</v>
      </c>
      <c r="C55" s="352"/>
      <c r="D55" s="15">
        <f>+'II-E-3.16'!D35</f>
        <v>-2990594</v>
      </c>
      <c r="E55" s="474">
        <v>-460611</v>
      </c>
      <c r="F55" s="263" t="s">
        <v>56</v>
      </c>
      <c r="G55" s="727"/>
      <c r="K55" s="352"/>
      <c r="L55" s="352"/>
      <c r="M55" s="352"/>
    </row>
    <row r="56" spans="1:9" s="352" customFormat="1" ht="12.75">
      <c r="A56" s="353">
        <f t="shared" si="0"/>
        <v>43</v>
      </c>
      <c r="B56" s="197" t="s">
        <v>673</v>
      </c>
      <c r="D56" s="15">
        <f>+'II-E-3.16'!D36</f>
        <v>-3864232</v>
      </c>
      <c r="E56" s="474">
        <v>7638544</v>
      </c>
      <c r="F56" s="263" t="s">
        <v>56</v>
      </c>
      <c r="G56" s="727"/>
      <c r="H56" s="197"/>
      <c r="I56" s="197"/>
    </row>
    <row r="57" spans="1:9" s="352" customFormat="1" ht="12.75">
      <c r="A57" s="353">
        <f t="shared" si="0"/>
        <v>44</v>
      </c>
      <c r="B57" s="197" t="s">
        <v>674</v>
      </c>
      <c r="D57" s="15">
        <f>+'II-E-3.16'!D37</f>
        <v>213</v>
      </c>
      <c r="E57" s="474">
        <v>213</v>
      </c>
      <c r="F57" s="263" t="s">
        <v>56</v>
      </c>
      <c r="G57" s="727"/>
      <c r="H57" s="197"/>
      <c r="I57" s="197"/>
    </row>
    <row r="58" spans="1:9" s="352" customFormat="1" ht="12.75">
      <c r="A58" s="353">
        <f t="shared" si="0"/>
        <v>45</v>
      </c>
      <c r="B58" s="197" t="s">
        <v>675</v>
      </c>
      <c r="D58" s="15">
        <f>+'II-E-3.16'!D38</f>
        <v>2894</v>
      </c>
      <c r="E58" s="474">
        <v>3082</v>
      </c>
      <c r="F58" s="263" t="s">
        <v>56</v>
      </c>
      <c r="G58" s="727"/>
      <c r="H58" s="197"/>
      <c r="I58" s="197"/>
    </row>
    <row r="59" spans="1:9" s="352" customFormat="1" ht="12.75">
      <c r="A59" s="353">
        <f t="shared" si="0"/>
        <v>46</v>
      </c>
      <c r="B59" s="197" t="s">
        <v>676</v>
      </c>
      <c r="D59" s="15">
        <f>+'II-E-3.16'!D39</f>
        <v>107246</v>
      </c>
      <c r="E59" s="474">
        <v>249371</v>
      </c>
      <c r="F59" s="263" t="s">
        <v>56</v>
      </c>
      <c r="G59" s="727"/>
      <c r="H59" s="197"/>
      <c r="I59" s="197"/>
    </row>
    <row r="60" spans="1:9" s="352" customFormat="1" ht="12.75">
      <c r="A60" s="353">
        <f t="shared" si="0"/>
        <v>47</v>
      </c>
      <c r="B60" s="197" t="s">
        <v>677</v>
      </c>
      <c r="D60" s="15">
        <f>+'II-E-3.16'!D40</f>
        <v>-432008</v>
      </c>
      <c r="E60" s="474">
        <v>735475</v>
      </c>
      <c r="F60" s="263" t="s">
        <v>56</v>
      </c>
      <c r="G60" s="727"/>
      <c r="H60" s="197"/>
      <c r="I60" s="197"/>
    </row>
    <row r="61" spans="1:9" s="352" customFormat="1" ht="12.75">
      <c r="A61" s="353">
        <f t="shared" si="0"/>
        <v>48</v>
      </c>
      <c r="B61" s="197" t="s">
        <v>1006</v>
      </c>
      <c r="D61" s="15">
        <f>+'II-E-3.16'!D41</f>
        <v>5787313</v>
      </c>
      <c r="E61" s="15">
        <v>0</v>
      </c>
      <c r="F61" s="263" t="s">
        <v>56</v>
      </c>
      <c r="G61" s="727"/>
      <c r="H61" s="197"/>
      <c r="I61" s="197"/>
    </row>
    <row r="62" spans="1:13" s="352" customFormat="1" ht="12.75">
      <c r="A62" s="353">
        <f t="shared" si="0"/>
        <v>49</v>
      </c>
      <c r="B62" s="197" t="s">
        <v>1007</v>
      </c>
      <c r="D62" s="15">
        <f>+'II-E-3.16'!D42</f>
        <v>10657230</v>
      </c>
      <c r="E62" s="15">
        <v>0</v>
      </c>
      <c r="F62" s="263" t="s">
        <v>56</v>
      </c>
      <c r="G62" s="727"/>
      <c r="H62" s="197"/>
      <c r="I62" s="197"/>
      <c r="K62" s="197"/>
      <c r="L62" s="197"/>
      <c r="M62" s="197"/>
    </row>
    <row r="63" spans="1:13" s="197" customFormat="1" ht="12.75">
      <c r="A63" s="353">
        <f t="shared" si="0"/>
        <v>50</v>
      </c>
      <c r="B63" s="197" t="s">
        <v>1008</v>
      </c>
      <c r="C63" s="352"/>
      <c r="D63" s="15">
        <f>+'II-E-3.16'!D43</f>
        <v>13536943</v>
      </c>
      <c r="E63" s="15">
        <v>0</v>
      </c>
      <c r="F63" s="263" t="s">
        <v>56</v>
      </c>
      <c r="G63" s="727"/>
      <c r="J63" s="352"/>
      <c r="K63" s="352"/>
      <c r="L63" s="352"/>
      <c r="M63" s="352"/>
    </row>
    <row r="64" spans="1:10" s="352" customFormat="1" ht="12.75">
      <c r="A64" s="353">
        <f t="shared" si="0"/>
        <v>51</v>
      </c>
      <c r="B64" s="197" t="s">
        <v>423</v>
      </c>
      <c r="D64" s="15">
        <f>+'II-E-3.16'!D44</f>
        <v>-75167030</v>
      </c>
      <c r="E64" s="114">
        <v>28826623</v>
      </c>
      <c r="F64" s="263" t="s">
        <v>56</v>
      </c>
      <c r="G64" s="727"/>
      <c r="H64" s="197"/>
      <c r="I64" s="197"/>
      <c r="J64" s="474"/>
    </row>
    <row r="65" spans="1:10" s="352" customFormat="1" ht="12.75">
      <c r="A65" s="353">
        <f t="shared" si="0"/>
        <v>52</v>
      </c>
      <c r="B65" s="197" t="s">
        <v>190</v>
      </c>
      <c r="D65" s="15">
        <f>+'II-E-3.16'!D45</f>
        <v>2055700</v>
      </c>
      <c r="E65" s="114">
        <v>-1449985</v>
      </c>
      <c r="F65" s="263" t="s">
        <v>56</v>
      </c>
      <c r="G65" s="727"/>
      <c r="H65" s="197"/>
      <c r="I65" s="197"/>
      <c r="J65" s="474"/>
    </row>
    <row r="66" spans="1:10" s="352" customFormat="1" ht="12.75">
      <c r="A66" s="353">
        <f t="shared" si="0"/>
        <v>53</v>
      </c>
      <c r="B66" s="197" t="s">
        <v>666</v>
      </c>
      <c r="D66" s="15">
        <f>+'II-E-3.16'!D46</f>
        <v>1718757</v>
      </c>
      <c r="E66" s="114">
        <v>-28034352</v>
      </c>
      <c r="F66" s="263" t="s">
        <v>56</v>
      </c>
      <c r="G66" s="727"/>
      <c r="H66" s="197"/>
      <c r="I66" s="197"/>
      <c r="J66" s="474"/>
    </row>
    <row r="67" spans="1:10" s="352" customFormat="1" ht="12.75">
      <c r="A67" s="353">
        <f t="shared" si="0"/>
        <v>54</v>
      </c>
      <c r="B67" s="197" t="s">
        <v>386</v>
      </c>
      <c r="D67" s="15">
        <f>+'II-E-3.16'!D47</f>
        <v>-28983</v>
      </c>
      <c r="E67" s="114">
        <v>-28983</v>
      </c>
      <c r="F67" s="263" t="s">
        <v>56</v>
      </c>
      <c r="G67" s="727"/>
      <c r="H67" s="197"/>
      <c r="I67" s="197"/>
      <c r="J67" s="474"/>
    </row>
    <row r="68" spans="1:10" s="352" customFormat="1" ht="12.75">
      <c r="A68" s="353">
        <f t="shared" si="0"/>
        <v>55</v>
      </c>
      <c r="B68" s="197" t="s">
        <v>678</v>
      </c>
      <c r="D68" s="15">
        <f>+'II-E-3.16'!D48</f>
        <v>-9956282</v>
      </c>
      <c r="E68" s="114">
        <v>21603171</v>
      </c>
      <c r="F68" s="263" t="s">
        <v>56</v>
      </c>
      <c r="G68" s="727"/>
      <c r="H68" s="197"/>
      <c r="I68" s="197"/>
      <c r="J68" s="474"/>
    </row>
    <row r="69" spans="1:10" s="352" customFormat="1" ht="12.75">
      <c r="A69" s="353">
        <f t="shared" si="0"/>
        <v>56</v>
      </c>
      <c r="B69" s="197" t="s">
        <v>387</v>
      </c>
      <c r="D69" s="15">
        <f>+'II-E-3.16'!D49</f>
        <v>20475726</v>
      </c>
      <c r="E69" s="114">
        <v>20475720</v>
      </c>
      <c r="F69" s="263" t="s">
        <v>56</v>
      </c>
      <c r="G69" s="727"/>
      <c r="H69" s="197"/>
      <c r="I69" s="197"/>
      <c r="J69" s="474"/>
    </row>
    <row r="70" spans="1:10" s="352" customFormat="1" ht="12.75">
      <c r="A70" s="353">
        <f t="shared" si="0"/>
        <v>57</v>
      </c>
      <c r="B70" s="660" t="s">
        <v>1202</v>
      </c>
      <c r="D70" s="15">
        <f>+'II-E-3.16'!D50</f>
        <v>53575328</v>
      </c>
      <c r="E70" s="114">
        <v>67308277</v>
      </c>
      <c r="F70" s="263" t="s">
        <v>56</v>
      </c>
      <c r="G70" s="727"/>
      <c r="H70" s="197"/>
      <c r="I70" s="197"/>
      <c r="J70" s="474"/>
    </row>
    <row r="71" spans="1:10" s="352" customFormat="1" ht="12.75">
      <c r="A71" s="353">
        <f t="shared" si="0"/>
        <v>58</v>
      </c>
      <c r="B71" s="197" t="s">
        <v>25</v>
      </c>
      <c r="D71" s="15">
        <f>+'II-E-3.16'!D51</f>
        <v>644985</v>
      </c>
      <c r="E71" s="114">
        <v>644985</v>
      </c>
      <c r="F71" s="263" t="s">
        <v>56</v>
      </c>
      <c r="G71" s="727"/>
      <c r="H71" s="197"/>
      <c r="I71" s="197"/>
      <c r="J71" s="474"/>
    </row>
    <row r="72" spans="1:10" s="352" customFormat="1" ht="12.75">
      <c r="A72" s="353">
        <f t="shared" si="0"/>
        <v>59</v>
      </c>
      <c r="B72" s="146" t="s">
        <v>388</v>
      </c>
      <c r="D72" s="15">
        <v>0</v>
      </c>
      <c r="E72" s="114">
        <v>15658460</v>
      </c>
      <c r="F72" s="263"/>
      <c r="G72" s="727"/>
      <c r="H72" s="197"/>
      <c r="I72" s="197"/>
      <c r="J72" s="474"/>
    </row>
    <row r="73" spans="1:10" s="352" customFormat="1" ht="12.75">
      <c r="A73" s="353">
        <f t="shared" si="0"/>
        <v>60</v>
      </c>
      <c r="B73" s="197" t="s">
        <v>1010</v>
      </c>
      <c r="D73" s="15">
        <f>+'II-E-3.16'!D52</f>
        <v>-16546989</v>
      </c>
      <c r="E73" s="114">
        <v>-5052328</v>
      </c>
      <c r="F73" s="263" t="s">
        <v>56</v>
      </c>
      <c r="G73" s="727"/>
      <c r="H73" s="197"/>
      <c r="I73" s="197"/>
      <c r="J73" s="474"/>
    </row>
    <row r="74" spans="1:7" s="352" customFormat="1" ht="12.75">
      <c r="A74" s="353">
        <f t="shared" si="0"/>
        <v>61</v>
      </c>
      <c r="B74" s="660" t="s">
        <v>1204</v>
      </c>
      <c r="D74" s="15">
        <f>+'II-E-3.16'!D53</f>
        <v>-26088</v>
      </c>
      <c r="E74" s="114">
        <v>0</v>
      </c>
      <c r="F74" s="263" t="s">
        <v>56</v>
      </c>
      <c r="G74" s="727"/>
    </row>
    <row r="75" spans="1:10" s="352" customFormat="1" ht="12.75">
      <c r="A75" s="353">
        <f t="shared" si="0"/>
        <v>62</v>
      </c>
      <c r="B75" s="197" t="s">
        <v>176</v>
      </c>
      <c r="D75" s="15">
        <f>+'II-E-3.16'!D54</f>
        <v>4466185</v>
      </c>
      <c r="E75" s="114">
        <v>30867063</v>
      </c>
      <c r="F75" s="263" t="s">
        <v>56</v>
      </c>
      <c r="G75" s="727"/>
      <c r="H75" s="197"/>
      <c r="I75" s="197"/>
      <c r="J75" s="474"/>
    </row>
    <row r="76" spans="1:10" s="352" customFormat="1" ht="12.75">
      <c r="A76" s="353">
        <f t="shared" si="0"/>
        <v>63</v>
      </c>
      <c r="B76" s="197" t="s">
        <v>424</v>
      </c>
      <c r="D76" s="15">
        <f>+'II-E-3.16'!D55</f>
        <v>873132</v>
      </c>
      <c r="E76" s="114">
        <v>-27721934</v>
      </c>
      <c r="F76" s="263" t="s">
        <v>56</v>
      </c>
      <c r="G76" s="727"/>
      <c r="H76" s="197"/>
      <c r="I76" s="197"/>
      <c r="J76" s="474"/>
    </row>
    <row r="77" spans="1:10" s="352" customFormat="1" ht="12.75">
      <c r="A77" s="353">
        <f t="shared" si="0"/>
        <v>64</v>
      </c>
      <c r="B77" s="197" t="s">
        <v>679</v>
      </c>
      <c r="D77" s="15">
        <f>+'II-E-3.16'!D56</f>
        <v>-767374</v>
      </c>
      <c r="E77" s="114">
        <v>-767374</v>
      </c>
      <c r="F77" s="263" t="s">
        <v>56</v>
      </c>
      <c r="G77" s="727"/>
      <c r="H77" s="197"/>
      <c r="I77" s="197"/>
      <c r="J77" s="474"/>
    </row>
    <row r="78" spans="1:10" s="352" customFormat="1" ht="12.75">
      <c r="A78" s="353">
        <f t="shared" si="0"/>
        <v>65</v>
      </c>
      <c r="B78" s="197" t="s">
        <v>441</v>
      </c>
      <c r="D78" s="15">
        <f>+'II-E-3.16'!D57</f>
        <v>-41275820</v>
      </c>
      <c r="E78" s="114">
        <v>14130852</v>
      </c>
      <c r="F78" s="263" t="s">
        <v>56</v>
      </c>
      <c r="G78" s="727"/>
      <c r="H78" s="197"/>
      <c r="I78" s="197"/>
      <c r="J78" s="474"/>
    </row>
    <row r="79" spans="1:10" s="352" customFormat="1" ht="12.75">
      <c r="A79" s="353">
        <f t="shared" si="0"/>
        <v>66</v>
      </c>
      <c r="B79" s="197" t="s">
        <v>681</v>
      </c>
      <c r="D79" s="15">
        <f>+'II-E-3.16'!D58</f>
        <v>-4415075</v>
      </c>
      <c r="E79" s="114">
        <v>-5268146</v>
      </c>
      <c r="F79" s="263" t="s">
        <v>56</v>
      </c>
      <c r="G79" s="727"/>
      <c r="H79" s="197"/>
      <c r="I79" s="197"/>
      <c r="J79" s="474"/>
    </row>
    <row r="80" spans="1:10" s="352" customFormat="1" ht="12.75">
      <c r="A80" s="353">
        <f t="shared" si="0"/>
        <v>67</v>
      </c>
      <c r="B80" s="197" t="s">
        <v>442</v>
      </c>
      <c r="D80" s="15">
        <f>+'II-E-3.16'!D59</f>
        <v>-8914694</v>
      </c>
      <c r="E80" s="114">
        <v>267957</v>
      </c>
      <c r="F80" s="263" t="s">
        <v>56</v>
      </c>
      <c r="G80" s="727"/>
      <c r="H80" s="197"/>
      <c r="I80" s="197"/>
      <c r="J80" s="474"/>
    </row>
    <row r="81" spans="1:10" s="352" customFormat="1" ht="12.75">
      <c r="A81" s="353">
        <f t="shared" si="1" ref="A81:A91">A80+1</f>
        <v>68</v>
      </c>
      <c r="B81" s="660" t="s">
        <v>1205</v>
      </c>
      <c r="D81" s="15">
        <f>+'II-E-3.16'!D60</f>
        <v>-20686978</v>
      </c>
      <c r="E81" s="114">
        <v>-20944449</v>
      </c>
      <c r="F81" s="263" t="s">
        <v>56</v>
      </c>
      <c r="G81" s="727"/>
      <c r="H81" s="197"/>
      <c r="I81" s="197"/>
      <c r="J81" s="474"/>
    </row>
    <row r="82" spans="1:10" s="352" customFormat="1" ht="12.75">
      <c r="A82" s="353">
        <f t="shared" si="1"/>
        <v>69</v>
      </c>
      <c r="B82" s="197" t="s">
        <v>680</v>
      </c>
      <c r="D82" s="15">
        <f>+'II-E-3.16'!D61</f>
        <v>-200823</v>
      </c>
      <c r="E82" s="114">
        <v>-200823</v>
      </c>
      <c r="F82" s="263" t="s">
        <v>56</v>
      </c>
      <c r="G82" s="727"/>
      <c r="H82" s="197"/>
      <c r="I82" s="197"/>
      <c r="J82" s="474"/>
    </row>
    <row r="83" spans="1:10" s="352" customFormat="1" ht="12.75">
      <c r="A83" s="353">
        <f t="shared" si="1"/>
        <v>70</v>
      </c>
      <c r="B83" s="197" t="s">
        <v>670</v>
      </c>
      <c r="D83" s="15">
        <f>+'II-E-3.16'!D62</f>
        <v>-3283145</v>
      </c>
      <c r="E83" s="114">
        <v>-4264420</v>
      </c>
      <c r="F83" s="263" t="s">
        <v>56</v>
      </c>
      <c r="G83" s="727"/>
      <c r="H83" s="197"/>
      <c r="I83" s="197"/>
      <c r="J83" s="474"/>
    </row>
    <row r="84" spans="1:10" s="352" customFormat="1" ht="12.75">
      <c r="A84" s="353">
        <f t="shared" si="1"/>
        <v>71</v>
      </c>
      <c r="B84" s="374" t="s">
        <v>671</v>
      </c>
      <c r="D84" s="15">
        <v>0</v>
      </c>
      <c r="E84" s="114">
        <v>-5787313</v>
      </c>
      <c r="F84" s="263"/>
      <c r="G84" s="727"/>
      <c r="H84" s="197"/>
      <c r="I84" s="197"/>
      <c r="J84" s="474"/>
    </row>
    <row r="85" spans="1:10" s="352" customFormat="1" ht="12.75">
      <c r="A85" s="353">
        <f t="shared" si="1"/>
        <v>72</v>
      </c>
      <c r="B85" s="197" t="s">
        <v>672</v>
      </c>
      <c r="D85" s="15">
        <f>+'II-E-3.16'!D63</f>
        <v>-13300367</v>
      </c>
      <c r="E85" s="114">
        <v>-21359436</v>
      </c>
      <c r="F85" s="263" t="s">
        <v>56</v>
      </c>
      <c r="G85" s="727"/>
      <c r="H85" s="197"/>
      <c r="I85" s="197"/>
      <c r="J85" s="474"/>
    </row>
    <row r="86" spans="1:11" s="352" customFormat="1" ht="12.75">
      <c r="A86" s="353">
        <f t="shared" si="1"/>
        <v>73</v>
      </c>
      <c r="B86" s="197" t="s">
        <v>1009</v>
      </c>
      <c r="D86" s="15">
        <f>+'II-E-3.16'!D64</f>
        <v>2912142</v>
      </c>
      <c r="E86" s="114">
        <v>0</v>
      </c>
      <c r="F86" s="263" t="s">
        <v>56</v>
      </c>
      <c r="G86" s="727"/>
      <c r="H86" s="197"/>
      <c r="I86" s="197"/>
      <c r="J86" s="474"/>
      <c r="K86" s="300"/>
    </row>
    <row r="87" spans="1:11" s="352" customFormat="1" ht="12.75">
      <c r="A87" s="353">
        <f t="shared" si="1"/>
        <v>74</v>
      </c>
      <c r="B87" s="197" t="s">
        <v>425</v>
      </c>
      <c r="D87" s="15">
        <f>+'II-E-3.16'!D65</f>
        <v>290400</v>
      </c>
      <c r="E87" s="114">
        <v>-3669879</v>
      </c>
      <c r="F87" s="263" t="s">
        <v>56</v>
      </c>
      <c r="G87" s="727"/>
      <c r="H87" s="146"/>
      <c r="I87" s="146"/>
      <c r="J87" s="506"/>
      <c r="K87" s="300"/>
    </row>
    <row r="88" spans="1:11" s="352" customFormat="1" ht="12.75">
      <c r="A88" s="353">
        <f t="shared" si="1"/>
        <v>75</v>
      </c>
      <c r="K88" s="300"/>
    </row>
    <row r="89" spans="1:10" s="352" customFormat="1" ht="12.75">
      <c r="A89" s="353">
        <f t="shared" si="1"/>
        <v>76</v>
      </c>
      <c r="B89" s="352" t="s">
        <v>426</v>
      </c>
      <c r="D89" s="483">
        <f>SUM(D34:D87)</f>
        <v>-607285929</v>
      </c>
      <c r="E89" s="483">
        <f>SUM(E34:E87)</f>
        <v>-354428011</v>
      </c>
      <c r="F89" s="281"/>
      <c r="G89" s="727">
        <f>+'II-E-3.16'!D66</f>
        <v>-607285929</v>
      </c>
      <c r="H89" s="146"/>
      <c r="I89" s="146"/>
      <c r="J89" s="506"/>
    </row>
    <row r="90" spans="1:10" s="352" customFormat="1" ht="12.75">
      <c r="A90" s="353">
        <f t="shared" si="1"/>
        <v>77</v>
      </c>
      <c r="F90" s="281"/>
      <c r="G90" s="487"/>
      <c r="J90" s="283"/>
    </row>
    <row r="91" spans="1:10" s="352" customFormat="1" ht="12.75">
      <c r="A91" s="353">
        <f t="shared" si="1"/>
        <v>78</v>
      </c>
      <c r="B91" s="352" t="s">
        <v>154</v>
      </c>
      <c r="D91" s="483">
        <f>D15+D17+D19+D30+D89</f>
        <v>321122768.43999994</v>
      </c>
      <c r="E91" s="483">
        <f>E15+E17+E19+E30+E89</f>
        <v>503460136</v>
      </c>
      <c r="F91" s="284"/>
      <c r="G91" s="284"/>
      <c r="J91" s="283"/>
    </row>
    <row r="92" spans="1:13" s="352" customFormat="1" ht="12.75">
      <c r="A92" s="353"/>
      <c r="J92" s="283"/>
      <c r="K92" s="115"/>
      <c r="L92" s="115"/>
      <c r="M92" s="115"/>
    </row>
    <row r="93" spans="1:7" ht="12.75">
      <c r="A93" s="353"/>
      <c r="B93" s="352"/>
      <c r="C93" s="352"/>
      <c r="D93" s="352"/>
      <c r="E93" s="352"/>
      <c r="F93" s="352"/>
      <c r="G93" s="352"/>
    </row>
    <row r="94" spans="1:7" ht="12.75">
      <c r="A94" s="353"/>
      <c r="B94" s="269" t="s">
        <v>427</v>
      </c>
      <c r="C94" s="352"/>
      <c r="D94" s="625">
        <f>302706208.7-21475300.6+39891859.8</f>
        <v>321122767.89999998</v>
      </c>
      <c r="E94" s="625">
        <v>503460136</v>
      </c>
      <c r="F94" s="263" t="s">
        <v>1017</v>
      </c>
      <c r="G94" s="352"/>
    </row>
    <row r="95" spans="1:7" ht="12.75">
      <c r="A95" s="353"/>
      <c r="B95" s="269" t="s">
        <v>428</v>
      </c>
      <c r="C95" s="352"/>
      <c r="D95" s="270">
        <f>+D94-D91</f>
        <v>-0.53999996185302734</v>
      </c>
      <c r="E95" s="270">
        <f>+E94-E91</f>
        <v>0</v>
      </c>
      <c r="F95" s="352"/>
      <c r="G95" s="352"/>
    </row>
    <row r="96" spans="1:1" ht="12.75">
      <c r="A96" s="96"/>
    </row>
    <row r="97" spans="1:1" ht="12.75">
      <c r="A97" s="96"/>
    </row>
    <row r="98" spans="1:1" ht="12.75">
      <c r="A98" s="96"/>
    </row>
    <row r="99" spans="1:1" ht="12.75">
      <c r="A99" s="96"/>
    </row>
    <row r="100" spans="1:1" ht="12.75">
      <c r="A100" s="96"/>
    </row>
    <row r="101" spans="1:1" ht="12.75">
      <c r="A101" s="96"/>
    </row>
    <row r="102" spans="1:1" ht="12.75">
      <c r="A102" s="96"/>
    </row>
    <row r="103" spans="1:1" ht="12.75">
      <c r="A103" s="96"/>
    </row>
    <row r="104" spans="1:1" ht="12.75">
      <c r="A104" s="96"/>
    </row>
    <row r="105" spans="1:1" ht="12.75">
      <c r="A105" s="96"/>
    </row>
    <row r="106" spans="1:5" ht="12.75">
      <c r="A106" s="96"/>
      <c r="B106" s="197"/>
      <c r="C106" s="197"/>
      <c r="D106" s="198"/>
      <c r="E106" s="198"/>
    </row>
    <row r="107" spans="1:5" ht="12.75">
      <c r="A107" s="96"/>
      <c r="B107" s="197"/>
      <c r="C107" s="197"/>
      <c r="D107" s="198"/>
      <c r="E107" s="198"/>
    </row>
    <row r="108" spans="2:5" ht="12.75">
      <c r="B108" s="285"/>
      <c r="C108" s="280"/>
      <c r="D108" s="198"/>
      <c r="E108" s="198"/>
    </row>
    <row r="109" spans="2:5" ht="12.75">
      <c r="B109" s="285"/>
      <c r="C109" s="280"/>
      <c r="D109" s="198"/>
      <c r="E109" s="198"/>
    </row>
    <row r="110" spans="2:5" ht="15">
      <c r="B110" s="286"/>
      <c r="C110" s="287"/>
      <c r="D110" s="198"/>
      <c r="E110" s="198"/>
    </row>
    <row r="111" spans="2:5" ht="15">
      <c r="B111" s="286"/>
      <c r="C111" s="287"/>
      <c r="D111" s="198"/>
      <c r="E111" s="198"/>
    </row>
    <row r="112" spans="2:5" ht="15">
      <c r="B112" s="286"/>
      <c r="C112" s="287"/>
      <c r="D112" s="198"/>
      <c r="E112" s="198"/>
    </row>
    <row r="113" spans="2:5" ht="15">
      <c r="B113" s="286"/>
      <c r="C113" s="287"/>
      <c r="D113" s="198"/>
      <c r="E113" s="198"/>
    </row>
    <row r="114" spans="2:5" ht="15">
      <c r="B114" s="286"/>
      <c r="C114" s="287"/>
      <c r="D114" s="198"/>
      <c r="E114" s="198"/>
    </row>
    <row r="115" spans="2:5" ht="15">
      <c r="B115" s="286"/>
      <c r="C115" s="287"/>
      <c r="D115" s="198"/>
      <c r="E115" s="198"/>
    </row>
    <row r="116" spans="2:5" ht="15">
      <c r="B116" s="286"/>
      <c r="C116" s="287"/>
      <c r="D116" s="198"/>
      <c r="E116" s="198"/>
    </row>
    <row r="117" spans="2:5" ht="15">
      <c r="B117" s="286"/>
      <c r="C117" s="287"/>
      <c r="D117" s="198"/>
      <c r="E117" s="198"/>
    </row>
    <row r="118" spans="2:5" ht="15">
      <c r="B118" s="286"/>
      <c r="C118" s="287"/>
      <c r="D118" s="198"/>
      <c r="E118" s="198"/>
    </row>
    <row r="119" spans="2:5" ht="15">
      <c r="B119" s="286"/>
      <c r="C119" s="287"/>
      <c r="D119" s="198"/>
      <c r="E119" s="198"/>
    </row>
    <row r="120" spans="2:5" ht="15">
      <c r="B120" s="286"/>
      <c r="C120" s="287"/>
      <c r="D120" s="198"/>
      <c r="E120" s="198"/>
    </row>
    <row r="121" spans="2:5" ht="15">
      <c r="B121" s="286"/>
      <c r="C121" s="197"/>
      <c r="D121" s="198"/>
      <c r="E121" s="198"/>
    </row>
    <row r="122" spans="2:5" ht="15">
      <c r="B122" s="286"/>
      <c r="C122" s="287"/>
      <c r="D122" s="198"/>
      <c r="E122" s="198"/>
    </row>
    <row r="123" spans="2:5" ht="15">
      <c r="B123" s="197"/>
      <c r="C123" s="287"/>
      <c r="D123" s="198"/>
      <c r="E123" s="198"/>
    </row>
    <row r="124" spans="2:5" ht="12.75">
      <c r="B124" s="197"/>
      <c r="C124" s="197"/>
      <c r="D124" s="198"/>
      <c r="E124" s="198"/>
    </row>
    <row r="125" spans="2:5" ht="15">
      <c r="B125" s="197"/>
      <c r="C125" s="287"/>
      <c r="D125" s="198"/>
      <c r="E125" s="198"/>
    </row>
    <row r="126" spans="2:5" ht="12.75">
      <c r="B126" s="197"/>
      <c r="C126" s="197"/>
      <c r="D126" s="198"/>
      <c r="E126" s="198"/>
    </row>
    <row r="127" spans="2:5" ht="12.75">
      <c r="B127" s="197"/>
      <c r="C127" s="197"/>
      <c r="D127" s="198"/>
      <c r="E127" s="198"/>
    </row>
    <row r="128" spans="2:5" ht="12.75">
      <c r="B128" s="197"/>
      <c r="C128" s="197"/>
      <c r="D128" s="198"/>
      <c r="E128" s="198"/>
    </row>
    <row r="129" spans="2:5" ht="12.75">
      <c r="B129" s="197"/>
      <c r="C129" s="197"/>
      <c r="D129" s="198"/>
      <c r="E129" s="198"/>
    </row>
    <row r="130" spans="2:5" ht="12.75">
      <c r="B130" s="197"/>
      <c r="C130" s="197"/>
      <c r="D130" s="198"/>
      <c r="E130" s="198"/>
    </row>
    <row r="131" spans="2:5" ht="12.75">
      <c r="B131" s="197"/>
      <c r="C131" s="197"/>
      <c r="D131" s="198"/>
      <c r="E131" s="198"/>
    </row>
    <row r="132" spans="2:5" ht="12.75">
      <c r="B132" s="197"/>
      <c r="C132" s="197"/>
      <c r="D132" s="198"/>
      <c r="E132" s="198"/>
    </row>
    <row r="133" spans="2:5" ht="12.75">
      <c r="B133" s="197"/>
      <c r="C133" s="197"/>
      <c r="D133" s="198"/>
      <c r="E133" s="198"/>
    </row>
    <row r="134" spans="2:5" ht="12.75">
      <c r="B134" s="197"/>
      <c r="C134" s="197"/>
      <c r="D134" s="198"/>
      <c r="E134" s="198"/>
    </row>
    <row r="135" spans="2:5" ht="12.75">
      <c r="B135" s="197"/>
      <c r="C135" s="197"/>
      <c r="D135" s="198"/>
      <c r="E135" s="198"/>
    </row>
    <row r="136" spans="2:5" ht="12.75">
      <c r="B136" s="197"/>
      <c r="C136" s="197"/>
      <c r="D136" s="198"/>
      <c r="E136" s="198"/>
    </row>
    <row r="137" spans="2:5" ht="12.75">
      <c r="B137" s="197"/>
      <c r="C137" s="197"/>
      <c r="D137" s="198"/>
      <c r="E137" s="198"/>
    </row>
    <row r="138" spans="2:5" ht="12.75">
      <c r="B138" s="197"/>
      <c r="C138" s="197"/>
      <c r="D138" s="198"/>
      <c r="E138" s="198"/>
    </row>
    <row r="139" spans="2:5" ht="12.75">
      <c r="B139" s="197"/>
      <c r="C139" s="197"/>
      <c r="D139" s="198"/>
      <c r="E139" s="198"/>
    </row>
    <row r="140" spans="2:5" ht="12.75">
      <c r="B140" s="197"/>
      <c r="C140" s="197"/>
      <c r="D140" s="198"/>
      <c r="E140" s="198"/>
    </row>
    <row r="141" spans="2:5" ht="12.75">
      <c r="B141" s="197"/>
      <c r="C141" s="197"/>
      <c r="D141" s="198"/>
      <c r="E141" s="198"/>
    </row>
    <row r="142" spans="2:5" ht="12.75">
      <c r="B142" s="197"/>
      <c r="C142" s="197"/>
      <c r="D142" s="198"/>
      <c r="E142" s="198"/>
    </row>
    <row r="143" spans="2:5" ht="12.75">
      <c r="B143" s="197"/>
      <c r="C143" s="197"/>
      <c r="D143" s="198"/>
      <c r="E143" s="198"/>
    </row>
    <row r="144" spans="2:5" ht="12.75">
      <c r="B144" s="197"/>
      <c r="C144" s="197"/>
      <c r="D144" s="198"/>
      <c r="E144" s="198"/>
    </row>
    <row r="145" spans="2:5" ht="12.75">
      <c r="B145" s="197"/>
      <c r="C145" s="197"/>
      <c r="D145" s="198"/>
      <c r="E145" s="198"/>
    </row>
    <row r="146" spans="2:5" ht="12.75">
      <c r="B146" s="197"/>
      <c r="C146" s="197"/>
      <c r="D146" s="198"/>
      <c r="E146" s="198"/>
    </row>
    <row r="147" spans="2:5" ht="12.75">
      <c r="B147" s="197"/>
      <c r="C147" s="197"/>
      <c r="D147" s="198"/>
      <c r="E147" s="198"/>
    </row>
    <row r="148" spans="2:5" ht="12.75">
      <c r="B148" s="197"/>
      <c r="C148" s="197"/>
      <c r="D148" s="198"/>
      <c r="E148" s="198"/>
    </row>
    <row r="149" spans="2:5" ht="12.75">
      <c r="B149" s="197"/>
      <c r="C149" s="197"/>
      <c r="D149" s="198"/>
      <c r="E149" s="198"/>
    </row>
    <row r="150" spans="2:5" ht="12.75">
      <c r="B150" s="197"/>
      <c r="C150" s="197"/>
      <c r="D150" s="198"/>
      <c r="E150" s="198"/>
    </row>
    <row r="151" spans="2:5" ht="12.75">
      <c r="B151" s="197"/>
      <c r="C151" s="197"/>
      <c r="D151" s="198"/>
      <c r="E151" s="198"/>
    </row>
    <row r="152" spans="2:5" ht="12.75">
      <c r="B152" s="197"/>
      <c r="C152" s="197"/>
      <c r="D152" s="198"/>
      <c r="E152" s="198"/>
    </row>
    <row r="153" spans="2:5" ht="12.75">
      <c r="B153" s="197"/>
      <c r="C153" s="197"/>
      <c r="D153" s="198"/>
      <c r="E153" s="198"/>
    </row>
    <row r="154" spans="2:5" ht="12.75">
      <c r="B154" s="197"/>
      <c r="C154" s="197"/>
      <c r="D154" s="198"/>
      <c r="E154" s="198"/>
    </row>
    <row r="155" spans="2:5" ht="12.75">
      <c r="B155" s="197"/>
      <c r="C155" s="197"/>
      <c r="D155" s="198"/>
      <c r="E155" s="198"/>
    </row>
    <row r="156" spans="2:5" ht="12.75">
      <c r="B156" s="197"/>
      <c r="C156" s="197"/>
      <c r="D156" s="198"/>
      <c r="E156" s="198"/>
    </row>
    <row r="157" spans="2:5" ht="12.75">
      <c r="B157" s="197"/>
      <c r="C157" s="197"/>
      <c r="D157" s="198"/>
      <c r="E157" s="198"/>
    </row>
    <row r="158" spans="2:5" ht="12.75">
      <c r="B158" s="197"/>
      <c r="C158" s="197"/>
      <c r="D158" s="198"/>
      <c r="E158" s="198"/>
    </row>
    <row r="159" spans="2:5" ht="12.75">
      <c r="B159" s="197"/>
      <c r="C159" s="197"/>
      <c r="D159" s="198"/>
      <c r="E159" s="198"/>
    </row>
    <row r="160" spans="2:5" ht="12.75">
      <c r="B160" s="197"/>
      <c r="C160" s="197"/>
      <c r="D160" s="198"/>
      <c r="E160" s="198"/>
    </row>
    <row r="161" spans="2:5" ht="12.75">
      <c r="B161" s="197"/>
      <c r="C161" s="197"/>
      <c r="D161" s="198"/>
      <c r="E161" s="198"/>
    </row>
    <row r="162" spans="2:5" ht="12.75">
      <c r="B162" s="197"/>
      <c r="C162" s="197"/>
      <c r="D162" s="198"/>
      <c r="E162" s="198"/>
    </row>
    <row r="163" spans="2:5" ht="12.75">
      <c r="B163" s="197"/>
      <c r="C163" s="197"/>
      <c r="D163" s="198"/>
      <c r="E163" s="198"/>
    </row>
    <row r="164" spans="2:5" ht="12.75">
      <c r="B164" s="197"/>
      <c r="C164" s="197"/>
      <c r="D164" s="198"/>
      <c r="E164" s="198"/>
    </row>
    <row r="165" spans="2:5" ht="12.75">
      <c r="B165" s="197"/>
      <c r="C165" s="197"/>
      <c r="D165" s="198"/>
      <c r="E165" s="198"/>
    </row>
    <row r="166" spans="2:5" ht="12.75">
      <c r="B166" s="197"/>
      <c r="C166" s="197"/>
      <c r="D166" s="198"/>
      <c r="E166" s="198"/>
    </row>
    <row r="167" spans="2:5" ht="12.75">
      <c r="B167" s="197"/>
      <c r="C167" s="197"/>
      <c r="D167" s="198"/>
      <c r="E167" s="198"/>
    </row>
    <row r="168" spans="2:5" ht="12.75">
      <c r="B168" s="197"/>
      <c r="C168" s="197"/>
      <c r="D168" s="198"/>
      <c r="E168" s="198"/>
    </row>
    <row r="169" spans="2:5" ht="12.75">
      <c r="B169" s="197"/>
      <c r="C169" s="197"/>
      <c r="D169" s="198"/>
      <c r="E169" s="198"/>
    </row>
    <row r="170" spans="2:5" ht="12.75">
      <c r="B170" s="197"/>
      <c r="C170" s="197"/>
      <c r="D170" s="198"/>
      <c r="E170" s="198"/>
    </row>
    <row r="171" spans="2:5" ht="12.75">
      <c r="B171" s="197"/>
      <c r="C171" s="197"/>
      <c r="D171" s="198"/>
      <c r="E171" s="198"/>
    </row>
    <row r="172" spans="2:5" ht="12.75">
      <c r="B172" s="197"/>
      <c r="C172" s="197"/>
      <c r="D172" s="198"/>
      <c r="E172" s="198"/>
    </row>
    <row r="173" spans="2:5" ht="12.75">
      <c r="B173" s="197"/>
      <c r="C173" s="197"/>
      <c r="D173" s="198"/>
      <c r="E173" s="198"/>
    </row>
    <row r="174" spans="2:5" ht="12.75">
      <c r="B174" s="197"/>
      <c r="C174" s="197"/>
      <c r="D174" s="198"/>
      <c r="E174" s="198"/>
    </row>
    <row r="175" spans="4:5" ht="12.75">
      <c r="D175" s="114"/>
      <c r="E175" s="114"/>
    </row>
    <row r="176" spans="4:5" ht="12.75">
      <c r="D176" s="114"/>
      <c r="E176" s="114"/>
    </row>
    <row r="177" spans="4:5" ht="12.75">
      <c r="D177" s="114"/>
      <c r="E177" s="114"/>
    </row>
  </sheetData>
  <pageMargins left="1.5" right="0.5" top="2.5" bottom="0.5" header="1" footer="0.5"/>
  <pageSetup orientation="portrait" pageOrder="overThenDown" scale="56" r:id="rId2"/>
  <headerFooter alignWithMargins="0">
    <oddHeader>&amp;C&amp;B
2022 RATE CASE
ONCOR ELECTRIC DELIVERY COMPANY LLC
II-E-3.1  RECONCILIATION OF TEST YEAR BOOK NET INCOME TO TAXABLE NET INCOME
TEST YEAR ENDING DECEMBER 31, 2021
SPONSOR: B. L. CLUTTER&amp;R&amp;"Arial,Bold"Schedule &amp;A
Page &amp;P of &amp;N</oddHead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7">
    <tabColor rgb="FF92D050"/>
    <pageSetUpPr fitToPage="1"/>
  </sheetPr>
  <dimension ref="A1:F36"/>
  <sheetViews>
    <sheetView zoomScale="80" zoomScaleNormal="80" zoomScaleSheetLayoutView="80" workbookViewId="0" topLeftCell="A1">
      <selection pane="topLeft" activeCell="H16" sqref="H16"/>
    </sheetView>
  </sheetViews>
  <sheetFormatPr defaultColWidth="9.14428571428571" defaultRowHeight="12.75"/>
  <cols>
    <col min="1" max="1" width="6.85714285714286" style="352" customWidth="1"/>
    <col min="2" max="2" width="53.5714285714286" style="352" customWidth="1"/>
    <col min="3" max="5" width="16.7142857142857" style="352" customWidth="1"/>
    <col min="6" max="6" width="10.7142857142857" style="352" bestFit="1" customWidth="1"/>
    <col min="7" max="16384" width="9.14285714285714" style="352"/>
  </cols>
  <sheetData>
    <row r="1" spans="1:1" ht="12.75">
      <c r="A1" s="194" t="str">
        <f>+'[3]Input Data'!$A$9</f>
        <v>2022 RATE CASE</v>
      </c>
    </row>
    <row r="2" spans="1:1" ht="12.75">
      <c r="A2" s="193" t="str">
        <f>+'[3]Input Data'!$A$2</f>
        <v>ONCOR ELECTRIC DELIVERY COMPANY LLC</v>
      </c>
    </row>
    <row r="3" spans="1:1" ht="12.75">
      <c r="A3" s="192" t="str">
        <f>CONCATENATE('[3]Schedule Sponsors'!$A$87,'[3]Schedule Sponsors'!$B$87)</f>
        <v>II-E-3.2  RECONCILIATION OF TIMING DIFFERENCES</v>
      </c>
    </row>
    <row r="4" spans="1:1" ht="12.75">
      <c r="A4" s="192" t="str">
        <f>+'[3]Input Data'!$A$4</f>
        <v>TEST YEAR ENDING DECEMBER 31, 2021</v>
      </c>
    </row>
    <row r="5" spans="1:1" ht="12.75">
      <c r="A5" s="190" t="str">
        <f>CONCATENATE("SPONSOR: ",'[3]Schedule Sponsors'!$D$87)</f>
        <v>SPONSOR: B. L. CLUTTER</v>
      </c>
    </row>
    <row r="9" ht="13.5" thickBot="1"/>
    <row r="10" spans="1:5" ht="12.75">
      <c r="A10" s="312"/>
      <c r="B10" s="312"/>
      <c r="C10" s="312"/>
      <c r="D10" s="217" t="s">
        <v>400</v>
      </c>
      <c r="E10" s="265" t="s">
        <v>67</v>
      </c>
    </row>
    <row r="11" spans="1:5" ht="12.75">
      <c r="A11" s="266" t="s">
        <v>252</v>
      </c>
      <c r="B11" s="266"/>
      <c r="C11" s="313" t="s">
        <v>78</v>
      </c>
      <c r="D11" s="169" t="s">
        <v>401</v>
      </c>
      <c r="E11" s="266" t="s">
        <v>66</v>
      </c>
    </row>
    <row r="12" spans="1:5" ht="12.75">
      <c r="A12" s="266" t="s">
        <v>147</v>
      </c>
      <c r="B12" s="266" t="s">
        <v>69</v>
      </c>
      <c r="C12" s="313" t="s">
        <v>81</v>
      </c>
      <c r="D12" s="169" t="s">
        <v>402</v>
      </c>
      <c r="E12" s="266" t="s">
        <v>68</v>
      </c>
    </row>
    <row r="13" spans="1:5" ht="13.5" thickBot="1">
      <c r="A13" s="314"/>
      <c r="B13" s="267" t="s">
        <v>237</v>
      </c>
      <c r="C13" s="267" t="s">
        <v>238</v>
      </c>
      <c r="D13" s="315" t="s">
        <v>239</v>
      </c>
      <c r="E13" s="315" t="s">
        <v>240</v>
      </c>
    </row>
    <row r="14" spans="3:3" ht="12.75">
      <c r="C14" s="114"/>
    </row>
    <row r="15" spans="1:6" ht="12.75">
      <c r="A15" s="353">
        <v>1</v>
      </c>
      <c r="B15" s="352" t="s">
        <v>398</v>
      </c>
      <c r="C15" s="483">
        <f>+'II-E-3.2b'!C15</f>
        <v>930423314.58999991</v>
      </c>
      <c r="D15" s="487">
        <f>+'II-E-3.2b'!D15</f>
        <v>108736526.20000017</v>
      </c>
      <c r="E15" s="487">
        <f>+'II-E-3'!I17-'II-E-3'!I20+'II-E-3'!I55</f>
        <v>1039159840.7900001</v>
      </c>
      <c r="F15" s="264">
        <f>SUM(C15:D15)-E15</f>
        <v>0</v>
      </c>
    </row>
    <row r="16" spans="1:3" ht="12.75">
      <c r="A16" s="353">
        <f>A15+1</f>
        <v>2</v>
      </c>
      <c r="C16" s="114"/>
    </row>
    <row r="17" spans="1:6" ht="12.75">
      <c r="A17" s="353">
        <f t="shared" si="0" ref="A17:A31">A16+1</f>
        <v>3</v>
      </c>
      <c r="B17" s="352" t="s">
        <v>379</v>
      </c>
      <c r="C17" s="15">
        <f>ROUND(C15*0.21,2)</f>
        <v>195388896.06</v>
      </c>
      <c r="D17" s="15">
        <f t="shared" si="1" ref="D17:E17">ROUND(D15*0.21,2)</f>
        <v>22834670.5</v>
      </c>
      <c r="E17" s="15">
        <f t="shared" si="1"/>
        <v>218223566.56999999</v>
      </c>
      <c r="F17" s="264">
        <f>SUM(C17:D17)-E17</f>
        <v>-0.0099999904632568359</v>
      </c>
    </row>
    <row r="18" spans="1:5" ht="12.75">
      <c r="A18" s="353">
        <f t="shared" si="0"/>
        <v>4</v>
      </c>
      <c r="C18" s="15"/>
      <c r="D18" s="484"/>
      <c r="E18" s="484"/>
    </row>
    <row r="19" spans="1:5" ht="12.75">
      <c r="A19" s="353">
        <f t="shared" si="0"/>
        <v>5</v>
      </c>
      <c r="B19" s="352" t="s">
        <v>380</v>
      </c>
      <c r="C19" s="15"/>
      <c r="D19" s="484"/>
      <c r="E19" s="484"/>
    </row>
    <row r="20" spans="1:6" ht="12.75">
      <c r="A20" s="353">
        <f t="shared" si="0"/>
        <v>6</v>
      </c>
      <c r="B20" s="352" t="s">
        <v>381</v>
      </c>
      <c r="C20" s="15">
        <f>'II-E-3.2b'!C38</f>
        <v>-54183475.979999989</v>
      </c>
      <c r="D20" s="15">
        <f>+'II-E-3.2b'!D38</f>
        <v>2060673.5699999998</v>
      </c>
      <c r="E20" s="484">
        <f>C20+D20</f>
        <v>-52122802.409999989</v>
      </c>
      <c r="F20" s="264">
        <f>SUM(C20:D20)-E20</f>
        <v>0</v>
      </c>
    </row>
    <row r="21" spans="1:5" ht="12.75">
      <c r="A21" s="353">
        <f t="shared" si="0"/>
        <v>7</v>
      </c>
      <c r="C21" s="15"/>
      <c r="D21" s="484"/>
      <c r="E21" s="484"/>
    </row>
    <row r="22" spans="1:6" ht="12.75">
      <c r="A22" s="353">
        <f t="shared" si="0"/>
        <v>8</v>
      </c>
      <c r="B22" s="352" t="s">
        <v>399</v>
      </c>
      <c r="C22" s="15">
        <f>C17+C20</f>
        <v>141205420.08000001</v>
      </c>
      <c r="D22" s="15">
        <f>D17+D20</f>
        <v>24895344.07</v>
      </c>
      <c r="E22" s="15">
        <f>E17+E20</f>
        <v>166100764.16</v>
      </c>
      <c r="F22" s="264">
        <f>SUM(C22:D22)-E22</f>
        <v>-0.0099999904632568359</v>
      </c>
    </row>
    <row r="23" spans="1:3" ht="12.75">
      <c r="A23" s="353">
        <f t="shared" si="0"/>
        <v>9</v>
      </c>
      <c r="C23" s="114"/>
    </row>
    <row r="24" spans="1:5" ht="12.75">
      <c r="A24" s="353">
        <f t="shared" si="0"/>
        <v>10</v>
      </c>
      <c r="B24" s="352" t="s">
        <v>382</v>
      </c>
      <c r="C24" s="321">
        <f>IF(ISERROR(C22/C15),0,C22/C15)</f>
        <v>0.15176470523228833</v>
      </c>
      <c r="D24" s="316"/>
      <c r="E24" s="321">
        <f>IF(ISERROR(E22/E15),0,E22/E15)</f>
        <v>0.15984140036986541</v>
      </c>
    </row>
    <row r="25" spans="1:3" ht="12.75">
      <c r="A25" s="353">
        <f t="shared" si="0"/>
        <v>11</v>
      </c>
      <c r="C25" s="114"/>
    </row>
    <row r="26" spans="1:2" ht="12.75">
      <c r="A26" s="353">
        <f t="shared" si="0"/>
        <v>12</v>
      </c>
      <c r="B26" s="352" t="s">
        <v>813</v>
      </c>
    </row>
    <row r="27" spans="1:1" ht="12.75">
      <c r="A27" s="353">
        <f t="shared" si="0"/>
        <v>13</v>
      </c>
    </row>
    <row r="28" spans="1:6" ht="12.75">
      <c r="A28" s="353">
        <f t="shared" si="0"/>
        <v>14</v>
      </c>
      <c r="B28" s="352" t="s">
        <v>5</v>
      </c>
      <c r="C28" s="483">
        <f>'II-E-3.2b'!C46</f>
        <v>78901800.530000001</v>
      </c>
      <c r="D28" s="483"/>
      <c r="E28" s="483">
        <f>+'II-E-3.15'!E104</f>
        <v>95424803.359999999</v>
      </c>
      <c r="F28" s="373" t="s">
        <v>55</v>
      </c>
    </row>
    <row r="29" spans="1:6" ht="12.75">
      <c r="A29" s="353">
        <f t="shared" si="0"/>
        <v>15</v>
      </c>
      <c r="B29" s="352" t="s">
        <v>7</v>
      </c>
      <c r="C29" s="15">
        <f>'II-E-3.2b'!C47</f>
        <v>63477869.869999997</v>
      </c>
      <c r="D29" s="15"/>
      <c r="E29" s="15">
        <f>+'II-E-3.15'!E115</f>
        <v>71447595.510000005</v>
      </c>
      <c r="F29" s="373" t="s">
        <v>55</v>
      </c>
    </row>
    <row r="30" spans="1:6" ht="12.75">
      <c r="A30" s="353">
        <f t="shared" si="0"/>
        <v>16</v>
      </c>
      <c r="B30" s="352" t="s">
        <v>2</v>
      </c>
      <c r="C30" s="15">
        <f>'II-E-3.2b'!C48</f>
        <v>-1174249.98</v>
      </c>
      <c r="D30" s="15"/>
      <c r="E30" s="15">
        <f>+'II-E-3.15'!E117</f>
        <v>-771634.71999999997</v>
      </c>
      <c r="F30" s="373" t="s">
        <v>55</v>
      </c>
    </row>
    <row r="31" spans="1:5" ht="12.75">
      <c r="A31" s="353">
        <f t="shared" si="0"/>
        <v>17</v>
      </c>
      <c r="B31" s="352" t="s">
        <v>6</v>
      </c>
      <c r="C31" s="488">
        <f>SUM(C28:C30)</f>
        <v>141205420.42000002</v>
      </c>
      <c r="D31" s="487"/>
      <c r="E31" s="488">
        <f>SUM(E28:E30)</f>
        <v>166100764.15000001</v>
      </c>
    </row>
    <row r="32" spans="3:3" ht="12.75">
      <c r="C32" s="114"/>
    </row>
    <row r="33" spans="3:3" ht="12.75">
      <c r="C33" s="261"/>
    </row>
    <row r="34" spans="3:5" ht="12.75">
      <c r="C34" s="262">
        <f>+'II-E-3'!E58</f>
        <v>141205420.08590001</v>
      </c>
      <c r="E34" s="262">
        <f>+'II-E-3'!I55</f>
        <v>166100764.15000001</v>
      </c>
    </row>
    <row r="35" spans="3:5" ht="12.75">
      <c r="C35" s="262">
        <f>C22-C34</f>
        <v>-0.0058999955654144287</v>
      </c>
      <c r="E35" s="262">
        <f>E34-E22</f>
        <v>-0.0099999904632568359</v>
      </c>
    </row>
    <row r="36" spans="3:5" ht="12.75">
      <c r="C36" s="270">
        <f>+C22-C31</f>
        <v>-0.34000000357627869</v>
      </c>
      <c r="E36" s="270">
        <f>+E22-E31</f>
        <v>0.0099999904632568359</v>
      </c>
    </row>
  </sheetData>
  <printOptions horizontalCentered="1"/>
  <pageMargins left="0.5" right="0.5" top="3" bottom="0.5" header="1.5" footer="0.5"/>
  <pageSetup orientation="landscape" pageOrder="overThenDown" r:id="rId1"/>
  <headerFooter alignWithMargins="0">
    <oddHeader>&amp;C&amp;B
2022 RATE CASE
ONCOR ELECTRIC DELIVERY COMPANY LLC
II-E-3.2  RECONCILIATION OF TIMING DIFFERENCES
TEST YEAR ENDING DECEMBER 31, 2021
SPONSOR: B. L. CLUTTER&amp;R&amp;"Arial,Bold"Schedule &amp;A
Page &amp;P of &amp;N</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
    <tabColor rgb="FF92D050"/>
    <pageSetUpPr fitToPage="1"/>
  </sheetPr>
  <dimension ref="A1:H53"/>
  <sheetViews>
    <sheetView zoomScale="80" zoomScaleNormal="80" workbookViewId="0" topLeftCell="A1">
      <pane ySplit="13" topLeftCell="A14" activePane="bottomLeft" state="frozen"/>
      <selection pane="topLeft" activeCell="H16" sqref="H16"/>
      <selection pane="bottomLeft" activeCell="H16" sqref="H16"/>
    </sheetView>
  </sheetViews>
  <sheetFormatPr defaultColWidth="9.14428571428571" defaultRowHeight="12.75"/>
  <cols>
    <col min="1" max="1" width="5.71428571428571" style="115" customWidth="1"/>
    <col min="2" max="2" width="59.1428571428571" style="115" customWidth="1"/>
    <col min="3" max="5" width="16.7142857142857" style="115" customWidth="1"/>
    <col min="6" max="6" width="4.42857142857143" style="115" bestFit="1" customWidth="1"/>
    <col min="7" max="7" width="14.5714285714286" style="115" bestFit="1" customWidth="1"/>
    <col min="8" max="8" width="13.4285714285714" style="115" bestFit="1" customWidth="1"/>
    <col min="9" max="16384" width="9.14285714285714" style="115"/>
  </cols>
  <sheetData>
    <row r="1" spans="1:1" ht="12.75">
      <c r="A1" s="108" t="str">
        <f>+'[3]Input Data'!$A$9</f>
        <v>2022 RATE CASE</v>
      </c>
    </row>
    <row r="2" spans="1:1" ht="12.75">
      <c r="A2" s="167" t="str">
        <f>+'[3]Input Data'!$A$2</f>
        <v>ONCOR ELECTRIC DELIVERY COMPANY LLC</v>
      </c>
    </row>
    <row r="3" spans="1:1" ht="12.75">
      <c r="A3" s="168" t="str">
        <f>CONCATENATE('[3]Schedule Sponsors'!$A$87,'[3]Schedule Sponsors'!$B$87)</f>
        <v>II-E-3.2  RECONCILIATION OF TIMING DIFFERENCES</v>
      </c>
    </row>
    <row r="4" spans="1:1" ht="12.75">
      <c r="A4" s="168" t="str">
        <f>+'[3]Input Data'!$A$4</f>
        <v>TEST YEAR ENDING DECEMBER 31, 2021</v>
      </c>
    </row>
    <row r="5" spans="1:1" ht="12.75">
      <c r="A5" s="166" t="str">
        <f>CONCATENATE("SPONSOR: ",'[3]Schedule Sponsors'!$D$87)</f>
        <v>SPONSOR: B. L. CLUTTER</v>
      </c>
    </row>
    <row r="6" spans="1:1" ht="12.75">
      <c r="A6" s="166"/>
    </row>
    <row r="7" spans="1:1" ht="12.75">
      <c r="A7" s="166"/>
    </row>
    <row r="9" ht="13.5" thickBot="1"/>
    <row r="10" spans="1:5" s="352" customFormat="1" ht="12.75">
      <c r="A10" s="312"/>
      <c r="B10" s="312"/>
      <c r="C10" s="312"/>
      <c r="D10" s="217" t="s">
        <v>400</v>
      </c>
      <c r="E10" s="265" t="s">
        <v>67</v>
      </c>
    </row>
    <row r="11" spans="1:5" s="177" customFormat="1" ht="12.75">
      <c r="A11" s="266" t="s">
        <v>252</v>
      </c>
      <c r="B11" s="266"/>
      <c r="C11" s="313" t="s">
        <v>78</v>
      </c>
      <c r="D11" s="169" t="s">
        <v>401</v>
      </c>
      <c r="E11" s="266" t="s">
        <v>66</v>
      </c>
    </row>
    <row r="12" spans="1:5" s="177" customFormat="1" ht="12.75">
      <c r="A12" s="266" t="s">
        <v>147</v>
      </c>
      <c r="B12" s="266" t="s">
        <v>69</v>
      </c>
      <c r="C12" s="313" t="s">
        <v>81</v>
      </c>
      <c r="D12" s="169" t="s">
        <v>402</v>
      </c>
      <c r="E12" s="266" t="s">
        <v>68</v>
      </c>
    </row>
    <row r="13" spans="1:5" s="177" customFormat="1" ht="13.5" thickBot="1">
      <c r="A13" s="317"/>
      <c r="B13" s="267" t="s">
        <v>237</v>
      </c>
      <c r="C13" s="318" t="s">
        <v>238</v>
      </c>
      <c r="D13" s="315" t="s">
        <v>239</v>
      </c>
      <c r="E13" s="315" t="s">
        <v>240</v>
      </c>
    </row>
    <row r="14" spans="1:3" s="177" customFormat="1" ht="12.75">
      <c r="A14" s="275"/>
      <c r="B14" s="275"/>
      <c r="C14" s="319"/>
    </row>
    <row r="15" spans="1:7" s="352" customFormat="1" ht="12.75">
      <c r="A15" s="353">
        <v>1</v>
      </c>
      <c r="B15" s="352" t="s">
        <v>398</v>
      </c>
      <c r="C15" s="483">
        <f>+'II-E-3.1'!D15+'II-E-3.1'!D19</f>
        <v>930423314.58999991</v>
      </c>
      <c r="D15" s="487">
        <f>+E15-C15</f>
        <v>108736526.20000017</v>
      </c>
      <c r="E15" s="487">
        <f>+'II-E-3'!I17-'II-E-3'!I20+'II-E-3'!I55</f>
        <v>1039159840.7900001</v>
      </c>
      <c r="G15" s="263" t="s">
        <v>54</v>
      </c>
    </row>
    <row r="16" spans="1:7" s="352" customFormat="1" ht="12.75">
      <c r="A16" s="353">
        <f>+A15+1</f>
        <v>2</v>
      </c>
      <c r="C16" s="114"/>
      <c r="G16" s="263"/>
    </row>
    <row r="17" spans="1:7" s="352" customFormat="1" ht="12.75">
      <c r="A17" s="353">
        <f t="shared" si="0" ref="A17:A49">+A16+1</f>
        <v>3</v>
      </c>
      <c r="B17" s="352" t="s">
        <v>379</v>
      </c>
      <c r="C17" s="15">
        <f>ROUND(C15*0.21,2)</f>
        <v>195388896.06</v>
      </c>
      <c r="D17" s="484">
        <f>+E17-C17</f>
        <v>22834670.50999999</v>
      </c>
      <c r="E17" s="484">
        <f>ROUND(E15*0.21,2)</f>
        <v>218223566.56999999</v>
      </c>
      <c r="G17" s="270" t="s">
        <v>466</v>
      </c>
    </row>
    <row r="18" spans="1:7" s="352" customFormat="1" ht="12.75">
      <c r="A18" s="353">
        <f t="shared" si="0"/>
        <v>4</v>
      </c>
      <c r="C18" s="114"/>
      <c r="D18" s="197"/>
      <c r="G18" s="263"/>
    </row>
    <row r="19" spans="1:7" s="352" customFormat="1" ht="12.75">
      <c r="A19" s="353">
        <f t="shared" si="0"/>
        <v>5</v>
      </c>
      <c r="B19" s="352" t="s">
        <v>3</v>
      </c>
      <c r="C19" s="114"/>
      <c r="D19" s="197"/>
      <c r="G19" s="263"/>
    </row>
    <row r="20" spans="1:8" s="352" customFormat="1" ht="12.75">
      <c r="A20" s="353">
        <f t="shared" si="0"/>
        <v>6</v>
      </c>
      <c r="B20" s="146" t="s">
        <v>650</v>
      </c>
      <c r="C20" s="198">
        <f>-'II-E-3'!E21</f>
        <v>-1174249.98</v>
      </c>
      <c r="D20" s="114">
        <f>-'II-E-3'!H21</f>
        <v>402615.26000000001</v>
      </c>
      <c r="E20" s="114">
        <f>C20+D20</f>
        <v>-771634.71999999997</v>
      </c>
      <c r="G20" s="263" t="s">
        <v>232</v>
      </c>
      <c r="H20" s="487"/>
    </row>
    <row r="21" spans="1:8" s="352" customFormat="1" ht="12.75">
      <c r="A21" s="353">
        <f t="shared" si="0"/>
        <v>7</v>
      </c>
      <c r="B21" s="146" t="s">
        <v>651</v>
      </c>
      <c r="C21" s="198">
        <f>-'II-E-3'!E22</f>
        <v>-22126156.32</v>
      </c>
      <c r="D21" s="114">
        <f>-'II-E-3'!H22</f>
        <v>5892399</v>
      </c>
      <c r="E21" s="114">
        <f t="shared" si="1" ref="E21:E25">C21+D21</f>
        <v>-16233757.32</v>
      </c>
      <c r="G21" s="263" t="s">
        <v>232</v>
      </c>
      <c r="H21" s="487"/>
    </row>
    <row r="22" spans="1:8" s="352" customFormat="1" ht="12.75">
      <c r="A22" s="353">
        <f t="shared" si="0"/>
        <v>8</v>
      </c>
      <c r="B22" s="146" t="s">
        <v>652</v>
      </c>
      <c r="C22" s="198">
        <f>-'II-E-3'!E23</f>
        <v>-30159720</v>
      </c>
      <c r="D22" s="114">
        <f>-'II-E-3'!H23</f>
        <v>-5930086.7999999998</v>
      </c>
      <c r="E22" s="114">
        <f t="shared" si="1"/>
        <v>-36089806.799999997</v>
      </c>
      <c r="G22" s="263" t="s">
        <v>232</v>
      </c>
      <c r="H22" s="487"/>
    </row>
    <row r="23" spans="1:8" s="352" customFormat="1" ht="12.75">
      <c r="A23" s="353">
        <f t="shared" si="0"/>
        <v>9</v>
      </c>
      <c r="B23" s="146" t="s">
        <v>653</v>
      </c>
      <c r="C23" s="198">
        <f>-'II-E-3'!E24</f>
        <v>0</v>
      </c>
      <c r="D23" s="114">
        <f>-'II-E-3'!H24</f>
        <v>1608928.6000000001</v>
      </c>
      <c r="E23" s="114">
        <f t="shared" si="1"/>
        <v>1608928.6000000001</v>
      </c>
      <c r="G23" s="263" t="s">
        <v>232</v>
      </c>
      <c r="H23" s="487"/>
    </row>
    <row r="24" spans="1:8" s="352" customFormat="1" ht="12.75">
      <c r="A24" s="353">
        <f t="shared" si="0"/>
        <v>10</v>
      </c>
      <c r="B24" s="146" t="s">
        <v>1119</v>
      </c>
      <c r="C24" s="198">
        <f>-'II-E-3'!E25</f>
        <v>-352219</v>
      </c>
      <c r="D24" s="114">
        <f>-'II-E-3'!H25</f>
        <v>-150951</v>
      </c>
      <c r="E24" s="114">
        <f t="shared" si="1"/>
        <v>-503170</v>
      </c>
      <c r="G24" s="263" t="s">
        <v>232</v>
      </c>
      <c r="H24" s="487"/>
    </row>
    <row r="25" spans="1:8" s="352" customFormat="1" ht="12.75">
      <c r="A25" s="353">
        <f t="shared" si="0"/>
        <v>11</v>
      </c>
      <c r="B25" s="352" t="s">
        <v>654</v>
      </c>
      <c r="C25" s="198">
        <f>ROUND(-'II-E-3'!E26*0.21,2)</f>
        <v>-25276.959999999999</v>
      </c>
      <c r="D25" s="114">
        <f>-'II-E-3'!H26</f>
        <v>0</v>
      </c>
      <c r="E25" s="114">
        <f t="shared" si="1"/>
        <v>-25276.959999999999</v>
      </c>
      <c r="G25" s="263" t="s">
        <v>657</v>
      </c>
      <c r="H25" s="487"/>
    </row>
    <row r="26" spans="1:7" s="352" customFormat="1" ht="12.75">
      <c r="A26" s="353">
        <f t="shared" si="0"/>
        <v>12</v>
      </c>
      <c r="C26" s="198"/>
      <c r="D26" s="197"/>
      <c r="G26" s="263"/>
    </row>
    <row r="27" spans="1:7" s="352" customFormat="1" ht="12.75">
      <c r="A27" s="353">
        <f t="shared" si="0"/>
        <v>13</v>
      </c>
      <c r="B27" s="352" t="s">
        <v>467</v>
      </c>
      <c r="C27" s="511"/>
      <c r="D27" s="483"/>
      <c r="E27" s="483"/>
      <c r="G27" s="263"/>
    </row>
    <row r="28" spans="1:8" s="197" customFormat="1" ht="12.75">
      <c r="A28" s="353">
        <f t="shared" si="0"/>
        <v>14</v>
      </c>
      <c r="B28" s="197" t="s">
        <v>1197</v>
      </c>
      <c r="C28" s="198">
        <f>+'II-E-3'!E31</f>
        <v>280766.15000000002</v>
      </c>
      <c r="D28" s="114">
        <f>'II-E-3'!H31</f>
        <v>0</v>
      </c>
      <c r="E28" s="114">
        <f>C28+D28</f>
        <v>280766.15000000002</v>
      </c>
      <c r="G28" s="263" t="s">
        <v>232</v>
      </c>
      <c r="H28" s="750"/>
    </row>
    <row r="29" spans="1:8" s="197" customFormat="1" ht="12.75">
      <c r="A29" s="353">
        <f t="shared" si="0"/>
        <v>15</v>
      </c>
      <c r="B29" s="197" t="s">
        <v>1196</v>
      </c>
      <c r="C29" s="198">
        <f>ROUND(+'II-E-3'!E32*0.21,2)</f>
        <v>356514.09000000003</v>
      </c>
      <c r="D29" s="114">
        <f>'II-E-3'!H32</f>
        <v>0</v>
      </c>
      <c r="E29" s="114">
        <f t="shared" si="2" ref="E29:E32">C29+D29</f>
        <v>356514.09000000003</v>
      </c>
      <c r="G29" s="263" t="s">
        <v>657</v>
      </c>
      <c r="H29" s="750"/>
    </row>
    <row r="30" spans="1:8" s="197" customFormat="1" ht="12.75">
      <c r="A30" s="353">
        <f t="shared" si="0"/>
        <v>16</v>
      </c>
      <c r="B30" s="146" t="s">
        <v>655</v>
      </c>
      <c r="C30" s="198">
        <f>ROUND(+'II-E-3'!E33*0.21,2)</f>
        <v>43503.599999999999</v>
      </c>
      <c r="D30" s="114">
        <f>ROUND('II-E-3'!H33*0.21,2)</f>
        <v>-43503.599999999999</v>
      </c>
      <c r="E30" s="114">
        <f t="shared" si="2"/>
        <v>0</v>
      </c>
      <c r="G30" s="263" t="s">
        <v>657</v>
      </c>
      <c r="H30" s="750"/>
    </row>
    <row r="31" spans="1:8" s="197" customFormat="1" ht="12.75">
      <c r="A31" s="353">
        <f t="shared" si="0"/>
        <v>17</v>
      </c>
      <c r="B31" s="581" t="s">
        <v>656</v>
      </c>
      <c r="C31" s="198">
        <f>ROUND(+'II-E-3'!E34*0.21,2)</f>
        <v>298271.84999999998</v>
      </c>
      <c r="D31" s="114">
        <f>'II-E-3'!H34</f>
        <v>0</v>
      </c>
      <c r="E31" s="114">
        <f t="shared" si="2"/>
        <v>298271.84999999998</v>
      </c>
      <c r="G31" s="263" t="s">
        <v>657</v>
      </c>
      <c r="H31" s="750"/>
    </row>
    <row r="32" spans="1:8" s="197" customFormat="1" ht="12.75">
      <c r="A32" s="353">
        <f t="shared" si="0"/>
        <v>18</v>
      </c>
      <c r="B32" s="197" t="s">
        <v>1198</v>
      </c>
      <c r="C32" s="198">
        <f>ROUND(+'II-E-3'!E35*0.21,2)</f>
        <v>-1043637.3000000001</v>
      </c>
      <c r="D32" s="114">
        <f>'II-E-3'!H35</f>
        <v>0</v>
      </c>
      <c r="E32" s="114">
        <f t="shared" si="2"/>
        <v>-1043637.3000000001</v>
      </c>
      <c r="G32" s="263" t="s">
        <v>657</v>
      </c>
      <c r="H32" s="750"/>
    </row>
    <row r="33" spans="1:7" s="197" customFormat="1" ht="12.75">
      <c r="A33" s="353">
        <f t="shared" si="0"/>
        <v>19</v>
      </c>
      <c r="C33" s="198"/>
      <c r="D33" s="291"/>
      <c r="E33" s="291"/>
      <c r="G33" s="202"/>
    </row>
    <row r="34" spans="1:7" s="197" customFormat="1" ht="12.75">
      <c r="A34" s="353">
        <f t="shared" si="0"/>
        <v>20</v>
      </c>
      <c r="B34" s="197" t="s">
        <v>402</v>
      </c>
      <c r="C34" s="198"/>
      <c r="D34" s="291"/>
      <c r="E34" s="291"/>
      <c r="G34" s="202"/>
    </row>
    <row r="35" spans="1:7" s="197" customFormat="1" ht="12.75">
      <c r="A35" s="353">
        <f t="shared" si="0"/>
        <v>21</v>
      </c>
      <c r="B35" s="197" t="s">
        <v>1024</v>
      </c>
      <c r="C35" s="198">
        <f>+'II-E-3'!E36</f>
        <v>13309</v>
      </c>
      <c r="D35" s="291">
        <f>+'II-E-3'!H53</f>
        <v>-13309</v>
      </c>
      <c r="E35" s="198">
        <f>+C35+D35</f>
        <v>0</v>
      </c>
      <c r="G35" s="202"/>
    </row>
    <row r="36" spans="1:7" s="352" customFormat="1" ht="12.75">
      <c r="A36" s="353">
        <f t="shared" si="0"/>
        <v>22</v>
      </c>
      <c r="B36" s="352" t="s">
        <v>338</v>
      </c>
      <c r="C36" s="485">
        <f>+'II-E-3'!E37</f>
        <v>-294581.10999999999</v>
      </c>
      <c r="D36" s="15">
        <f>+'II-E-3'!H54</f>
        <v>294581.10999999999</v>
      </c>
      <c r="E36" s="114">
        <f>C36+D36</f>
        <v>0</v>
      </c>
      <c r="G36" s="263" t="s">
        <v>232</v>
      </c>
    </row>
    <row r="37" spans="1:7" s="352" customFormat="1" ht="12.75">
      <c r="A37" s="353">
        <f t="shared" si="0"/>
        <v>23</v>
      </c>
      <c r="C37" s="15"/>
      <c r="D37" s="15"/>
      <c r="E37" s="15"/>
      <c r="G37" s="263"/>
    </row>
    <row r="38" spans="1:7" s="352" customFormat="1" ht="12.75">
      <c r="A38" s="353">
        <f t="shared" si="0"/>
        <v>24</v>
      </c>
      <c r="B38" s="352" t="s">
        <v>385</v>
      </c>
      <c r="C38" s="15">
        <f>SUM(C20:C36)</f>
        <v>-54183475.979999989</v>
      </c>
      <c r="D38" s="15">
        <f>SUM(D20:D37)</f>
        <v>2060673.5699999998</v>
      </c>
      <c r="E38" s="15">
        <f>SUM(E20:E36)</f>
        <v>-52122802.409999989</v>
      </c>
      <c r="F38" s="264"/>
      <c r="G38" s="270"/>
    </row>
    <row r="39" spans="1:7" s="352" customFormat="1" ht="12.75">
      <c r="A39" s="353">
        <f t="shared" si="0"/>
        <v>25</v>
      </c>
      <c r="C39" s="15"/>
      <c r="D39" s="15"/>
      <c r="E39" s="15"/>
      <c r="G39" s="263"/>
    </row>
    <row r="40" spans="1:8" s="352" customFormat="1" ht="12.75">
      <c r="A40" s="353">
        <f t="shared" si="0"/>
        <v>26</v>
      </c>
      <c r="B40" s="352" t="s">
        <v>399</v>
      </c>
      <c r="C40" s="15">
        <f>C17+C38</f>
        <v>141205420.08000001</v>
      </c>
      <c r="D40" s="15"/>
      <c r="E40" s="15">
        <f>E17+E38</f>
        <v>166100764.16</v>
      </c>
      <c r="G40" s="263"/>
      <c r="H40" s="487"/>
    </row>
    <row r="41" spans="1:7" s="352" customFormat="1" ht="12.75">
      <c r="A41" s="353">
        <f t="shared" si="0"/>
        <v>27</v>
      </c>
      <c r="C41" s="198"/>
      <c r="G41" s="263"/>
    </row>
    <row r="42" spans="1:7" s="352" customFormat="1" ht="12.75">
      <c r="A42" s="353">
        <f t="shared" si="0"/>
        <v>28</v>
      </c>
      <c r="B42" s="352" t="s">
        <v>382</v>
      </c>
      <c r="C42" s="321">
        <f>IF(ISERROR(C40/C15),0,C40/C15)</f>
        <v>0.15176470523228833</v>
      </c>
      <c r="E42" s="321">
        <f>IF(ISERROR(E40/E15),0,E40/E15)</f>
        <v>0.15984140036986541</v>
      </c>
      <c r="G42" s="263"/>
    </row>
    <row r="43" spans="1:7" s="352" customFormat="1" ht="12.75">
      <c r="A43" s="353">
        <f t="shared" si="0"/>
        <v>29</v>
      </c>
      <c r="C43" s="114"/>
      <c r="G43" s="263"/>
    </row>
    <row r="44" spans="1:7" s="352" customFormat="1" ht="12.75">
      <c r="A44" s="353">
        <f t="shared" si="0"/>
        <v>30</v>
      </c>
      <c r="B44" s="352" t="s">
        <v>4</v>
      </c>
      <c r="E44" s="114"/>
      <c r="G44" s="263"/>
    </row>
    <row r="45" spans="1:7" s="352" customFormat="1" ht="12.75">
      <c r="A45" s="353">
        <f t="shared" si="0"/>
        <v>31</v>
      </c>
      <c r="C45" s="198"/>
      <c r="E45" s="114"/>
      <c r="G45" s="263"/>
    </row>
    <row r="46" spans="1:7" s="352" customFormat="1" ht="12.75">
      <c r="A46" s="353">
        <f t="shared" si="0"/>
        <v>32</v>
      </c>
      <c r="B46" s="352" t="s">
        <v>482</v>
      </c>
      <c r="C46" s="483">
        <f>ROUND(+'[2]Op Income'!$E$31,2)</f>
        <v>78901800.530000001</v>
      </c>
      <c r="D46" s="483"/>
      <c r="E46" s="483">
        <f>+'II-E-3.15'!E104</f>
        <v>95424803.359999999</v>
      </c>
      <c r="G46" s="263" t="s">
        <v>55</v>
      </c>
    </row>
    <row r="47" spans="1:7" s="352" customFormat="1" ht="12.75">
      <c r="A47" s="353">
        <f t="shared" si="0"/>
        <v>33</v>
      </c>
      <c r="B47" s="352" t="s">
        <v>483</v>
      </c>
      <c r="C47" s="15">
        <f>ROUND(+'[2]Op Income'!$E$32-C48,2)</f>
        <v>63477869.869999997</v>
      </c>
      <c r="D47" s="15"/>
      <c r="E47" s="15">
        <f>+'II-E-3.15'!E115</f>
        <v>71447595.510000005</v>
      </c>
      <c r="G47" s="263" t="s">
        <v>55</v>
      </c>
    </row>
    <row r="48" spans="1:7" s="352" customFormat="1" ht="12.75">
      <c r="A48" s="353">
        <f t="shared" si="0"/>
        <v>34</v>
      </c>
      <c r="B48" s="352" t="s">
        <v>484</v>
      </c>
      <c r="C48" s="15">
        <f>ROUND(+'[2]Op Income'!$E$18,2)</f>
        <v>-1174249.98</v>
      </c>
      <c r="D48" s="15"/>
      <c r="E48" s="15">
        <f>+'II-E-3.15'!E117</f>
        <v>-771634.71999999997</v>
      </c>
      <c r="G48" s="263" t="s">
        <v>55</v>
      </c>
    </row>
    <row r="49" spans="1:7" s="127" customFormat="1" ht="13.5" thickBot="1">
      <c r="A49" s="353">
        <f t="shared" si="0"/>
        <v>35</v>
      </c>
      <c r="B49" s="352" t="s">
        <v>6</v>
      </c>
      <c r="C49" s="489">
        <f>SUM(C46:C48)</f>
        <v>141205420.42000002</v>
      </c>
      <c r="D49" s="490"/>
      <c r="E49" s="489">
        <f>SUM(E46:E48)</f>
        <v>166100764.15000001</v>
      </c>
      <c r="G49" s="263" t="s">
        <v>55</v>
      </c>
    </row>
    <row r="50" spans="3:7" s="352" customFormat="1" ht="13.5" thickTop="1">
      <c r="C50" s="264"/>
      <c r="E50" s="264"/>
      <c r="G50" s="263"/>
    </row>
    <row r="51" spans="3:7" s="352" customFormat="1" ht="12.75">
      <c r="C51" s="589">
        <f>+'II-E-3'!E55</f>
        <v>141205419.98999998</v>
      </c>
      <c r="E51" s="589">
        <f>+'II-E-3'!I55</f>
        <v>166100764.15000001</v>
      </c>
      <c r="G51" s="263" t="s">
        <v>232</v>
      </c>
    </row>
    <row r="52" spans="3:7" s="352" customFormat="1" ht="12.75">
      <c r="C52" s="589">
        <f>C40-C51</f>
        <v>0.090000033378601074</v>
      </c>
      <c r="E52" s="589">
        <f>+E40-E51</f>
        <v>0.0099999904632568359</v>
      </c>
      <c r="G52" s="263"/>
    </row>
    <row r="53" spans="3:7" s="352" customFormat="1" ht="12.75">
      <c r="C53" s="589">
        <f>+C49-C40</f>
        <v>0.34000000357627869</v>
      </c>
      <c r="E53" s="589">
        <f>+E49-E40</f>
        <v>-0.0099999904632568359</v>
      </c>
      <c r="G53" s="363"/>
    </row>
  </sheetData>
  <pageMargins left="1.5" right="0.5" top="2.5" bottom="0.5" header="1" footer="0.5"/>
  <pageSetup orientation="portrait" pageOrder="overThenDown" scale="73" r:id="rId1"/>
  <headerFooter alignWithMargins="0">
    <oddHeader>&amp;C&amp;B
2022 RATE CASE
ONCOR ELECTRIC DELIVERY COMPANY LLC
II-E-3.2  RECONCILIATION OF TIMING DIFFERENCES
TEST YEAR ENDING DECEMBER 31, 2021
SPONSOR: B. L. CLUTTER&amp;R&amp;"Arial,Bold"Schedule &amp;A
Page &amp;P of &amp;N</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31">
    <tabColor rgb="FF92D050"/>
  </sheetPr>
  <dimension ref="A1:X248"/>
  <sheetViews>
    <sheetView zoomScale="80" zoomScaleNormal="80" workbookViewId="0" topLeftCell="A1">
      <pane xSplit="5" ySplit="10" topLeftCell="F11" activePane="bottomRight" state="frozen"/>
      <selection pane="topLeft" activeCell="H16" sqref="H16"/>
      <selection pane="bottomLeft" activeCell="H16" sqref="H16"/>
      <selection pane="topRight" activeCell="H16" sqref="H16"/>
      <selection pane="bottomRight" activeCell="H16" sqref="H16"/>
    </sheetView>
  </sheetViews>
  <sheetFormatPr defaultColWidth="9.14428571428571" defaultRowHeight="12.75"/>
  <cols>
    <col min="1" max="1" width="7.71428571428571" style="184" customWidth="1"/>
    <col min="2" max="2" width="13.4285714285714" style="184" bestFit="1" customWidth="1"/>
    <col min="3" max="3" width="20.5714285714286" style="184" bestFit="1" customWidth="1"/>
    <col min="4" max="4" width="10.1428571428571" style="184" bestFit="1" customWidth="1"/>
    <col min="5" max="5" width="12.2857142857143" style="185" bestFit="1" customWidth="1"/>
    <col min="6" max="6" width="14.5714285714286" style="185" customWidth="1"/>
    <col min="7" max="11" width="14.5714285714286" style="184" customWidth="1"/>
    <col min="12" max="15" width="18.5714285714286" style="184" customWidth="1"/>
    <col min="16" max="16" width="18.7142857142857" style="105" customWidth="1"/>
    <col min="17" max="17" width="18.7142857142857" style="184" customWidth="1"/>
    <col min="18" max="18" width="18.7142857142857" style="121" customWidth="1"/>
    <col min="19" max="20" width="18.7142857142857" style="186" customWidth="1"/>
    <col min="21" max="21" width="13.1428571428571" style="186" customWidth="1"/>
    <col min="22" max="22" width="11.4285714285714" style="186" customWidth="1"/>
    <col min="23" max="23" width="10.2857142857143" style="186" customWidth="1"/>
    <col min="24" max="24" width="11.4285714285714" style="184" customWidth="1"/>
    <col min="25" max="25" width="13" style="184" customWidth="1"/>
    <col min="26" max="16384" width="9.14285714285714" style="184"/>
  </cols>
  <sheetData>
    <row r="1" spans="1:1" ht="15.75">
      <c r="A1" s="154" t="str">
        <f>+'[3]Input Data'!$A$9</f>
        <v>2022 RATE CASE</v>
      </c>
    </row>
    <row r="2" spans="1:1" ht="15.75">
      <c r="A2" s="156" t="str">
        <f>+'[3]Input Data'!$A$2</f>
        <v>ONCOR ELECTRIC DELIVERY COMPANY LLC</v>
      </c>
    </row>
    <row r="3" spans="1:1" ht="15.75">
      <c r="A3" s="158" t="str">
        <f>CONCATENATE('[3]Schedule Sponsors'!$A$88,'[3]Schedule Sponsors'!$B$88)</f>
        <v>II-E-3.3  PLANT ADJUSTMENTS</v>
      </c>
    </row>
    <row r="4" spans="1:24" ht="15.75">
      <c r="A4" s="158" t="str">
        <f>+'[3]Input Data'!$A$4</f>
        <v>TEST YEAR ENDING DECEMBER 31, 2021</v>
      </c>
      <c r="R4"/>
      <c r="S4"/>
      <c r="T4"/>
      <c r="U4"/>
      <c r="V4"/>
      <c r="W4"/>
      <c r="X4"/>
    </row>
    <row r="5" spans="1:24" ht="15.75">
      <c r="A5" s="157" t="str">
        <f>CONCATENATE("SPONSOR: ",'[3]Schedule Sponsors'!$D$88)</f>
        <v>SPONSOR: B. L. CLUTTER</v>
      </c>
      <c r="R5"/>
      <c r="S5"/>
      <c r="T5"/>
      <c r="U5"/>
      <c r="V5"/>
      <c r="W5"/>
      <c r="X5"/>
    </row>
    <row r="6" spans="1:1" ht="12.75">
      <c r="A6" s="188"/>
    </row>
    <row r="7" spans="1:1" ht="12.75">
      <c r="A7" s="188"/>
    </row>
    <row r="8" spans="1:1" ht="12.75">
      <c r="A8" s="188"/>
    </row>
    <row r="10" spans="1:15" s="337" customFormat="1" ht="38.25">
      <c r="A10" s="643" t="s">
        <v>485</v>
      </c>
      <c r="B10" s="828" t="s">
        <v>192</v>
      </c>
      <c r="C10" s="828"/>
      <c r="D10" s="753" t="s">
        <v>193</v>
      </c>
      <c r="E10" s="753" t="s">
        <v>194</v>
      </c>
      <c r="F10" s="644" t="s">
        <v>814</v>
      </c>
      <c r="G10" s="644" t="s">
        <v>815</v>
      </c>
      <c r="H10" s="644" t="s">
        <v>816</v>
      </c>
      <c r="I10" s="644" t="s">
        <v>817</v>
      </c>
      <c r="J10" s="644" t="s">
        <v>1025</v>
      </c>
      <c r="K10" s="644" t="s">
        <v>391</v>
      </c>
      <c r="L10" s="644" t="s">
        <v>1026</v>
      </c>
      <c r="M10" s="644" t="s">
        <v>1027</v>
      </c>
      <c r="N10" s="644" t="s">
        <v>1028</v>
      </c>
      <c r="O10" s="644" t="s">
        <v>1029</v>
      </c>
    </row>
    <row r="11" spans="1:23" s="337" customFormat="1" ht="14.45" customHeight="1">
      <c r="A11" s="815"/>
      <c r="B11" s="829" t="s">
        <v>237</v>
      </c>
      <c r="C11" s="829"/>
      <c r="D11" s="816" t="s">
        <v>238</v>
      </c>
      <c r="E11" s="816" t="s">
        <v>239</v>
      </c>
      <c r="F11" s="817" t="s">
        <v>240</v>
      </c>
      <c r="G11" s="817" t="s">
        <v>241</v>
      </c>
      <c r="H11" s="817" t="s">
        <v>242</v>
      </c>
      <c r="I11" s="817" t="s">
        <v>243</v>
      </c>
      <c r="J11" s="817" t="s">
        <v>244</v>
      </c>
      <c r="K11" s="817" t="s">
        <v>245</v>
      </c>
      <c r="L11" s="817" t="s">
        <v>246</v>
      </c>
      <c r="M11" s="817" t="s">
        <v>247</v>
      </c>
      <c r="N11" s="817" t="s">
        <v>248</v>
      </c>
      <c r="O11" s="817" t="s">
        <v>249</v>
      </c>
      <c r="P11" s="817"/>
      <c r="Q11" s="817"/>
      <c r="R11" s="817"/>
      <c r="S11" s="817" t="s">
        <v>281</v>
      </c>
      <c r="T11" s="817" t="s">
        <v>292</v>
      </c>
      <c r="U11" s="817" t="s">
        <v>293</v>
      </c>
      <c r="V11" s="817" t="s">
        <v>509</v>
      </c>
      <c r="W11" s="817" t="s">
        <v>510</v>
      </c>
    </row>
    <row r="12" spans="1:15" s="337" customFormat="1" ht="12.75">
      <c r="A12" s="425">
        <v>1</v>
      </c>
      <c r="B12" s="756" t="s">
        <v>354</v>
      </c>
      <c r="C12" s="645"/>
      <c r="D12" s="645"/>
      <c r="E12" s="645"/>
      <c r="F12" s="414"/>
      <c r="G12" s="414"/>
      <c r="H12" s="414"/>
      <c r="I12" s="414"/>
      <c r="J12" s="414"/>
      <c r="K12" s="414"/>
      <c r="L12" s="414"/>
      <c r="M12" s="414"/>
      <c r="N12" s="414"/>
      <c r="O12" s="414"/>
    </row>
    <row r="13" spans="1:14" s="337" customFormat="1" ht="12.75">
      <c r="A13" s="425">
        <f>+A12+1</f>
        <v>2</v>
      </c>
      <c r="B13" s="757" t="s">
        <v>1131</v>
      </c>
      <c r="C13" s="337" t="s">
        <v>1132</v>
      </c>
      <c r="D13" s="425" t="s">
        <v>1133</v>
      </c>
      <c r="E13" s="425" t="s">
        <v>1134</v>
      </c>
      <c r="F13" s="726">
        <v>997544.60999999999</v>
      </c>
      <c r="G13" s="726">
        <v>1256688</v>
      </c>
      <c r="H13" s="726">
        <v>5506202.3300000001</v>
      </c>
      <c r="I13" s="726">
        <v>11334669.310000001</v>
      </c>
      <c r="J13" s="726">
        <v>4973457.0599999996</v>
      </c>
      <c r="K13" s="726">
        <f>SUM(F13:J13)</f>
        <v>24068561.309999999</v>
      </c>
      <c r="L13" s="726">
        <v>4724750.1400000006</v>
      </c>
      <c r="M13" s="726">
        <v>4035011.4999999995</v>
      </c>
      <c r="N13" s="726">
        <v>2954282.6600000001</v>
      </c>
    </row>
    <row r="14" spans="1:14" s="337" customFormat="1" ht="12.75">
      <c r="A14" s="425">
        <f t="shared" si="0" ref="A14:A77">+A13+1</f>
        <v>3</v>
      </c>
      <c r="B14" s="757" t="s">
        <v>1135</v>
      </c>
      <c r="C14" s="337" t="s">
        <v>1136</v>
      </c>
      <c r="D14" s="425" t="s">
        <v>1137</v>
      </c>
      <c r="E14" s="425" t="s">
        <v>1134</v>
      </c>
      <c r="F14" s="726">
        <v>12290348.6</v>
      </c>
      <c r="G14" s="726">
        <v>5655897.5599999996</v>
      </c>
      <c r="H14" s="726">
        <v>10609443.930000002</v>
      </c>
      <c r="I14" s="726">
        <v>61719114.159999996</v>
      </c>
      <c r="J14" s="726">
        <v>15137580.960000001</v>
      </c>
      <c r="K14" s="726">
        <f t="shared" si="1" ref="K14:K34">SUM(F14:J14)</f>
        <v>105412385.21000001</v>
      </c>
      <c r="L14" s="726">
        <v>30315459.719999999</v>
      </c>
      <c r="M14" s="726">
        <v>22148799.510000005</v>
      </c>
      <c r="N14" s="726">
        <v>12841388.019999998</v>
      </c>
    </row>
    <row r="15" spans="1:14" s="337" customFormat="1" ht="12.75">
      <c r="A15" s="425">
        <f t="shared" si="0"/>
        <v>4</v>
      </c>
      <c r="B15" s="757" t="s">
        <v>1138</v>
      </c>
      <c r="C15" s="337" t="s">
        <v>1139</v>
      </c>
      <c r="D15" s="425" t="s">
        <v>1137</v>
      </c>
      <c r="E15" s="425" t="s">
        <v>1134</v>
      </c>
      <c r="F15" s="726">
        <v>0</v>
      </c>
      <c r="G15" s="726">
        <v>2617666</v>
      </c>
      <c r="H15" s="726">
        <v>1659975</v>
      </c>
      <c r="I15" s="726">
        <v>0</v>
      </c>
      <c r="J15" s="726">
        <v>0</v>
      </c>
      <c r="K15" s="726">
        <f t="shared" si="1"/>
        <v>4277641</v>
      </c>
      <c r="L15" s="726">
        <v>620270.32000000007</v>
      </c>
      <c r="M15" s="726">
        <v>492784.23999999999</v>
      </c>
      <c r="N15" s="726">
        <v>342006.69</v>
      </c>
    </row>
    <row r="16" spans="1:14" s="337" customFormat="1" ht="12.75">
      <c r="A16" s="425">
        <f t="shared" si="0"/>
        <v>5</v>
      </c>
      <c r="B16" s="757" t="s">
        <v>1140</v>
      </c>
      <c r="C16" s="337" t="s">
        <v>1141</v>
      </c>
      <c r="D16" s="425" t="s">
        <v>1137</v>
      </c>
      <c r="E16" s="425" t="s">
        <v>1134</v>
      </c>
      <c r="F16" s="726">
        <v>636668.55000000005</v>
      </c>
      <c r="G16" s="726">
        <v>328794.84000000003</v>
      </c>
      <c r="H16" s="726">
        <v>553113.07999999996</v>
      </c>
      <c r="I16" s="726">
        <v>2128229.79</v>
      </c>
      <c r="J16" s="726">
        <v>1002860.71</v>
      </c>
      <c r="K16" s="726">
        <f t="shared" si="1"/>
        <v>4649666.9700000007</v>
      </c>
      <c r="L16" s="726">
        <v>1198561.73</v>
      </c>
      <c r="M16" s="726">
        <v>948729.31999999995</v>
      </c>
      <c r="N16" s="726">
        <v>559628.45999999996</v>
      </c>
    </row>
    <row r="17" spans="1:14" s="337" customFormat="1" ht="12.75">
      <c r="A17" s="425">
        <f t="shared" si="0"/>
        <v>6</v>
      </c>
      <c r="B17" s="757" t="s">
        <v>1142</v>
      </c>
      <c r="C17" s="337" t="s">
        <v>1143</v>
      </c>
      <c r="D17" s="425" t="s">
        <v>1137</v>
      </c>
      <c r="E17" s="425" t="s">
        <v>1134</v>
      </c>
      <c r="F17" s="726">
        <v>2196683.9700000002</v>
      </c>
      <c r="G17" s="726">
        <v>310098.91999999998</v>
      </c>
      <c r="H17" s="726">
        <v>973686.96999999997</v>
      </c>
      <c r="I17" s="726">
        <v>1191.54</v>
      </c>
      <c r="J17" s="726">
        <v>0</v>
      </c>
      <c r="K17" s="726">
        <f t="shared" si="1"/>
        <v>3481661.4000000004</v>
      </c>
      <c r="L17" s="726">
        <v>317734.02000000002</v>
      </c>
      <c r="M17" s="726">
        <v>281663.82000000001</v>
      </c>
      <c r="N17" s="726">
        <v>69655.649999999994</v>
      </c>
    </row>
    <row r="18" spans="1:14" s="337" customFormat="1" ht="12.75">
      <c r="A18" s="425">
        <f t="shared" si="0"/>
        <v>7</v>
      </c>
      <c r="B18" s="757" t="s">
        <v>1144</v>
      </c>
      <c r="C18" s="337" t="s">
        <v>1145</v>
      </c>
      <c r="D18" s="425" t="s">
        <v>1137</v>
      </c>
      <c r="E18" s="425" t="s">
        <v>1134</v>
      </c>
      <c r="F18" s="726">
        <v>678187.19999999995</v>
      </c>
      <c r="G18" s="726">
        <v>365428.77000000002</v>
      </c>
      <c r="H18" s="726">
        <v>0</v>
      </c>
      <c r="I18" s="726">
        <v>328223.75</v>
      </c>
      <c r="J18" s="726">
        <v>90231.470000000001</v>
      </c>
      <c r="K18" s="726">
        <f t="shared" si="1"/>
        <v>1462071.1899999999</v>
      </c>
      <c r="L18" s="726">
        <v>238724.69</v>
      </c>
      <c r="M18" s="726">
        <v>194075.00000000003</v>
      </c>
      <c r="N18" s="726">
        <v>76917.850000000006</v>
      </c>
    </row>
    <row r="19" spans="1:14" s="337" customFormat="1" ht="12.75">
      <c r="A19" s="425">
        <f t="shared" si="0"/>
        <v>8</v>
      </c>
      <c r="B19" s="757" t="s">
        <v>1146</v>
      </c>
      <c r="C19" s="337" t="s">
        <v>1147</v>
      </c>
      <c r="D19" s="425" t="s">
        <v>1137</v>
      </c>
      <c r="E19" s="425" t="s">
        <v>1134</v>
      </c>
      <c r="F19" s="726">
        <v>643724.17000000004</v>
      </c>
      <c r="G19" s="726">
        <v>1429135.1200000001</v>
      </c>
      <c r="H19" s="726">
        <v>615251.77000000002</v>
      </c>
      <c r="I19" s="726">
        <v>792156.28999999992</v>
      </c>
      <c r="J19" s="726">
        <v>181842.34</v>
      </c>
      <c r="K19" s="726">
        <f t="shared" si="1"/>
        <v>3662109.6899999999</v>
      </c>
      <c r="L19" s="726">
        <v>628664.59000000008</v>
      </c>
      <c r="M19" s="726">
        <v>497610.15999999997</v>
      </c>
      <c r="N19" s="726">
        <v>282159.40999999997</v>
      </c>
    </row>
    <row r="20" spans="1:14" s="337" customFormat="1" ht="12.75">
      <c r="A20" s="425">
        <f t="shared" si="0"/>
        <v>9</v>
      </c>
      <c r="B20" s="757" t="s">
        <v>1148</v>
      </c>
      <c r="C20" s="337" t="s">
        <v>1149</v>
      </c>
      <c r="D20" s="425" t="s">
        <v>1150</v>
      </c>
      <c r="E20" s="425" t="s">
        <v>1134</v>
      </c>
      <c r="F20" s="726">
        <v>0</v>
      </c>
      <c r="G20" s="726">
        <v>0</v>
      </c>
      <c r="H20" s="726">
        <v>30721.490000000002</v>
      </c>
      <c r="I20" s="726">
        <v>20022.040000000001</v>
      </c>
      <c r="J20" s="726">
        <v>0</v>
      </c>
      <c r="K20" s="726">
        <f t="shared" si="1"/>
        <v>50743.529999999999</v>
      </c>
      <c r="L20" s="726">
        <v>10430.5</v>
      </c>
      <c r="M20" s="726">
        <v>7143.0900000000001</v>
      </c>
      <c r="N20" s="726">
        <v>5107.8000000000002</v>
      </c>
    </row>
    <row r="21" spans="1:14" s="337" customFormat="1" ht="12.75">
      <c r="A21" s="425">
        <f t="shared" si="0"/>
        <v>10</v>
      </c>
      <c r="B21" s="757" t="s">
        <v>1151</v>
      </c>
      <c r="C21" s="337" t="s">
        <v>1152</v>
      </c>
      <c r="D21" s="425" t="s">
        <v>1153</v>
      </c>
      <c r="E21" s="425" t="s">
        <v>1134</v>
      </c>
      <c r="F21" s="726">
        <v>4989496.8700000001</v>
      </c>
      <c r="G21" s="726">
        <v>19641171.5</v>
      </c>
      <c r="H21" s="726">
        <v>20968301.359999999</v>
      </c>
      <c r="I21" s="726">
        <v>30575380</v>
      </c>
      <c r="J21" s="726">
        <v>46702065.07</v>
      </c>
      <c r="K21" s="726">
        <f t="shared" si="1"/>
        <v>122876414.80000001</v>
      </c>
      <c r="L21" s="726">
        <v>8745675.9400000013</v>
      </c>
      <c r="M21" s="726">
        <v>10251501.52</v>
      </c>
      <c r="N21" s="726">
        <v>9237022.9399999995</v>
      </c>
    </row>
    <row r="22" spans="1:14" s="337" customFormat="1" ht="12.75">
      <c r="A22" s="425">
        <f t="shared" si="0"/>
        <v>11</v>
      </c>
      <c r="B22" s="757" t="s">
        <v>1154</v>
      </c>
      <c r="C22" s="337" t="s">
        <v>1155</v>
      </c>
      <c r="D22" s="425" t="s">
        <v>1133</v>
      </c>
      <c r="E22" s="425" t="s">
        <v>1134</v>
      </c>
      <c r="F22" s="726">
        <v>0</v>
      </c>
      <c r="G22" s="726">
        <v>0</v>
      </c>
      <c r="H22" s="726">
        <v>0</v>
      </c>
      <c r="I22" s="726">
        <v>-1809.55</v>
      </c>
      <c r="J22" s="726">
        <v>0</v>
      </c>
      <c r="K22" s="726">
        <f t="shared" si="1"/>
        <v>-1809.55</v>
      </c>
      <c r="L22" s="726">
        <v>-498.55000000000001</v>
      </c>
      <c r="M22" s="726">
        <v>-356.12</v>
      </c>
      <c r="N22" s="726">
        <v>-254.34999999999999</v>
      </c>
    </row>
    <row r="23" spans="1:14" s="337" customFormat="1" ht="12.75">
      <c r="A23" s="425">
        <f t="shared" si="0"/>
        <v>12</v>
      </c>
      <c r="B23" s="758" t="s">
        <v>1156</v>
      </c>
      <c r="C23" s="337" t="s">
        <v>1157</v>
      </c>
      <c r="D23" s="425" t="s">
        <v>1158</v>
      </c>
      <c r="E23" s="425" t="s">
        <v>1134</v>
      </c>
      <c r="F23" s="726">
        <v>249815910.52000001</v>
      </c>
      <c r="G23" s="726">
        <v>494249407.25999999</v>
      </c>
      <c r="H23" s="726">
        <v>681281297</v>
      </c>
      <c r="I23" s="726">
        <v>773467536.94999993</v>
      </c>
      <c r="J23" s="726">
        <v>810955584.16999996</v>
      </c>
      <c r="K23" s="726">
        <f t="shared" si="1"/>
        <v>3009769735.9000001</v>
      </c>
      <c r="L23" s="726">
        <v>173669027.87999997</v>
      </c>
      <c r="M23" s="726">
        <v>190770709.44999996</v>
      </c>
      <c r="N23" s="726">
        <v>176739137.30999997</v>
      </c>
    </row>
    <row r="24" spans="1:14" s="337" customFormat="1" ht="12.75">
      <c r="A24" s="425">
        <f t="shared" si="0"/>
        <v>13</v>
      </c>
      <c r="B24" s="337" t="s">
        <v>1159</v>
      </c>
      <c r="C24" s="337" t="s">
        <v>1160</v>
      </c>
      <c r="D24" s="425" t="s">
        <v>1153</v>
      </c>
      <c r="E24" s="425" t="s">
        <v>1134</v>
      </c>
      <c r="F24" s="726">
        <v>311070711.13</v>
      </c>
      <c r="G24" s="726">
        <v>632050057.75</v>
      </c>
      <c r="H24" s="726">
        <v>1999330211.3300002</v>
      </c>
      <c r="I24" s="726">
        <v>1064450511.64</v>
      </c>
      <c r="J24" s="726">
        <v>1042950224.3299999</v>
      </c>
      <c r="K24" s="726">
        <f t="shared" si="1"/>
        <v>5049851716.1800003</v>
      </c>
      <c r="L24" s="726">
        <v>371838432.07000005</v>
      </c>
      <c r="M24" s="726">
        <v>391700458.48999995</v>
      </c>
      <c r="N24" s="726">
        <v>357379126.27999985</v>
      </c>
    </row>
    <row r="25" spans="1:14" s="337" customFormat="1" ht="12.75">
      <c r="A25" s="425">
        <f t="shared" si="0"/>
        <v>14</v>
      </c>
      <c r="B25" s="337" t="s">
        <v>1161</v>
      </c>
      <c r="C25" s="337" t="s">
        <v>1162</v>
      </c>
      <c r="D25" s="425" t="s">
        <v>1158</v>
      </c>
      <c r="E25" s="425" t="s">
        <v>1134</v>
      </c>
      <c r="F25" s="726">
        <v>2820858.0600000001</v>
      </c>
      <c r="G25" s="726">
        <v>2161648.6699999999</v>
      </c>
      <c r="H25" s="726">
        <v>10305818.77</v>
      </c>
      <c r="I25" s="726">
        <v>11539389.99</v>
      </c>
      <c r="J25" s="726">
        <v>10353306.800000001</v>
      </c>
      <c r="K25" s="726">
        <f t="shared" si="1"/>
        <v>37181022.290000007</v>
      </c>
      <c r="L25" s="726">
        <v>2884770.6099999994</v>
      </c>
      <c r="M25" s="726">
        <v>2981793.21</v>
      </c>
      <c r="N25" s="726">
        <v>2566586.7899999996</v>
      </c>
    </row>
    <row r="26" spans="1:14" s="337" customFormat="1" ht="12.75">
      <c r="A26" s="425">
        <f t="shared" si="0"/>
        <v>15</v>
      </c>
      <c r="B26" s="337" t="s">
        <v>1163</v>
      </c>
      <c r="C26" s="337" t="s">
        <v>1164</v>
      </c>
      <c r="D26" s="425" t="s">
        <v>1150</v>
      </c>
      <c r="E26" s="425" t="s">
        <v>1134</v>
      </c>
      <c r="F26" s="726">
        <v>23415150.84</v>
      </c>
      <c r="G26" s="726">
        <v>61086583.32</v>
      </c>
      <c r="H26" s="726">
        <v>74535490.929999992</v>
      </c>
      <c r="I26" s="726">
        <v>80368252.040000007</v>
      </c>
      <c r="J26" s="726">
        <v>84161730.510000005</v>
      </c>
      <c r="K26" s="726">
        <f t="shared" si="1"/>
        <v>323567207.63999999</v>
      </c>
      <c r="L26" s="726">
        <v>27769487.579999998</v>
      </c>
      <c r="M26" s="726">
        <v>29758898.030000001</v>
      </c>
      <c r="N26" s="726">
        <v>26617875.630000003</v>
      </c>
    </row>
    <row r="27" spans="1:14" s="337" customFormat="1" ht="12.75">
      <c r="A27" s="425">
        <f t="shared" si="0"/>
        <v>16</v>
      </c>
      <c r="B27" s="337" t="s">
        <v>1165</v>
      </c>
      <c r="C27" s="337" t="s">
        <v>1166</v>
      </c>
      <c r="D27" s="425" t="s">
        <v>1133</v>
      </c>
      <c r="E27" s="425" t="s">
        <v>1134</v>
      </c>
      <c r="F27" s="726">
        <v>10656252.289999999</v>
      </c>
      <c r="G27" s="726">
        <v>18364980.300000001</v>
      </c>
      <c r="H27" s="726">
        <v>23602877.109999999</v>
      </c>
      <c r="I27" s="726">
        <v>24821565.300000001</v>
      </c>
      <c r="J27" s="726">
        <v>24029800.550000001</v>
      </c>
      <c r="K27" s="726">
        <f t="shared" si="1"/>
        <v>101475475.55</v>
      </c>
      <c r="L27" s="726">
        <v>6270192.9800000014</v>
      </c>
      <c r="M27" s="726">
        <v>6636420.6699999999</v>
      </c>
      <c r="N27" s="726">
        <v>6192477.75</v>
      </c>
    </row>
    <row r="28" spans="1:14" s="337" customFormat="1" ht="12.75">
      <c r="A28" s="425">
        <f t="shared" si="0"/>
        <v>17</v>
      </c>
      <c r="B28" s="757" t="s">
        <v>1167</v>
      </c>
      <c r="C28" s="337" t="s">
        <v>1168</v>
      </c>
      <c r="D28" s="425" t="s">
        <v>1137</v>
      </c>
      <c r="E28" s="425" t="s">
        <v>1134</v>
      </c>
      <c r="F28" s="726">
        <v>3979411.8799999999</v>
      </c>
      <c r="G28" s="726">
        <v>6265981.5999999996</v>
      </c>
      <c r="H28" s="726">
        <v>5122443.25</v>
      </c>
      <c r="I28" s="726">
        <v>13966085.85</v>
      </c>
      <c r="J28" s="726">
        <v>9342711.6300000008</v>
      </c>
      <c r="K28" s="726">
        <f t="shared" si="1"/>
        <v>38676634.210000001</v>
      </c>
      <c r="L28" s="726">
        <v>9016704.5299999993</v>
      </c>
      <c r="M28" s="726">
        <v>7686652.9800000014</v>
      </c>
      <c r="N28" s="726">
        <v>4558911.8099999996</v>
      </c>
    </row>
    <row r="29" spans="1:14" s="337" customFormat="1" ht="12.75">
      <c r="A29" s="425">
        <f t="shared" si="0"/>
        <v>18</v>
      </c>
      <c r="B29" s="337" t="s">
        <v>1169</v>
      </c>
      <c r="C29" s="337" t="s">
        <v>1170</v>
      </c>
      <c r="D29" s="425" t="s">
        <v>1171</v>
      </c>
      <c r="E29" s="425" t="s">
        <v>1172</v>
      </c>
      <c r="F29" s="726">
        <v>15900000</v>
      </c>
      <c r="G29" s="726">
        <v>0</v>
      </c>
      <c r="H29" s="726">
        <v>0</v>
      </c>
      <c r="I29" s="726">
        <v>0</v>
      </c>
      <c r="J29" s="726">
        <v>0</v>
      </c>
      <c r="K29" s="726">
        <f t="shared" si="1"/>
        <v>15900000</v>
      </c>
      <c r="L29" s="726">
        <v>1059894</v>
      </c>
      <c r="M29" s="726">
        <v>1060053</v>
      </c>
      <c r="N29" s="726">
        <v>1060053</v>
      </c>
    </row>
    <row r="30" spans="1:14" s="337" customFormat="1" ht="12.75">
      <c r="A30" s="425">
        <f t="shared" si="0"/>
        <v>19</v>
      </c>
      <c r="B30" s="337" t="s">
        <v>1173</v>
      </c>
      <c r="C30" s="337" t="s">
        <v>1174</v>
      </c>
      <c r="D30" s="425" t="s">
        <v>1175</v>
      </c>
      <c r="E30" s="425" t="s">
        <v>1172</v>
      </c>
      <c r="F30" s="726">
        <v>42773.839999999997</v>
      </c>
      <c r="G30" s="726">
        <v>9976.3199999999997</v>
      </c>
      <c r="H30" s="726">
        <v>0</v>
      </c>
      <c r="I30" s="726">
        <v>25686591.670000002</v>
      </c>
      <c r="J30" s="726">
        <v>153213.54000000001</v>
      </c>
      <c r="K30" s="726">
        <f t="shared" si="1"/>
        <v>25892555.370000001</v>
      </c>
      <c r="L30" s="726">
        <v>662894.84999999998</v>
      </c>
      <c r="M30" s="726">
        <v>663885.19999999995</v>
      </c>
      <c r="N30" s="726">
        <v>663885.53000000003</v>
      </c>
    </row>
    <row r="31" spans="1:14" s="337" customFormat="1" ht="12.75">
      <c r="A31" s="425">
        <f t="shared" si="0"/>
        <v>20</v>
      </c>
      <c r="B31" s="337" t="s">
        <v>1176</v>
      </c>
      <c r="C31" s="337" t="s">
        <v>1177</v>
      </c>
      <c r="D31" s="425" t="s">
        <v>1178</v>
      </c>
      <c r="E31" s="425" t="s">
        <v>1134</v>
      </c>
      <c r="F31" s="726">
        <v>1230506.4299999999</v>
      </c>
      <c r="G31" s="726">
        <v>2071283.76</v>
      </c>
      <c r="H31" s="726">
        <v>6130177.0899999999</v>
      </c>
      <c r="I31" s="726">
        <v>-110121.84</v>
      </c>
      <c r="J31" s="726">
        <v>8326189.25</v>
      </c>
      <c r="K31" s="726">
        <f t="shared" si="1"/>
        <v>17648034.689999998</v>
      </c>
      <c r="L31" s="726">
        <v>346158.17999999999</v>
      </c>
      <c r="M31" s="726">
        <v>463814.40999999997</v>
      </c>
      <c r="N31" s="726">
        <v>454988.96000000002</v>
      </c>
    </row>
    <row r="32" spans="1:14" s="337" customFormat="1" ht="12.75">
      <c r="A32" s="425">
        <f t="shared" si="0"/>
        <v>21</v>
      </c>
      <c r="B32" s="337" t="s">
        <v>1179</v>
      </c>
      <c r="C32" s="337" t="s">
        <v>1180</v>
      </c>
      <c r="D32" s="425" t="s">
        <v>1181</v>
      </c>
      <c r="E32" s="425" t="s">
        <v>1134</v>
      </c>
      <c r="F32" s="726">
        <v>10669200.449999999</v>
      </c>
      <c r="G32" s="726">
        <v>3784851.1699999999</v>
      </c>
      <c r="H32" s="726">
        <v>117574271.14999999</v>
      </c>
      <c r="I32" s="726">
        <v>46742174.109999999</v>
      </c>
      <c r="J32" s="726">
        <v>21246784.240000002</v>
      </c>
      <c r="K32" s="726">
        <f t="shared" si="1"/>
        <v>200017281.12000001</v>
      </c>
      <c r="L32" s="726">
        <v>8749326.3300000001</v>
      </c>
      <c r="M32" s="726">
        <v>9018487.0699999984</v>
      </c>
      <c r="N32" s="726">
        <v>8269747.6799999997</v>
      </c>
    </row>
    <row r="33" spans="1:14" s="337" customFormat="1" ht="12.75">
      <c r="A33" s="425">
        <f t="shared" si="0"/>
        <v>22</v>
      </c>
      <c r="B33" s="337" t="s">
        <v>1182</v>
      </c>
      <c r="C33" s="337" t="s">
        <v>1183</v>
      </c>
      <c r="D33" s="425" t="s">
        <v>1184</v>
      </c>
      <c r="E33" s="425"/>
      <c r="F33" s="726">
        <v>8022096.6600000001</v>
      </c>
      <c r="G33" s="726">
        <v>28547868.969999999</v>
      </c>
      <c r="H33" s="726">
        <v>54585829.839999996</v>
      </c>
      <c r="I33" s="726">
        <v>15424521.01</v>
      </c>
      <c r="J33" s="726">
        <v>27979201.709999997</v>
      </c>
      <c r="K33" s="726">
        <f t="shared" si="1"/>
        <v>134559518.19</v>
      </c>
      <c r="L33" s="726">
        <v>0</v>
      </c>
      <c r="M33" s="726">
        <v>0</v>
      </c>
      <c r="N33" s="726">
        <v>0</v>
      </c>
    </row>
    <row r="34" spans="1:14" s="337" customFormat="1" ht="12.75">
      <c r="A34" s="425">
        <f t="shared" si="0"/>
        <v>23</v>
      </c>
      <c r="B34" s="337" t="s">
        <v>1185</v>
      </c>
      <c r="C34" s="337" t="s">
        <v>1186</v>
      </c>
      <c r="D34" s="425" t="s">
        <v>1175</v>
      </c>
      <c r="E34" s="425" t="s">
        <v>1172</v>
      </c>
      <c r="F34" s="726">
        <v>21658813.859999999</v>
      </c>
      <c r="G34" s="726">
        <v>31181436.23</v>
      </c>
      <c r="H34" s="726">
        <v>162044777.03</v>
      </c>
      <c r="I34" s="726">
        <v>41183865.850000001</v>
      </c>
      <c r="J34" s="726">
        <v>55036619.460000001</v>
      </c>
      <c r="K34" s="726">
        <f t="shared" si="1"/>
        <v>311105512.43000001</v>
      </c>
      <c r="L34" s="726">
        <v>6925940.5800000001</v>
      </c>
      <c r="M34" s="726">
        <v>7811843.3999999994</v>
      </c>
      <c r="N34" s="726">
        <v>7795831.0099999998</v>
      </c>
    </row>
    <row r="35" spans="1:15" s="337" customFormat="1" ht="12.75">
      <c r="A35" s="425">
        <f t="shared" si="0"/>
        <v>24</v>
      </c>
      <c r="B35" s="759" t="s">
        <v>354</v>
      </c>
      <c r="D35" s="425"/>
      <c r="E35" s="425"/>
      <c r="F35" s="760">
        <f>SUM(F13:F34)</f>
        <v>681714339.92999995</v>
      </c>
      <c r="G35" s="760">
        <f t="shared" si="2" ref="G35:N35">SUM(G13:G34)</f>
        <v>1311378956.0599999</v>
      </c>
      <c r="H35" s="760">
        <f t="shared" si="2"/>
        <v>3175429889.4300008</v>
      </c>
      <c r="I35" s="760">
        <f t="shared" si="2"/>
        <v>2204437549.9000001</v>
      </c>
      <c r="J35" s="760">
        <f t="shared" si="2"/>
        <v>2162623403.7999997</v>
      </c>
      <c r="K35" s="760">
        <f t="shared" si="2"/>
        <v>9535584139.1200027</v>
      </c>
      <c r="L35" s="760">
        <f t="shared" si="2"/>
        <v>655992602.69000006</v>
      </c>
      <c r="M35" s="760">
        <f t="shared" si="2"/>
        <v>687409977.94999993</v>
      </c>
      <c r="N35" s="760">
        <f t="shared" si="2"/>
        <v>618666536.87999964</v>
      </c>
      <c r="O35" s="760">
        <v>746040169.22000003</v>
      </c>
    </row>
    <row r="36" spans="1:15" s="337" customFormat="1" ht="12.75">
      <c r="A36" s="425">
        <f t="shared" si="0"/>
        <v>25</v>
      </c>
      <c r="D36" s="425"/>
      <c r="E36" s="425"/>
      <c r="F36" s="761"/>
      <c r="G36" s="761"/>
      <c r="H36" s="726"/>
      <c r="I36" s="761"/>
      <c r="J36" s="761"/>
      <c r="K36" s="761"/>
      <c r="L36" s="726"/>
      <c r="M36" s="726"/>
      <c r="N36" s="726"/>
      <c r="O36" s="726"/>
    </row>
    <row r="37" spans="1:15" s="337" customFormat="1" ht="12.75">
      <c r="A37" s="425">
        <f t="shared" si="0"/>
        <v>26</v>
      </c>
      <c r="B37" s="646" t="s">
        <v>208</v>
      </c>
      <c r="C37" s="645"/>
      <c r="D37" s="645"/>
      <c r="E37" s="647">
        <f>+'[5]II-F Alloc_Factor'!$E$40</f>
        <v>0.46423244491404464</v>
      </c>
      <c r="F37" s="414"/>
      <c r="G37" s="414"/>
      <c r="H37" s="414"/>
      <c r="I37" s="414"/>
      <c r="J37" s="414"/>
      <c r="K37" s="414"/>
      <c r="L37" s="414"/>
      <c r="M37" s="414"/>
      <c r="N37" s="414"/>
      <c r="O37" s="414"/>
    </row>
    <row r="38" spans="1:14" s="337" customFormat="1" ht="12.75">
      <c r="A38" s="425">
        <f t="shared" si="0"/>
        <v>27</v>
      </c>
      <c r="B38" s="757" t="s">
        <v>1131</v>
      </c>
      <c r="C38" s="337" t="s">
        <v>1132</v>
      </c>
      <c r="D38" s="425" t="s">
        <v>1133</v>
      </c>
      <c r="E38" s="425" t="s">
        <v>1134</v>
      </c>
      <c r="F38" s="726">
        <v>463092.57000000001</v>
      </c>
      <c r="G38" s="726">
        <v>583395.33999999997</v>
      </c>
      <c r="H38" s="726">
        <v>1216390.6299999999</v>
      </c>
      <c r="I38" s="726">
        <v>5251007.5700000003</v>
      </c>
      <c r="J38" s="726">
        <v>2308840.1299999999</v>
      </c>
      <c r="K38" s="726">
        <v>9822726.2400000002</v>
      </c>
      <c r="L38" s="726">
        <v>2087433.8500000001</v>
      </c>
      <c r="M38" s="726">
        <v>1827914.6100000001</v>
      </c>
      <c r="N38" s="726">
        <v>1332005.97</v>
      </c>
    </row>
    <row r="39" spans="1:14" s="337" customFormat="1" ht="12.75">
      <c r="A39" s="425">
        <f t="shared" si="0"/>
        <v>28</v>
      </c>
      <c r="B39" s="757" t="s">
        <v>1135</v>
      </c>
      <c r="C39" s="337" t="s">
        <v>1136</v>
      </c>
      <c r="D39" s="425" t="s">
        <v>1137</v>
      </c>
      <c r="E39" s="425" t="s">
        <v>1134</v>
      </c>
      <c r="F39" s="726">
        <v>5705578.5800000001</v>
      </c>
      <c r="G39" s="726">
        <v>2625651.1499999999</v>
      </c>
      <c r="H39" s="726">
        <v>4921844.0899999999</v>
      </c>
      <c r="I39" s="726">
        <v>28652015.260000002</v>
      </c>
      <c r="J39" s="726">
        <v>7027356.2199999997</v>
      </c>
      <c r="K39" s="726">
        <v>48932445.299999997</v>
      </c>
      <c r="L39" s="726">
        <v>14073208.83</v>
      </c>
      <c r="M39" s="726">
        <v>10281980.199999999</v>
      </c>
      <c r="N39" s="726">
        <v>5961177.8099999996</v>
      </c>
    </row>
    <row r="40" spans="1:14" s="337" customFormat="1" ht="12.75">
      <c r="A40" s="425">
        <f t="shared" si="0"/>
        <v>29</v>
      </c>
      <c r="B40" s="757" t="s">
        <v>1138</v>
      </c>
      <c r="C40" s="337" t="s">
        <v>1139</v>
      </c>
      <c r="D40" s="425" t="s">
        <v>1137</v>
      </c>
      <c r="E40" s="425" t="s">
        <v>1134</v>
      </c>
      <c r="F40" s="726">
        <v>0</v>
      </c>
      <c r="G40" s="726">
        <v>1215205.49</v>
      </c>
      <c r="H40" s="726">
        <v>770614.25</v>
      </c>
      <c r="I40" s="726">
        <v>0</v>
      </c>
      <c r="J40" s="726">
        <v>0</v>
      </c>
      <c r="K40" s="726">
        <v>1985819.74</v>
      </c>
      <c r="L40" s="726">
        <v>287949.60999999999</v>
      </c>
      <c r="M40" s="726">
        <v>228766.42999999999</v>
      </c>
      <c r="N40" s="726">
        <v>158770.60000000001</v>
      </c>
    </row>
    <row r="41" spans="1:14" s="337" customFormat="1" ht="12.75">
      <c r="A41" s="425">
        <f t="shared" si="0"/>
        <v>30</v>
      </c>
      <c r="B41" s="757" t="s">
        <v>1140</v>
      </c>
      <c r="C41" s="337" t="s">
        <v>1141</v>
      </c>
      <c r="D41" s="425" t="s">
        <v>1137</v>
      </c>
      <c r="E41" s="425" t="s">
        <v>1134</v>
      </c>
      <c r="F41" s="726">
        <v>295562.20000000001</v>
      </c>
      <c r="G41" s="726">
        <v>152637.23000000001</v>
      </c>
      <c r="H41" s="726">
        <v>256773.04000000001</v>
      </c>
      <c r="I41" s="726">
        <v>962233.58999999997</v>
      </c>
      <c r="J41" s="726">
        <v>465560.47999999998</v>
      </c>
      <c r="K41" s="726">
        <v>2132766.54</v>
      </c>
      <c r="L41" s="726">
        <v>549713.70999999996</v>
      </c>
      <c r="M41" s="726">
        <v>436412.41999999998</v>
      </c>
      <c r="N41" s="726">
        <v>256961.54000000001</v>
      </c>
    </row>
    <row r="42" spans="1:14" s="337" customFormat="1" ht="12.75">
      <c r="A42" s="425">
        <f t="shared" si="0"/>
        <v>31</v>
      </c>
      <c r="B42" s="757" t="s">
        <v>1142</v>
      </c>
      <c r="C42" s="337" t="s">
        <v>1143</v>
      </c>
      <c r="D42" s="425" t="s">
        <v>1137</v>
      </c>
      <c r="E42" s="425" t="s">
        <v>1134</v>
      </c>
      <c r="F42" s="726">
        <v>1019771.97</v>
      </c>
      <c r="G42" s="726">
        <v>143957.98000000001</v>
      </c>
      <c r="H42" s="726">
        <v>0</v>
      </c>
      <c r="I42" s="726">
        <v>553.14999999999998</v>
      </c>
      <c r="J42" s="726">
        <v>0</v>
      </c>
      <c r="K42" s="726">
        <v>1164283.0999999999</v>
      </c>
      <c r="L42" s="726">
        <v>122776.87</v>
      </c>
      <c r="M42" s="726">
        <v>106775.95</v>
      </c>
      <c r="N42" s="726">
        <v>8354.8700000000008</v>
      </c>
    </row>
    <row r="43" spans="1:14" s="337" customFormat="1" ht="12.75">
      <c r="A43" s="425">
        <f t="shared" si="0"/>
        <v>32</v>
      </c>
      <c r="B43" s="757" t="s">
        <v>1144</v>
      </c>
      <c r="C43" s="337" t="s">
        <v>1145</v>
      </c>
      <c r="D43" s="425" t="s">
        <v>1137</v>
      </c>
      <c r="E43" s="425" t="s">
        <v>1134</v>
      </c>
      <c r="F43" s="726">
        <v>314836.5</v>
      </c>
      <c r="G43" s="726">
        <v>169643.89000000001</v>
      </c>
      <c r="H43" s="726">
        <v>0</v>
      </c>
      <c r="I43" s="726">
        <v>152372.10999999999</v>
      </c>
      <c r="J43" s="726">
        <v>41888.379999999997</v>
      </c>
      <c r="K43" s="726">
        <v>678740.88</v>
      </c>
      <c r="L43" s="726">
        <v>110823.75</v>
      </c>
      <c r="M43" s="726">
        <v>90095.910000000003</v>
      </c>
      <c r="N43" s="726">
        <v>35707.760000000002</v>
      </c>
    </row>
    <row r="44" spans="1:14" s="337" customFormat="1" ht="12.75">
      <c r="A44" s="425">
        <f t="shared" si="0"/>
        <v>33</v>
      </c>
      <c r="B44" s="757" t="s">
        <v>1146</v>
      </c>
      <c r="C44" s="337" t="s">
        <v>1147</v>
      </c>
      <c r="D44" s="425" t="s">
        <v>1137</v>
      </c>
      <c r="E44" s="425" t="s">
        <v>1134</v>
      </c>
      <c r="F44" s="726">
        <v>298837.65000000002</v>
      </c>
      <c r="G44" s="726">
        <v>663450.89000000001</v>
      </c>
      <c r="H44" s="726">
        <v>285619.83000000002</v>
      </c>
      <c r="I44" s="726">
        <v>343182.59999999998</v>
      </c>
      <c r="J44" s="726">
        <v>84417.110000000001</v>
      </c>
      <c r="K44" s="726">
        <v>1675508.0800000003</v>
      </c>
      <c r="L44" s="726">
        <v>282512.91999999998</v>
      </c>
      <c r="M44" s="726">
        <v>225406.63000000001</v>
      </c>
      <c r="N44" s="726">
        <v>127627.46000000001</v>
      </c>
    </row>
    <row r="45" spans="1:14" s="337" customFormat="1" ht="12.75">
      <c r="A45" s="425">
        <f t="shared" si="0"/>
        <v>34</v>
      </c>
      <c r="B45" s="757" t="s">
        <v>1148</v>
      </c>
      <c r="C45" s="337" t="s">
        <v>1149</v>
      </c>
      <c r="D45" s="425" t="s">
        <v>1150</v>
      </c>
      <c r="E45" s="425" t="s">
        <v>1134</v>
      </c>
      <c r="F45" s="726">
        <v>0</v>
      </c>
      <c r="G45" s="726">
        <v>0</v>
      </c>
      <c r="H45" s="726">
        <v>14261.91</v>
      </c>
      <c r="I45" s="726">
        <v>9294.8799999999992</v>
      </c>
      <c r="J45" s="726">
        <v>0</v>
      </c>
      <c r="K45" s="726">
        <v>23556.790000000001</v>
      </c>
      <c r="L45" s="726">
        <v>4842.1800000000003</v>
      </c>
      <c r="M45" s="726">
        <v>3316.0500000000002</v>
      </c>
      <c r="N45" s="726">
        <v>2371.21</v>
      </c>
    </row>
    <row r="46" spans="1:14" s="337" customFormat="1" ht="12.75">
      <c r="A46" s="425">
        <f t="shared" si="0"/>
        <v>35</v>
      </c>
      <c r="B46" s="757" t="s">
        <v>1151</v>
      </c>
      <c r="C46" s="337" t="s">
        <v>1152</v>
      </c>
      <c r="D46" s="425" t="s">
        <v>1153</v>
      </c>
      <c r="E46" s="425" t="s">
        <v>1134</v>
      </c>
      <c r="F46" s="726">
        <v>2316286.3300000001</v>
      </c>
      <c r="G46" s="726">
        <v>9118069.0700000003</v>
      </c>
      <c r="H46" s="726">
        <v>5529583.0700000003</v>
      </c>
      <c r="I46" s="726">
        <v>14194083.41</v>
      </c>
      <c r="J46" s="726">
        <v>21680613.850000001</v>
      </c>
      <c r="K46" s="726">
        <v>52838635.730000004</v>
      </c>
      <c r="L46" s="726">
        <v>3785873.46</v>
      </c>
      <c r="M46" s="726">
        <v>4500242.5</v>
      </c>
      <c r="N46" s="726">
        <v>4039724.2200000002</v>
      </c>
    </row>
    <row r="47" spans="1:14" s="337" customFormat="1" ht="12.75">
      <c r="A47" s="425">
        <f t="shared" si="0"/>
        <v>36</v>
      </c>
      <c r="B47" s="757" t="s">
        <v>1154</v>
      </c>
      <c r="C47" s="337" t="s">
        <v>1155</v>
      </c>
      <c r="D47" s="425" t="s">
        <v>1133</v>
      </c>
      <c r="E47" s="425" t="s">
        <v>1134</v>
      </c>
      <c r="F47" s="726">
        <v>0</v>
      </c>
      <c r="G47" s="726">
        <v>0</v>
      </c>
      <c r="H47" s="726">
        <v>0</v>
      </c>
      <c r="I47" s="726">
        <v>-840.04999999999995</v>
      </c>
      <c r="J47" s="726">
        <v>0</v>
      </c>
      <c r="K47" s="726">
        <v>-840.04999999999995</v>
      </c>
      <c r="L47" s="726">
        <v>-231.44</v>
      </c>
      <c r="M47" s="726">
        <v>-165.31999999999999</v>
      </c>
      <c r="N47" s="726">
        <v>-118.08</v>
      </c>
    </row>
    <row r="48" spans="1:14" s="337" customFormat="1" ht="12.75">
      <c r="A48" s="425">
        <f t="shared" si="0"/>
        <v>37</v>
      </c>
      <c r="B48" s="758" t="s">
        <v>1156</v>
      </c>
      <c r="C48" s="337" t="s">
        <v>1157</v>
      </c>
      <c r="D48" s="425" t="s">
        <v>1158</v>
      </c>
      <c r="E48" s="425" t="s">
        <v>1134</v>
      </c>
      <c r="F48" s="726">
        <v>115972650.92</v>
      </c>
      <c r="G48" s="726">
        <v>229446610.72999999</v>
      </c>
      <c r="H48" s="726">
        <v>284105823.85000002</v>
      </c>
      <c r="I48" s="726">
        <v>359379979.24000001</v>
      </c>
      <c r="J48" s="726">
        <v>376436900.27999997</v>
      </c>
      <c r="K48" s="726">
        <v>1365341965.02</v>
      </c>
      <c r="L48" s="726">
        <v>79196504.840000004</v>
      </c>
      <c r="M48" s="726">
        <v>87207810.060000002</v>
      </c>
      <c r="N48" s="726">
        <v>80664185.769999996</v>
      </c>
    </row>
    <row r="49" spans="1:14" s="337" customFormat="1" ht="12.75">
      <c r="A49" s="425">
        <f t="shared" si="0"/>
        <v>38</v>
      </c>
      <c r="B49" s="337" t="s">
        <v>1159</v>
      </c>
      <c r="C49" s="337" t="s">
        <v>1160</v>
      </c>
      <c r="D49" s="425" t="s">
        <v>1153</v>
      </c>
      <c r="E49" s="425" t="s">
        <v>1134</v>
      </c>
      <c r="F49" s="726">
        <v>144409116.77000001</v>
      </c>
      <c r="G49" s="726">
        <v>293418143.62</v>
      </c>
      <c r="H49" s="726">
        <v>398160189.67000002</v>
      </c>
      <c r="I49" s="726">
        <v>491897099.80000001</v>
      </c>
      <c r="J49" s="726">
        <v>484628681.93000001</v>
      </c>
      <c r="K49" s="726">
        <v>1812513231.79</v>
      </c>
      <c r="L49" s="726">
        <v>137791950.77000001</v>
      </c>
      <c r="M49" s="726">
        <v>148540708.28</v>
      </c>
      <c r="N49" s="726">
        <v>133757435.28</v>
      </c>
    </row>
    <row r="50" spans="1:14" s="337" customFormat="1" ht="12.75">
      <c r="A50" s="425">
        <f t="shared" si="0"/>
        <v>39</v>
      </c>
      <c r="B50" s="337" t="s">
        <v>1161</v>
      </c>
      <c r="C50" s="337" t="s">
        <v>1162</v>
      </c>
      <c r="D50" s="425" t="s">
        <v>1158</v>
      </c>
      <c r="E50" s="425" t="s">
        <v>1134</v>
      </c>
      <c r="F50" s="726">
        <v>1309533.8300000001</v>
      </c>
      <c r="G50" s="726">
        <v>1003507.45</v>
      </c>
      <c r="H50" s="726">
        <v>4784295.4400000004</v>
      </c>
      <c r="I50" s="726">
        <v>5356959.2300000004</v>
      </c>
      <c r="J50" s="726">
        <v>4806340.9299999997</v>
      </c>
      <c r="K50" s="726">
        <v>17260636.880000003</v>
      </c>
      <c r="L50" s="726">
        <v>1339204.1100000001</v>
      </c>
      <c r="M50" s="726">
        <v>1384245.1499999999</v>
      </c>
      <c r="N50" s="726">
        <v>1191492.8600000001</v>
      </c>
    </row>
    <row r="51" spans="1:14" s="337" customFormat="1" ht="12.75">
      <c r="A51" s="425">
        <f t="shared" si="0"/>
        <v>40</v>
      </c>
      <c r="B51" s="337" t="s">
        <v>1163</v>
      </c>
      <c r="C51" s="337" t="s">
        <v>1164</v>
      </c>
      <c r="D51" s="425" t="s">
        <v>1150</v>
      </c>
      <c r="E51" s="425" t="s">
        <v>1134</v>
      </c>
      <c r="F51" s="726">
        <v>10870072.720000001</v>
      </c>
      <c r="G51" s="726">
        <v>28358373.93</v>
      </c>
      <c r="H51" s="726">
        <v>34593995.079999998</v>
      </c>
      <c r="I51" s="726">
        <v>37309550.140000001</v>
      </c>
      <c r="J51" s="726">
        <v>39070605.920000002</v>
      </c>
      <c r="K51" s="726">
        <v>150202597.78999999</v>
      </c>
      <c r="L51" s="726">
        <v>12890577.4</v>
      </c>
      <c r="M51" s="726">
        <v>13814264.310000001</v>
      </c>
      <c r="N51" s="726">
        <v>12356199.93</v>
      </c>
    </row>
    <row r="52" spans="1:14" s="337" customFormat="1" ht="12.75">
      <c r="A52" s="425">
        <f t="shared" si="0"/>
        <v>41</v>
      </c>
      <c r="B52" s="337" t="s">
        <v>1165</v>
      </c>
      <c r="C52" s="337" t="s">
        <v>1166</v>
      </c>
      <c r="D52" s="425" t="s">
        <v>1133</v>
      </c>
      <c r="E52" s="425" t="s">
        <v>1134</v>
      </c>
      <c r="F52" s="726">
        <v>4946978.0499999998</v>
      </c>
      <c r="G52" s="726">
        <v>8525619.7100000009</v>
      </c>
      <c r="H52" s="726">
        <v>10953854.66</v>
      </c>
      <c r="I52" s="726">
        <v>11522975.949999999</v>
      </c>
      <c r="J52" s="726">
        <v>11155413.060000001</v>
      </c>
      <c r="K52" s="726">
        <v>47104841.430000007</v>
      </c>
      <c r="L52" s="726">
        <v>2910406.3500000001</v>
      </c>
      <c r="M52" s="726">
        <v>3080541.3199999998</v>
      </c>
      <c r="N52" s="726">
        <v>2874448.6099999999</v>
      </c>
    </row>
    <row r="53" spans="1:14" s="337" customFormat="1" ht="12.75">
      <c r="A53" s="425">
        <f t="shared" si="0"/>
        <v>42</v>
      </c>
      <c r="B53" s="757" t="s">
        <v>1167</v>
      </c>
      <c r="C53" s="337" t="s">
        <v>1168</v>
      </c>
      <c r="D53" s="425" t="s">
        <v>1137</v>
      </c>
      <c r="E53" s="425" t="s">
        <v>1134</v>
      </c>
      <c r="F53" s="726">
        <v>1847372.1100000001</v>
      </c>
      <c r="G53" s="726">
        <v>2908871.96</v>
      </c>
      <c r="H53" s="726">
        <v>2261888.8900000001</v>
      </c>
      <c r="I53" s="726">
        <v>6483510.1799999997</v>
      </c>
      <c r="J53" s="726">
        <v>4337189.8600000003</v>
      </c>
      <c r="K53" s="726">
        <v>17838833</v>
      </c>
      <c r="L53" s="726">
        <v>4179580.7999999998</v>
      </c>
      <c r="M53" s="726">
        <v>3562371.4399999999</v>
      </c>
      <c r="N53" s="726">
        <v>2110419.0499999998</v>
      </c>
    </row>
    <row r="54" spans="1:14" s="337" customFormat="1" ht="12.75">
      <c r="A54" s="425">
        <f t="shared" si="0"/>
        <v>43</v>
      </c>
      <c r="B54" s="337" t="s">
        <v>1169</v>
      </c>
      <c r="C54" s="337" t="s">
        <v>1170</v>
      </c>
      <c r="D54" s="425" t="s">
        <v>1171</v>
      </c>
      <c r="E54" s="425" t="s">
        <v>1172</v>
      </c>
      <c r="F54" s="726">
        <v>7381295.8700000001</v>
      </c>
      <c r="G54" s="726">
        <v>0</v>
      </c>
      <c r="H54" s="726">
        <v>0</v>
      </c>
      <c r="I54" s="726">
        <v>0</v>
      </c>
      <c r="J54" s="726">
        <v>0</v>
      </c>
      <c r="K54" s="726">
        <v>7381295.8700000001</v>
      </c>
      <c r="L54" s="726">
        <v>492037.17999999999</v>
      </c>
      <c r="M54" s="726">
        <v>492111</v>
      </c>
      <c r="N54" s="726">
        <v>492111</v>
      </c>
    </row>
    <row r="55" spans="1:14" s="337" customFormat="1" ht="12.75">
      <c r="A55" s="425">
        <f t="shared" si="0"/>
        <v>44</v>
      </c>
      <c r="B55" s="337" t="s">
        <v>1173</v>
      </c>
      <c r="C55" s="337" t="s">
        <v>1174</v>
      </c>
      <c r="D55" s="425" t="s">
        <v>1175</v>
      </c>
      <c r="E55" s="425" t="s">
        <v>1172</v>
      </c>
      <c r="F55" s="726">
        <v>19857</v>
      </c>
      <c r="G55" s="726">
        <v>4631.3299999999999</v>
      </c>
      <c r="H55" s="726">
        <v>0</v>
      </c>
      <c r="I55" s="726">
        <v>11924549.25</v>
      </c>
      <c r="J55" s="726">
        <v>71126.699999999997</v>
      </c>
      <c r="K55" s="726">
        <v>12020164.279999999</v>
      </c>
      <c r="L55" s="726">
        <v>307737.29999999999</v>
      </c>
      <c r="M55" s="726">
        <v>308197.04999999999</v>
      </c>
      <c r="N55" s="726">
        <v>308197.20000000001</v>
      </c>
    </row>
    <row r="56" spans="1:14" s="337" customFormat="1" ht="12.75">
      <c r="A56" s="425">
        <f t="shared" si="0"/>
        <v>45</v>
      </c>
      <c r="B56" s="337" t="s">
        <v>1176</v>
      </c>
      <c r="C56" s="337" t="s">
        <v>1177</v>
      </c>
      <c r="D56" s="425" t="s">
        <v>1178</v>
      </c>
      <c r="E56" s="425" t="s">
        <v>1134</v>
      </c>
      <c r="F56" s="726">
        <v>571241.01000000001</v>
      </c>
      <c r="G56" s="726">
        <v>961557.12</v>
      </c>
      <c r="H56" s="726">
        <v>2845827.1000000001</v>
      </c>
      <c r="I56" s="726">
        <v>-51122.129999999997</v>
      </c>
      <c r="J56" s="726">
        <v>3865287.1899999999</v>
      </c>
      <c r="K56" s="726">
        <v>8192790.290000001</v>
      </c>
      <c r="L56" s="726">
        <v>160697.85999999999</v>
      </c>
      <c r="M56" s="726">
        <v>215317.70000000001</v>
      </c>
      <c r="N56" s="726">
        <v>211220.64000000001</v>
      </c>
    </row>
    <row r="57" spans="1:14" s="337" customFormat="1" ht="12.75">
      <c r="A57" s="425">
        <f t="shared" si="0"/>
        <v>46</v>
      </c>
      <c r="B57" s="337" t="s">
        <v>1179</v>
      </c>
      <c r="C57" s="337" t="s">
        <v>1180</v>
      </c>
      <c r="D57" s="425" t="s">
        <v>1181</v>
      </c>
      <c r="E57" s="425" t="s">
        <v>1134</v>
      </c>
      <c r="F57" s="726">
        <v>4952989.0099999998</v>
      </c>
      <c r="G57" s="726">
        <v>1757050.71</v>
      </c>
      <c r="H57" s="726">
        <v>8152806.25</v>
      </c>
      <c r="I57" s="726">
        <v>21699233.77</v>
      </c>
      <c r="J57" s="726">
        <v>7193545.8700000001</v>
      </c>
      <c r="K57" s="726">
        <v>43755625.609999992</v>
      </c>
      <c r="L57" s="726">
        <v>3349837.7999999998</v>
      </c>
      <c r="M57" s="726">
        <v>3385672.7400000002</v>
      </c>
      <c r="N57" s="726">
        <v>3053492.1299999999</v>
      </c>
    </row>
    <row r="58" spans="1:14" s="337" customFormat="1" ht="12.75">
      <c r="A58" s="425">
        <f t="shared" si="0"/>
        <v>47</v>
      </c>
      <c r="B58" s="337" t="s">
        <v>1182</v>
      </c>
      <c r="C58" s="337" t="s">
        <v>1183</v>
      </c>
      <c r="D58" s="425" t="s">
        <v>1184</v>
      </c>
      <c r="E58" s="425"/>
      <c r="F58" s="726">
        <v>3724117.5499999998</v>
      </c>
      <c r="G58" s="726">
        <v>13252847.01</v>
      </c>
      <c r="H58" s="726">
        <v>1412857.8799999999</v>
      </c>
      <c r="I58" s="726">
        <v>7160563.0999999996</v>
      </c>
      <c r="J58" s="726">
        <v>15658753.94</v>
      </c>
      <c r="K58" s="726">
        <v>41209139.479999997</v>
      </c>
      <c r="L58" s="726">
        <v>0</v>
      </c>
      <c r="M58" s="726">
        <v>0</v>
      </c>
      <c r="N58" s="726">
        <v>0</v>
      </c>
    </row>
    <row r="59" spans="1:14" s="337" customFormat="1" ht="12.75">
      <c r="A59" s="425">
        <f t="shared" si="0"/>
        <v>48</v>
      </c>
      <c r="B59" s="337" t="s">
        <v>1185</v>
      </c>
      <c r="C59" s="337" t="s">
        <v>1186</v>
      </c>
      <c r="D59" s="425" t="s">
        <v>1175</v>
      </c>
      <c r="E59" s="425" t="s">
        <v>1172</v>
      </c>
      <c r="F59" s="726">
        <v>10054724.109999999</v>
      </c>
      <c r="G59" s="726">
        <v>14475434.380000001</v>
      </c>
      <c r="H59" s="726">
        <v>13486036.65</v>
      </c>
      <c r="I59" s="726">
        <v>18586858.34</v>
      </c>
      <c r="J59" s="726">
        <v>25649594.390000001</v>
      </c>
      <c r="K59" s="726">
        <v>82252647.870000005</v>
      </c>
      <c r="L59" s="726">
        <v>1670543.3500000001</v>
      </c>
      <c r="M59" s="726">
        <v>2107172.2400000002</v>
      </c>
      <c r="N59" s="726">
        <v>2107206.3300000001</v>
      </c>
    </row>
    <row r="60" spans="1:15" s="337" customFormat="1" ht="12.75">
      <c r="A60" s="425">
        <f t="shared" si="0"/>
        <v>49</v>
      </c>
      <c r="B60" s="759" t="s">
        <v>1187</v>
      </c>
      <c r="D60" s="425"/>
      <c r="E60" s="425"/>
      <c r="F60" s="760">
        <f>SUM(F38:F59)</f>
        <v>316473914.75000006</v>
      </c>
      <c r="G60" s="760">
        <f t="shared" si="3" ref="G60:N60">SUM(G38:G59)</f>
        <v>608784658.99000013</v>
      </c>
      <c r="H60" s="760">
        <f t="shared" si="3"/>
        <v>773752662.29000008</v>
      </c>
      <c r="I60" s="760">
        <f t="shared" si="3"/>
        <v>1020834059.39</v>
      </c>
      <c r="J60" s="760">
        <f t="shared" si="3"/>
        <v>1004482116.24</v>
      </c>
      <c r="K60" s="760">
        <f t="shared" si="3"/>
        <v>3724327411.6599998</v>
      </c>
      <c r="L60" s="760">
        <f t="shared" si="3"/>
        <v>265593981.50000009</v>
      </c>
      <c r="M60" s="760">
        <f t="shared" si="3"/>
        <v>281799156.67000002</v>
      </c>
      <c r="N60" s="760">
        <f t="shared" si="3"/>
        <v>251048992.16000003</v>
      </c>
      <c r="O60" s="760">
        <v>281404062.79000002</v>
      </c>
    </row>
    <row r="61" spans="1:5" s="337" customFormat="1" ht="12.75">
      <c r="A61" s="425">
        <f t="shared" si="0"/>
        <v>50</v>
      </c>
      <c r="D61" s="425"/>
      <c r="E61" s="425"/>
    </row>
    <row r="62" spans="1:15" s="337" customFormat="1" ht="12.75">
      <c r="A62" s="425">
        <f t="shared" si="0"/>
        <v>51</v>
      </c>
      <c r="B62" s="646" t="s">
        <v>639</v>
      </c>
      <c r="C62" s="645"/>
      <c r="D62" s="645"/>
      <c r="E62" s="647">
        <f>+'[5]II-F Alloc_Factor'!$F$41</f>
        <v>0.92440611245451165</v>
      </c>
      <c r="F62" s="414"/>
      <c r="G62" s="414"/>
      <c r="H62" s="414"/>
      <c r="I62" s="414"/>
      <c r="J62" s="414"/>
      <c r="K62" s="414"/>
      <c r="L62" s="414"/>
      <c r="M62" s="414"/>
      <c r="N62" s="414"/>
      <c r="O62" s="414"/>
    </row>
    <row r="63" spans="1:14" s="337" customFormat="1" ht="12.75">
      <c r="A63" s="425">
        <f t="shared" si="0"/>
        <v>52</v>
      </c>
      <c r="B63" s="757" t="s">
        <v>1131</v>
      </c>
      <c r="C63" s="337" t="s">
        <v>1132</v>
      </c>
      <c r="D63" s="425" t="s">
        <v>1133</v>
      </c>
      <c r="E63" s="425" t="s">
        <v>1134</v>
      </c>
      <c r="F63" s="726">
        <v>0</v>
      </c>
      <c r="G63" s="726">
        <v>0</v>
      </c>
      <c r="H63" s="726">
        <v>2667820.7199999997</v>
      </c>
      <c r="I63" s="726">
        <v>21731.93</v>
      </c>
      <c r="J63" s="726">
        <v>0</v>
      </c>
      <c r="K63" s="726">
        <v>2689552.6499999999</v>
      </c>
      <c r="L63" s="726">
        <v>210970.60999999999</v>
      </c>
      <c r="M63" s="726">
        <v>90141.509999999995</v>
      </c>
      <c r="N63" s="726">
        <v>78590.720000000001</v>
      </c>
    </row>
    <row r="64" spans="1:14" s="337" customFormat="1" ht="12.75">
      <c r="A64" s="425">
        <f t="shared" si="0"/>
        <v>53</v>
      </c>
      <c r="B64" s="757" t="s">
        <v>1135</v>
      </c>
      <c r="C64" s="337" t="s">
        <v>1136</v>
      </c>
      <c r="D64" s="425" t="s">
        <v>1137</v>
      </c>
      <c r="E64" s="425" t="s">
        <v>1134</v>
      </c>
      <c r="F64" s="726">
        <v>0</v>
      </c>
      <c r="G64" s="726">
        <v>0</v>
      </c>
      <c r="H64" s="726">
        <v>6778.25</v>
      </c>
      <c r="I64" s="726">
        <v>0</v>
      </c>
      <c r="J64" s="726">
        <v>0</v>
      </c>
      <c r="K64" s="726">
        <v>6778.25</v>
      </c>
      <c r="L64" s="726">
        <v>420.45999999999998</v>
      </c>
      <c r="M64" s="726">
        <v>420.45999999999998</v>
      </c>
      <c r="N64" s="726">
        <v>420.45999999999998</v>
      </c>
    </row>
    <row r="65" spans="1:14" s="337" customFormat="1" ht="12.75">
      <c r="A65" s="425">
        <f t="shared" si="0"/>
        <v>54</v>
      </c>
      <c r="B65" s="757" t="s">
        <v>1138</v>
      </c>
      <c r="C65" s="337" t="s">
        <v>1139</v>
      </c>
      <c r="D65" s="425" t="s">
        <v>1137</v>
      </c>
      <c r="E65" s="425" t="s">
        <v>1134</v>
      </c>
      <c r="F65" s="726">
        <v>0</v>
      </c>
      <c r="G65" s="726">
        <v>0</v>
      </c>
      <c r="H65" s="726">
        <v>0</v>
      </c>
      <c r="I65" s="726">
        <v>0</v>
      </c>
      <c r="J65" s="726">
        <v>0</v>
      </c>
      <c r="K65" s="726">
        <v>0</v>
      </c>
      <c r="L65" s="726">
        <v>0</v>
      </c>
      <c r="M65" s="726">
        <v>0</v>
      </c>
      <c r="N65" s="726">
        <v>0</v>
      </c>
    </row>
    <row r="66" spans="1:14" s="337" customFormat="1" ht="12.75">
      <c r="A66" s="425">
        <f t="shared" si="0"/>
        <v>55</v>
      </c>
      <c r="B66" s="757" t="s">
        <v>1140</v>
      </c>
      <c r="C66" s="337" t="s">
        <v>1141</v>
      </c>
      <c r="D66" s="425" t="s">
        <v>1137</v>
      </c>
      <c r="E66" s="425" t="s">
        <v>1134</v>
      </c>
      <c r="F66" s="726">
        <v>0</v>
      </c>
      <c r="G66" s="726">
        <v>0</v>
      </c>
      <c r="H66" s="726">
        <v>0</v>
      </c>
      <c r="I66" s="726">
        <v>51294.230000000003</v>
      </c>
      <c r="J66" s="726">
        <v>0</v>
      </c>
      <c r="K66" s="726">
        <v>51294.230000000003</v>
      </c>
      <c r="L66" s="726">
        <v>13336.5</v>
      </c>
      <c r="M66" s="726">
        <v>8001.8999999999996</v>
      </c>
      <c r="N66" s="726">
        <v>5647.4899999999998</v>
      </c>
    </row>
    <row r="67" spans="1:14" s="337" customFormat="1" ht="12.75">
      <c r="A67" s="425">
        <f t="shared" si="0"/>
        <v>56</v>
      </c>
      <c r="B67" s="757" t="s">
        <v>1142</v>
      </c>
      <c r="C67" s="337" t="s">
        <v>1143</v>
      </c>
      <c r="D67" s="425" t="s">
        <v>1137</v>
      </c>
      <c r="E67" s="425" t="s">
        <v>1134</v>
      </c>
      <c r="F67" s="726">
        <v>0</v>
      </c>
      <c r="G67" s="726">
        <v>0</v>
      </c>
      <c r="H67" s="726">
        <v>900082.18999999994</v>
      </c>
      <c r="I67" s="726">
        <v>0</v>
      </c>
      <c r="J67" s="726">
        <v>0</v>
      </c>
      <c r="K67" s="726">
        <v>900082.18999999994</v>
      </c>
      <c r="L67" s="726">
        <v>49234.970000000001</v>
      </c>
      <c r="M67" s="726">
        <v>47753.410000000003</v>
      </c>
      <c r="N67" s="726">
        <v>47753.410000000003</v>
      </c>
    </row>
    <row r="68" spans="1:14" s="337" customFormat="1" ht="12.75">
      <c r="A68" s="425">
        <f t="shared" si="0"/>
        <v>57</v>
      </c>
      <c r="B68" s="757" t="s">
        <v>1144</v>
      </c>
      <c r="C68" s="337" t="s">
        <v>1145</v>
      </c>
      <c r="D68" s="425" t="s">
        <v>1137</v>
      </c>
      <c r="E68" s="425" t="s">
        <v>1134</v>
      </c>
      <c r="F68" s="726">
        <v>0</v>
      </c>
      <c r="G68" s="726">
        <v>0</v>
      </c>
      <c r="H68" s="726">
        <v>0</v>
      </c>
      <c r="I68" s="726">
        <v>0</v>
      </c>
      <c r="J68" s="726">
        <v>0</v>
      </c>
      <c r="K68" s="726">
        <v>0</v>
      </c>
      <c r="L68" s="726">
        <v>0</v>
      </c>
      <c r="M68" s="726">
        <v>0</v>
      </c>
      <c r="N68" s="726">
        <v>0</v>
      </c>
    </row>
    <row r="69" spans="1:14" s="337" customFormat="1" ht="12.75">
      <c r="A69" s="425">
        <f t="shared" si="0"/>
        <v>58</v>
      </c>
      <c r="B69" s="757" t="s">
        <v>1146</v>
      </c>
      <c r="C69" s="337" t="s">
        <v>1147</v>
      </c>
      <c r="D69" s="425" t="s">
        <v>1137</v>
      </c>
      <c r="E69" s="425" t="s">
        <v>1134</v>
      </c>
      <c r="F69" s="726">
        <v>0</v>
      </c>
      <c r="G69" s="726">
        <v>0</v>
      </c>
      <c r="H69" s="726">
        <v>0</v>
      </c>
      <c r="I69" s="726">
        <v>48909.370000000003</v>
      </c>
      <c r="J69" s="726">
        <v>0</v>
      </c>
      <c r="K69" s="726">
        <v>48909.370000000003</v>
      </c>
      <c r="L69" s="726">
        <v>18585.549999999999</v>
      </c>
      <c r="M69" s="726">
        <v>11151.33</v>
      </c>
      <c r="N69" s="726">
        <v>6690.8100000000004</v>
      </c>
    </row>
    <row r="70" spans="1:14" s="337" customFormat="1" ht="12.75">
      <c r="A70" s="425">
        <f t="shared" si="0"/>
        <v>59</v>
      </c>
      <c r="B70" s="757" t="s">
        <v>1148</v>
      </c>
      <c r="C70" s="337" t="s">
        <v>1149</v>
      </c>
      <c r="D70" s="425" t="s">
        <v>1150</v>
      </c>
      <c r="E70" s="425" t="s">
        <v>1134</v>
      </c>
      <c r="F70" s="726">
        <v>0</v>
      </c>
      <c r="G70" s="726">
        <v>0</v>
      </c>
      <c r="H70" s="726">
        <v>0</v>
      </c>
      <c r="I70" s="726">
        <v>0</v>
      </c>
      <c r="J70" s="726">
        <v>0</v>
      </c>
      <c r="K70" s="726">
        <v>0</v>
      </c>
      <c r="L70" s="726">
        <v>0</v>
      </c>
      <c r="M70" s="726">
        <v>0</v>
      </c>
      <c r="N70" s="726">
        <v>0</v>
      </c>
    </row>
    <row r="71" spans="1:14" s="337" customFormat="1" ht="12.75">
      <c r="A71" s="425">
        <f t="shared" si="0"/>
        <v>60</v>
      </c>
      <c r="B71" s="757" t="s">
        <v>1151</v>
      </c>
      <c r="C71" s="337" t="s">
        <v>1152</v>
      </c>
      <c r="D71" s="425" t="s">
        <v>1153</v>
      </c>
      <c r="E71" s="425" t="s">
        <v>1134</v>
      </c>
      <c r="F71" s="726">
        <v>0</v>
      </c>
      <c r="G71" s="726">
        <v>0</v>
      </c>
      <c r="H71" s="726">
        <v>8372404.8600000003</v>
      </c>
      <c r="I71" s="726">
        <v>0</v>
      </c>
      <c r="J71" s="726">
        <v>0</v>
      </c>
      <c r="K71" s="726">
        <v>8372404.8600000003</v>
      </c>
      <c r="L71" s="726">
        <v>545909.19999999995</v>
      </c>
      <c r="M71" s="726">
        <v>515411.21999999997</v>
      </c>
      <c r="N71" s="726">
        <v>494631.28000000003</v>
      </c>
    </row>
    <row r="72" spans="1:14" s="337" customFormat="1" ht="12.75">
      <c r="A72" s="425">
        <f t="shared" si="0"/>
        <v>61</v>
      </c>
      <c r="B72" s="757" t="s">
        <v>1154</v>
      </c>
      <c r="C72" s="337" t="s">
        <v>1155</v>
      </c>
      <c r="D72" s="425" t="s">
        <v>1133</v>
      </c>
      <c r="E72" s="425" t="s">
        <v>1134</v>
      </c>
      <c r="F72" s="726">
        <v>0</v>
      </c>
      <c r="G72" s="726">
        <v>0</v>
      </c>
      <c r="H72" s="726">
        <v>0</v>
      </c>
      <c r="I72" s="726">
        <v>0</v>
      </c>
      <c r="J72" s="726">
        <v>0</v>
      </c>
      <c r="K72" s="726">
        <v>0</v>
      </c>
      <c r="L72" s="726">
        <v>0</v>
      </c>
      <c r="M72" s="726">
        <v>0</v>
      </c>
      <c r="N72" s="726">
        <v>0</v>
      </c>
    </row>
    <row r="73" spans="1:14" s="337" customFormat="1" ht="12.75">
      <c r="A73" s="425">
        <f t="shared" si="0"/>
        <v>62</v>
      </c>
      <c r="B73" s="758" t="s">
        <v>1156</v>
      </c>
      <c r="C73" s="337" t="s">
        <v>1157</v>
      </c>
      <c r="D73" s="425" t="s">
        <v>1158</v>
      </c>
      <c r="E73" s="425" t="s">
        <v>1134</v>
      </c>
      <c r="F73" s="726">
        <v>0</v>
      </c>
      <c r="G73" s="726">
        <v>0</v>
      </c>
      <c r="H73" s="726">
        <v>64052880.539999999</v>
      </c>
      <c r="I73" s="726">
        <v>-619785.71999999997</v>
      </c>
      <c r="J73" s="726">
        <v>69680.610000000001</v>
      </c>
      <c r="K73" s="726">
        <v>63502775.43</v>
      </c>
      <c r="L73" s="726">
        <v>2840115.1000000001</v>
      </c>
      <c r="M73" s="726">
        <v>2696446.3599999999</v>
      </c>
      <c r="N73" s="726">
        <v>2755613.0800000001</v>
      </c>
    </row>
    <row r="74" spans="1:14" s="337" customFormat="1" ht="12.75">
      <c r="A74" s="425">
        <f t="shared" si="0"/>
        <v>63</v>
      </c>
      <c r="B74" s="337" t="s">
        <v>1159</v>
      </c>
      <c r="C74" s="337" t="s">
        <v>1160</v>
      </c>
      <c r="D74" s="425" t="s">
        <v>1153</v>
      </c>
      <c r="E74" s="425" t="s">
        <v>1134</v>
      </c>
      <c r="F74" s="726">
        <v>0</v>
      </c>
      <c r="G74" s="726">
        <v>0</v>
      </c>
      <c r="H74" s="726">
        <v>1055353797.46</v>
      </c>
      <c r="I74" s="726">
        <v>4491008.7999999998</v>
      </c>
      <c r="J74" s="726">
        <v>-910700.14000000001</v>
      </c>
      <c r="K74" s="726">
        <v>1058934106.12</v>
      </c>
      <c r="L74" s="726">
        <v>69350530.900000006</v>
      </c>
      <c r="M74" s="726">
        <v>66307570.729999997</v>
      </c>
      <c r="N74" s="726">
        <v>64018017.509999998</v>
      </c>
    </row>
    <row r="75" spans="1:14" s="337" customFormat="1" ht="12.75">
      <c r="A75" s="425">
        <f t="shared" si="0"/>
        <v>64</v>
      </c>
      <c r="B75" s="337" t="s">
        <v>1161</v>
      </c>
      <c r="C75" s="337" t="s">
        <v>1162</v>
      </c>
      <c r="D75" s="425" t="s">
        <v>1158</v>
      </c>
      <c r="E75" s="425" t="s">
        <v>1134</v>
      </c>
      <c r="F75" s="726">
        <v>0</v>
      </c>
      <c r="G75" s="726">
        <v>0</v>
      </c>
      <c r="H75" s="726">
        <v>0</v>
      </c>
      <c r="I75" s="726">
        <v>0</v>
      </c>
      <c r="J75" s="726">
        <v>0</v>
      </c>
      <c r="K75" s="726">
        <v>0</v>
      </c>
      <c r="L75" s="726">
        <v>0</v>
      </c>
      <c r="M75" s="726">
        <v>0</v>
      </c>
      <c r="N75" s="726">
        <v>0</v>
      </c>
    </row>
    <row r="76" spans="1:14" s="337" customFormat="1" ht="12.75">
      <c r="A76" s="425">
        <f t="shared" si="0"/>
        <v>65</v>
      </c>
      <c r="B76" s="337" t="s">
        <v>1163</v>
      </c>
      <c r="C76" s="337" t="s">
        <v>1164</v>
      </c>
      <c r="D76" s="425" t="s">
        <v>1150</v>
      </c>
      <c r="E76" s="425" t="s">
        <v>1134</v>
      </c>
      <c r="F76" s="726">
        <v>0</v>
      </c>
      <c r="G76" s="726">
        <v>0</v>
      </c>
      <c r="H76" s="726">
        <v>15528.040000000001</v>
      </c>
      <c r="I76" s="726">
        <v>0</v>
      </c>
      <c r="J76" s="726">
        <v>0</v>
      </c>
      <c r="K76" s="726">
        <v>15528.040000000001</v>
      </c>
      <c r="L76" s="726">
        <v>1831.3800000000001</v>
      </c>
      <c r="M76" s="726">
        <v>1556.53</v>
      </c>
      <c r="N76" s="726">
        <v>1357.1500000000001</v>
      </c>
    </row>
    <row r="77" spans="1:14" s="337" customFormat="1" ht="12.75">
      <c r="A77" s="425">
        <f t="shared" si="0"/>
        <v>66</v>
      </c>
      <c r="B77" s="337" t="s">
        <v>1165</v>
      </c>
      <c r="C77" s="337" t="s">
        <v>1166</v>
      </c>
      <c r="D77" s="425" t="s">
        <v>1133</v>
      </c>
      <c r="E77" s="425" t="s">
        <v>1134</v>
      </c>
      <c r="F77" s="726">
        <v>0</v>
      </c>
      <c r="G77" s="726">
        <v>0</v>
      </c>
      <c r="H77" s="726">
        <v>6703.9300000000003</v>
      </c>
      <c r="I77" s="726">
        <v>0</v>
      </c>
      <c r="J77" s="726">
        <v>0</v>
      </c>
      <c r="K77" s="726">
        <v>6703.9300000000003</v>
      </c>
      <c r="L77" s="726">
        <v>837.65999999999997</v>
      </c>
      <c r="M77" s="726">
        <v>598.32000000000005</v>
      </c>
      <c r="N77" s="726">
        <v>598.32000000000005</v>
      </c>
    </row>
    <row r="78" spans="1:14" s="337" customFormat="1" ht="12.75">
      <c r="A78" s="425">
        <f t="shared" si="4" ref="A78:A141">+A77+1</f>
        <v>67</v>
      </c>
      <c r="B78" s="757" t="s">
        <v>1167</v>
      </c>
      <c r="C78" s="337" t="s">
        <v>1168</v>
      </c>
      <c r="D78" s="425" t="s">
        <v>1137</v>
      </c>
      <c r="E78" s="425" t="s">
        <v>1134</v>
      </c>
      <c r="F78" s="726">
        <v>0</v>
      </c>
      <c r="G78" s="726">
        <v>0</v>
      </c>
      <c r="H78" s="726">
        <v>231215.73999999999</v>
      </c>
      <c r="I78" s="726">
        <v>0</v>
      </c>
      <c r="J78" s="726">
        <v>0</v>
      </c>
      <c r="K78" s="726">
        <v>231215.73999999999</v>
      </c>
      <c r="L78" s="726">
        <v>12477.190000000001</v>
      </c>
      <c r="M78" s="726">
        <v>11991.889999999999</v>
      </c>
      <c r="N78" s="726">
        <v>11899.200000000001</v>
      </c>
    </row>
    <row r="79" spans="1:14" s="337" customFormat="1" ht="12.75">
      <c r="A79" s="425">
        <f t="shared" si="4"/>
        <v>68</v>
      </c>
      <c r="B79" s="337" t="s">
        <v>1169</v>
      </c>
      <c r="C79" s="337" t="s">
        <v>1170</v>
      </c>
      <c r="D79" s="425" t="s">
        <v>1171</v>
      </c>
      <c r="E79" s="425" t="s">
        <v>1172</v>
      </c>
      <c r="F79" s="726">
        <v>0</v>
      </c>
      <c r="G79" s="726">
        <v>0</v>
      </c>
      <c r="H79" s="726">
        <v>0</v>
      </c>
      <c r="I79" s="726">
        <v>0</v>
      </c>
      <c r="J79" s="726">
        <v>0</v>
      </c>
      <c r="K79" s="726">
        <v>0</v>
      </c>
      <c r="L79" s="726">
        <v>0</v>
      </c>
      <c r="M79" s="726">
        <v>0</v>
      </c>
      <c r="N79" s="726">
        <v>0</v>
      </c>
    </row>
    <row r="80" spans="1:14" s="337" customFormat="1" ht="12.75">
      <c r="A80" s="425">
        <f t="shared" si="4"/>
        <v>69</v>
      </c>
      <c r="B80" s="337" t="s">
        <v>1173</v>
      </c>
      <c r="C80" s="337" t="s">
        <v>1174</v>
      </c>
      <c r="D80" s="425" t="s">
        <v>1175</v>
      </c>
      <c r="E80" s="425" t="s">
        <v>1172</v>
      </c>
      <c r="F80" s="726">
        <v>0</v>
      </c>
      <c r="G80" s="726">
        <v>0</v>
      </c>
      <c r="H80" s="726">
        <v>0</v>
      </c>
      <c r="I80" s="726">
        <v>0</v>
      </c>
      <c r="J80" s="726">
        <v>0</v>
      </c>
      <c r="K80" s="726">
        <v>0</v>
      </c>
      <c r="L80" s="726">
        <v>0</v>
      </c>
      <c r="M80" s="726">
        <v>0</v>
      </c>
      <c r="N80" s="726">
        <v>0</v>
      </c>
    </row>
    <row r="81" spans="1:14" s="337" customFormat="1" ht="12.75">
      <c r="A81" s="425">
        <f t="shared" si="4"/>
        <v>70</v>
      </c>
      <c r="B81" s="337" t="s">
        <v>1176</v>
      </c>
      <c r="C81" s="337" t="s">
        <v>1177</v>
      </c>
      <c r="D81" s="425" t="s">
        <v>1178</v>
      </c>
      <c r="E81" s="425" t="s">
        <v>1134</v>
      </c>
      <c r="F81" s="726">
        <v>0</v>
      </c>
      <c r="G81" s="726">
        <v>0</v>
      </c>
      <c r="H81" s="726">
        <v>0</v>
      </c>
      <c r="I81" s="726">
        <v>0</v>
      </c>
      <c r="J81" s="726">
        <v>0</v>
      </c>
      <c r="K81" s="726">
        <v>0</v>
      </c>
      <c r="L81" s="726">
        <v>0</v>
      </c>
      <c r="M81" s="726">
        <v>0</v>
      </c>
      <c r="N81" s="726">
        <v>0</v>
      </c>
    </row>
    <row r="82" spans="1:14" s="337" customFormat="1" ht="12.75">
      <c r="A82" s="425">
        <f t="shared" si="4"/>
        <v>71</v>
      </c>
      <c r="B82" s="337" t="s">
        <v>1179</v>
      </c>
      <c r="C82" s="337" t="s">
        <v>1180</v>
      </c>
      <c r="D82" s="425" t="s">
        <v>1181</v>
      </c>
      <c r="E82" s="425" t="s">
        <v>1134</v>
      </c>
      <c r="F82" s="726">
        <v>0</v>
      </c>
      <c r="G82" s="726">
        <v>0</v>
      </c>
      <c r="H82" s="726">
        <v>92452042.290000007</v>
      </c>
      <c r="I82" s="726">
        <v>0</v>
      </c>
      <c r="J82" s="726">
        <v>5316458.5499999998</v>
      </c>
      <c r="K82" s="726">
        <v>97768500.840000004</v>
      </c>
      <c r="L82" s="726">
        <v>1417542.73</v>
      </c>
      <c r="M82" s="726">
        <v>1594999.98</v>
      </c>
      <c r="N82" s="726">
        <v>1564317.6699999999</v>
      </c>
    </row>
    <row r="83" spans="1:14" s="337" customFormat="1" ht="12.75">
      <c r="A83" s="425">
        <f t="shared" si="4"/>
        <v>72</v>
      </c>
      <c r="B83" s="337" t="s">
        <v>1182</v>
      </c>
      <c r="C83" s="337" t="s">
        <v>1183</v>
      </c>
      <c r="D83" s="425" t="s">
        <v>1184</v>
      </c>
      <c r="E83" s="425"/>
      <c r="F83" s="726">
        <v>0</v>
      </c>
      <c r="G83" s="726">
        <v>0</v>
      </c>
      <c r="H83" s="726">
        <v>47646111.600000001</v>
      </c>
      <c r="I83" s="726">
        <v>0</v>
      </c>
      <c r="J83" s="726">
        <v>-5316458.5499999998</v>
      </c>
      <c r="K83" s="726">
        <v>42329653.050000004</v>
      </c>
      <c r="L83" s="726">
        <v>0</v>
      </c>
      <c r="M83" s="726">
        <v>0</v>
      </c>
      <c r="N83" s="726">
        <v>0</v>
      </c>
    </row>
    <row r="84" spans="1:14" s="337" customFormat="1" ht="12.75">
      <c r="A84" s="425">
        <f t="shared" si="4"/>
        <v>73</v>
      </c>
      <c r="B84" s="337" t="s">
        <v>1185</v>
      </c>
      <c r="C84" s="337" t="s">
        <v>1186</v>
      </c>
      <c r="D84" s="425" t="s">
        <v>1175</v>
      </c>
      <c r="E84" s="425" t="s">
        <v>1172</v>
      </c>
      <c r="F84" s="726">
        <v>0</v>
      </c>
      <c r="G84" s="726">
        <v>0</v>
      </c>
      <c r="H84" s="726">
        <v>122941017.29000001</v>
      </c>
      <c r="I84" s="726">
        <v>1059405.28</v>
      </c>
      <c r="J84" s="726">
        <v>-198747.31</v>
      </c>
      <c r="K84" s="726">
        <v>123801675.26000001</v>
      </c>
      <c r="L84" s="726">
        <v>3075900.6499999999</v>
      </c>
      <c r="M84" s="726">
        <v>3025394.29</v>
      </c>
      <c r="N84" s="726">
        <v>3010524.4399999999</v>
      </c>
    </row>
    <row r="85" spans="1:15" s="337" customFormat="1" ht="12.75">
      <c r="A85" s="425">
        <f t="shared" si="4"/>
        <v>74</v>
      </c>
      <c r="B85" s="759" t="s">
        <v>1188</v>
      </c>
      <c r="D85" s="425"/>
      <c r="E85" s="425"/>
      <c r="F85" s="760">
        <f>SUM(F63:F84)</f>
        <v>0</v>
      </c>
      <c r="G85" s="760">
        <f t="shared" si="5" ref="G85">SUM(G63:G84)</f>
        <v>0</v>
      </c>
      <c r="H85" s="760">
        <f t="shared" si="6" ref="H85">SUM(H63:H84)</f>
        <v>1394646382.9099999</v>
      </c>
      <c r="I85" s="760">
        <f t="shared" si="7" ref="I85">SUM(I63:I84)</f>
        <v>5052563.8899999997</v>
      </c>
      <c r="J85" s="760">
        <f t="shared" si="8" ref="J85">SUM(J63:J84)</f>
        <v>-1039766.8400000003</v>
      </c>
      <c r="K85" s="760">
        <f t="shared" si="9" ref="K85">SUM(K63:K84)</f>
        <v>1398659179.9599998</v>
      </c>
      <c r="L85" s="760">
        <f t="shared" si="10" ref="L85">SUM(L63:L84)</f>
        <v>77537692.900000006</v>
      </c>
      <c r="M85" s="760">
        <f t="shared" si="11" ref="M85">SUM(M63:M84)</f>
        <v>74311437.930000007</v>
      </c>
      <c r="N85" s="760">
        <f t="shared" si="12" ref="N85">SUM(N63:N84)</f>
        <v>71996061.539999992</v>
      </c>
      <c r="O85" s="760">
        <v>129296278.53</v>
      </c>
    </row>
    <row r="86" spans="1:5" s="337" customFormat="1" ht="12.75">
      <c r="A86" s="425">
        <f t="shared" si="4"/>
        <v>75</v>
      </c>
      <c r="D86" s="425"/>
      <c r="E86" s="425"/>
    </row>
    <row r="87" spans="1:15" s="337" customFormat="1" ht="12.75">
      <c r="A87" s="425">
        <f t="shared" si="4"/>
        <v>76</v>
      </c>
      <c r="B87" s="646" t="s">
        <v>802</v>
      </c>
      <c r="C87" s="645"/>
      <c r="D87" s="645"/>
      <c r="E87" s="647">
        <f>+'[5]II-F Alloc_Factor'!$G$40</f>
        <v>0.00059225955215527976</v>
      </c>
      <c r="F87" s="414"/>
      <c r="G87" s="414"/>
      <c r="H87" s="414"/>
      <c r="I87" s="414"/>
      <c r="J87" s="414"/>
      <c r="K87" s="414"/>
      <c r="L87" s="414"/>
      <c r="M87" s="414"/>
      <c r="N87" s="414"/>
      <c r="O87" s="414"/>
    </row>
    <row r="88" spans="1:14" s="337" customFormat="1" ht="12.75">
      <c r="A88" s="425">
        <f t="shared" si="4"/>
        <v>77</v>
      </c>
      <c r="B88" s="757" t="s">
        <v>1131</v>
      </c>
      <c r="C88" s="337" t="s">
        <v>1132</v>
      </c>
      <c r="D88" s="425" t="s">
        <v>1133</v>
      </c>
      <c r="E88" s="425" t="s">
        <v>1134</v>
      </c>
      <c r="F88" s="726">
        <v>590.80999999999995</v>
      </c>
      <c r="G88" s="726">
        <v>744.28999999999996</v>
      </c>
      <c r="H88" s="726">
        <v>1551.8499999999999</v>
      </c>
      <c r="I88" s="726">
        <v>6699.1400000000003</v>
      </c>
      <c r="J88" s="726">
        <v>2945.5799999999999</v>
      </c>
      <c r="K88" s="726">
        <v>12531.67</v>
      </c>
      <c r="L88" s="726">
        <v>2663.1100000000001</v>
      </c>
      <c r="M88" s="726">
        <v>2332.02</v>
      </c>
      <c r="N88" s="726">
        <v>1699.3499999999999</v>
      </c>
    </row>
    <row r="89" spans="1:14" s="337" customFormat="1" ht="12.75">
      <c r="A89" s="425">
        <f t="shared" si="4"/>
        <v>78</v>
      </c>
      <c r="B89" s="757" t="s">
        <v>1135</v>
      </c>
      <c r="C89" s="337" t="s">
        <v>1136</v>
      </c>
      <c r="D89" s="425" t="s">
        <v>1137</v>
      </c>
      <c r="E89" s="425" t="s">
        <v>1134</v>
      </c>
      <c r="F89" s="726">
        <v>7279.0799999999999</v>
      </c>
      <c r="G89" s="726">
        <v>3349.7600000000002</v>
      </c>
      <c r="H89" s="726">
        <v>6279.1999999999998</v>
      </c>
      <c r="I89" s="726">
        <v>36553.730000000003</v>
      </c>
      <c r="J89" s="726">
        <v>8965.3799999999992</v>
      </c>
      <c r="K89" s="726">
        <v>62427.150000000001</v>
      </c>
      <c r="L89" s="726">
        <v>17954.349999999999</v>
      </c>
      <c r="M89" s="726">
        <v>13117.57</v>
      </c>
      <c r="N89" s="726">
        <v>7605.1700000000001</v>
      </c>
    </row>
    <row r="90" spans="1:14" s="337" customFormat="1" ht="12.75">
      <c r="A90" s="425">
        <f t="shared" si="4"/>
        <v>79</v>
      </c>
      <c r="B90" s="757" t="s">
        <v>1138</v>
      </c>
      <c r="C90" s="337" t="s">
        <v>1139</v>
      </c>
      <c r="D90" s="425" t="s">
        <v>1137</v>
      </c>
      <c r="E90" s="425" t="s">
        <v>1134</v>
      </c>
      <c r="F90" s="726">
        <v>0</v>
      </c>
      <c r="G90" s="726">
        <v>1550.3399999999999</v>
      </c>
      <c r="H90" s="726">
        <v>983.13999999999999</v>
      </c>
      <c r="I90" s="726">
        <v>0</v>
      </c>
      <c r="J90" s="726">
        <v>0</v>
      </c>
      <c r="K90" s="726">
        <v>2533.48</v>
      </c>
      <c r="L90" s="726">
        <v>367.36000000000001</v>
      </c>
      <c r="M90" s="726">
        <v>291.86000000000001</v>
      </c>
      <c r="N90" s="726">
        <v>202.56</v>
      </c>
    </row>
    <row r="91" spans="1:14" s="337" customFormat="1" ht="12.75">
      <c r="A91" s="425">
        <f t="shared" si="4"/>
        <v>80</v>
      </c>
      <c r="B91" s="757" t="s">
        <v>1140</v>
      </c>
      <c r="C91" s="337" t="s">
        <v>1141</v>
      </c>
      <c r="D91" s="425" t="s">
        <v>1137</v>
      </c>
      <c r="E91" s="425" t="s">
        <v>1134</v>
      </c>
      <c r="F91" s="726">
        <v>377.06999999999999</v>
      </c>
      <c r="G91" s="726">
        <v>194.72999999999999</v>
      </c>
      <c r="H91" s="726">
        <v>327.58999999999997</v>
      </c>
      <c r="I91" s="726">
        <v>1227.5999999999999</v>
      </c>
      <c r="J91" s="726">
        <v>593.95000000000005</v>
      </c>
      <c r="K91" s="726">
        <v>2720.9399999999996</v>
      </c>
      <c r="L91" s="726">
        <v>701.32000000000005</v>
      </c>
      <c r="M91" s="726">
        <v>556.76999999999998</v>
      </c>
      <c r="N91" s="726">
        <v>327.82999999999998</v>
      </c>
    </row>
    <row r="92" spans="1:14" s="337" customFormat="1" ht="12.75">
      <c r="A92" s="425">
        <f t="shared" si="4"/>
        <v>81</v>
      </c>
      <c r="B92" s="757" t="s">
        <v>1142</v>
      </c>
      <c r="C92" s="337" t="s">
        <v>1143</v>
      </c>
      <c r="D92" s="425" t="s">
        <v>1137</v>
      </c>
      <c r="E92" s="425" t="s">
        <v>1134</v>
      </c>
      <c r="F92" s="726">
        <v>1301.01</v>
      </c>
      <c r="G92" s="726">
        <v>183.66</v>
      </c>
      <c r="H92" s="726">
        <v>0</v>
      </c>
      <c r="I92" s="726">
        <v>0.70999999999999996</v>
      </c>
      <c r="J92" s="726">
        <v>0</v>
      </c>
      <c r="K92" s="726">
        <v>1485.3800000000001</v>
      </c>
      <c r="L92" s="726">
        <v>156.63999999999999</v>
      </c>
      <c r="M92" s="726">
        <v>136.22</v>
      </c>
      <c r="N92" s="726">
        <v>10.66</v>
      </c>
    </row>
    <row r="93" spans="1:14" s="337" customFormat="1" ht="12.75">
      <c r="A93" s="425">
        <f t="shared" si="4"/>
        <v>82</v>
      </c>
      <c r="B93" s="757" t="s">
        <v>1144</v>
      </c>
      <c r="C93" s="337" t="s">
        <v>1145</v>
      </c>
      <c r="D93" s="425" t="s">
        <v>1137</v>
      </c>
      <c r="E93" s="425" t="s">
        <v>1134</v>
      </c>
      <c r="F93" s="726">
        <v>401.66000000000002</v>
      </c>
      <c r="G93" s="726">
        <v>216.43000000000001</v>
      </c>
      <c r="H93" s="726">
        <v>0</v>
      </c>
      <c r="I93" s="726">
        <v>194.38999999999999</v>
      </c>
      <c r="J93" s="726">
        <v>53.439999999999998</v>
      </c>
      <c r="K93" s="726">
        <v>865.92000000000007</v>
      </c>
      <c r="L93" s="726">
        <v>141.38999999999999</v>
      </c>
      <c r="M93" s="726">
        <v>114.94</v>
      </c>
      <c r="N93" s="726">
        <v>45.560000000000002</v>
      </c>
    </row>
    <row r="94" spans="1:14" s="337" customFormat="1" ht="12.75">
      <c r="A94" s="425">
        <f t="shared" si="4"/>
        <v>83</v>
      </c>
      <c r="B94" s="757" t="s">
        <v>1146</v>
      </c>
      <c r="C94" s="337" t="s">
        <v>1147</v>
      </c>
      <c r="D94" s="425" t="s">
        <v>1137</v>
      </c>
      <c r="E94" s="425" t="s">
        <v>1134</v>
      </c>
      <c r="F94" s="726">
        <v>381.25</v>
      </c>
      <c r="G94" s="726">
        <v>846.41999999999996</v>
      </c>
      <c r="H94" s="726">
        <v>364.38999999999999</v>
      </c>
      <c r="I94" s="726">
        <v>437.82999999999998</v>
      </c>
      <c r="J94" s="726">
        <v>107.7</v>
      </c>
      <c r="K94" s="726">
        <v>2137.5899999999997</v>
      </c>
      <c r="L94" s="726">
        <v>360.42000000000002</v>
      </c>
      <c r="M94" s="726">
        <v>287.56999999999999</v>
      </c>
      <c r="N94" s="726">
        <v>162.81999999999999</v>
      </c>
    </row>
    <row r="95" spans="1:14" s="337" customFormat="1" ht="12.75">
      <c r="A95" s="425">
        <f t="shared" si="4"/>
        <v>84</v>
      </c>
      <c r="B95" s="757" t="s">
        <v>1148</v>
      </c>
      <c r="C95" s="337" t="s">
        <v>1149</v>
      </c>
      <c r="D95" s="425" t="s">
        <v>1150</v>
      </c>
      <c r="E95" s="425" t="s">
        <v>1134</v>
      </c>
      <c r="F95" s="726">
        <v>0</v>
      </c>
      <c r="G95" s="726">
        <v>0</v>
      </c>
      <c r="H95" s="726">
        <v>18.199999999999999</v>
      </c>
      <c r="I95" s="726">
        <v>11.859999999999999</v>
      </c>
      <c r="J95" s="726">
        <v>0</v>
      </c>
      <c r="K95" s="726">
        <v>30.059999999999999</v>
      </c>
      <c r="L95" s="726">
        <v>6.1799999999999997</v>
      </c>
      <c r="M95" s="726">
        <v>4.2300000000000004</v>
      </c>
      <c r="N95" s="726">
        <v>3.0299999999999998</v>
      </c>
    </row>
    <row r="96" spans="1:14" s="337" customFormat="1" ht="12.75">
      <c r="A96" s="425">
        <f t="shared" si="4"/>
        <v>85</v>
      </c>
      <c r="B96" s="757" t="s">
        <v>1151</v>
      </c>
      <c r="C96" s="337" t="s">
        <v>1152</v>
      </c>
      <c r="D96" s="425" t="s">
        <v>1153</v>
      </c>
      <c r="E96" s="425" t="s">
        <v>1134</v>
      </c>
      <c r="F96" s="726">
        <v>2955.0799999999999</v>
      </c>
      <c r="G96" s="726">
        <v>11632.67</v>
      </c>
      <c r="H96" s="726">
        <v>7054.54</v>
      </c>
      <c r="I96" s="726">
        <v>18108.560000000001</v>
      </c>
      <c r="J96" s="726">
        <v>27659.740000000002</v>
      </c>
      <c r="K96" s="726">
        <v>67410.590000000011</v>
      </c>
      <c r="L96" s="726">
        <v>4829.9499999999998</v>
      </c>
      <c r="M96" s="726">
        <v>5741.3299999999999</v>
      </c>
      <c r="N96" s="726">
        <v>5153.8100000000004</v>
      </c>
    </row>
    <row r="97" spans="1:14" s="337" customFormat="1" ht="12.75">
      <c r="A97" s="425">
        <f t="shared" si="4"/>
        <v>86</v>
      </c>
      <c r="B97" s="757" t="s">
        <v>1154</v>
      </c>
      <c r="C97" s="337" t="s">
        <v>1155</v>
      </c>
      <c r="D97" s="425" t="s">
        <v>1133</v>
      </c>
      <c r="E97" s="425" t="s">
        <v>1134</v>
      </c>
      <c r="F97" s="726">
        <v>0</v>
      </c>
      <c r="G97" s="726">
        <v>0</v>
      </c>
      <c r="H97" s="726">
        <v>0</v>
      </c>
      <c r="I97" s="726">
        <v>-1.0700000000000001</v>
      </c>
      <c r="J97" s="726">
        <v>0</v>
      </c>
      <c r="K97" s="726">
        <v>-1.0700000000000001</v>
      </c>
      <c r="L97" s="726">
        <v>-0.29999999999999999</v>
      </c>
      <c r="M97" s="726">
        <v>-0.20999999999999999</v>
      </c>
      <c r="N97" s="726">
        <v>-0.14999999999999999</v>
      </c>
    </row>
    <row r="98" spans="1:14" s="337" customFormat="1" ht="12.75">
      <c r="A98" s="425">
        <f t="shared" si="4"/>
        <v>87</v>
      </c>
      <c r="B98" s="758" t="s">
        <v>1156</v>
      </c>
      <c r="C98" s="337" t="s">
        <v>1157</v>
      </c>
      <c r="D98" s="425" t="s">
        <v>1158</v>
      </c>
      <c r="E98" s="425" t="s">
        <v>1134</v>
      </c>
      <c r="F98" s="726">
        <v>147955.85999999999</v>
      </c>
      <c r="G98" s="726">
        <v>292723.92999999999</v>
      </c>
      <c r="H98" s="726">
        <v>362457.19</v>
      </c>
      <c r="I98" s="726">
        <v>458490.63</v>
      </c>
      <c r="J98" s="726">
        <v>480251.54999999999</v>
      </c>
      <c r="K98" s="726">
        <v>1741879.1599999999</v>
      </c>
      <c r="L98" s="726">
        <v>101037.5</v>
      </c>
      <c r="M98" s="726">
        <v>111258.17999999999</v>
      </c>
      <c r="N98" s="726">
        <v>102909.94</v>
      </c>
    </row>
    <row r="99" spans="1:14" s="337" customFormat="1" ht="12.75">
      <c r="A99" s="425">
        <f t="shared" si="4"/>
        <v>88</v>
      </c>
      <c r="B99" s="337" t="s">
        <v>1159</v>
      </c>
      <c r="C99" s="337" t="s">
        <v>1160</v>
      </c>
      <c r="D99" s="425" t="s">
        <v>1153</v>
      </c>
      <c r="E99" s="425" t="s">
        <v>1134</v>
      </c>
      <c r="F99" s="726">
        <v>184234.60000000001</v>
      </c>
      <c r="G99" s="726">
        <v>374337.67999999999</v>
      </c>
      <c r="H99" s="726">
        <v>507965.73999999999</v>
      </c>
      <c r="I99" s="726">
        <v>627553.63</v>
      </c>
      <c r="J99" s="726">
        <v>618280.70999999996</v>
      </c>
      <c r="K99" s="726">
        <v>2312372.3599999999</v>
      </c>
      <c r="L99" s="726">
        <v>175792.54000000001</v>
      </c>
      <c r="M99" s="726">
        <v>189505.60999999999</v>
      </c>
      <c r="N99" s="726">
        <v>170645.37</v>
      </c>
    </row>
    <row r="100" spans="1:14" s="337" customFormat="1" ht="12.75">
      <c r="A100" s="425">
        <f t="shared" si="4"/>
        <v>89</v>
      </c>
      <c r="B100" s="337" t="s">
        <v>1161</v>
      </c>
      <c r="C100" s="337" t="s">
        <v>1162</v>
      </c>
      <c r="D100" s="425" t="s">
        <v>1158</v>
      </c>
      <c r="E100" s="425" t="s">
        <v>1134</v>
      </c>
      <c r="F100" s="726">
        <v>1670.6800000000001</v>
      </c>
      <c r="G100" s="726">
        <v>1280.26</v>
      </c>
      <c r="H100" s="726">
        <v>6103.7200000000003</v>
      </c>
      <c r="I100" s="726">
        <v>6834.3100000000004</v>
      </c>
      <c r="J100" s="726">
        <v>6131.8400000000001</v>
      </c>
      <c r="K100" s="726">
        <v>22020.810000000001</v>
      </c>
      <c r="L100" s="726">
        <v>1708.53</v>
      </c>
      <c r="M100" s="726">
        <v>1766</v>
      </c>
      <c r="N100" s="726">
        <v>1520.0899999999999</v>
      </c>
    </row>
    <row r="101" spans="1:14" s="337" customFormat="1" ht="12.75">
      <c r="A101" s="425">
        <f t="shared" si="4"/>
        <v>90</v>
      </c>
      <c r="B101" s="337" t="s">
        <v>1163</v>
      </c>
      <c r="C101" s="337" t="s">
        <v>1164</v>
      </c>
      <c r="D101" s="425" t="s">
        <v>1150</v>
      </c>
      <c r="E101" s="425" t="s">
        <v>1134</v>
      </c>
      <c r="F101" s="726">
        <v>13867.85</v>
      </c>
      <c r="G101" s="726">
        <v>36179.110000000001</v>
      </c>
      <c r="H101" s="726">
        <v>44134.410000000003</v>
      </c>
      <c r="I101" s="726">
        <v>47598.860000000001</v>
      </c>
      <c r="J101" s="726">
        <v>49845.589999999997</v>
      </c>
      <c r="K101" s="726">
        <v>191625.81999999998</v>
      </c>
      <c r="L101" s="726">
        <v>16445.57</v>
      </c>
      <c r="M101" s="726">
        <v>17623.990000000002</v>
      </c>
      <c r="N101" s="726">
        <v>15763.82</v>
      </c>
    </row>
    <row r="102" spans="1:14" s="337" customFormat="1" ht="12.75">
      <c r="A102" s="425">
        <f t="shared" si="4"/>
        <v>91</v>
      </c>
      <c r="B102" s="337" t="s">
        <v>1165</v>
      </c>
      <c r="C102" s="337" t="s">
        <v>1166</v>
      </c>
      <c r="D102" s="425" t="s">
        <v>1133</v>
      </c>
      <c r="E102" s="425" t="s">
        <v>1134</v>
      </c>
      <c r="F102" s="726">
        <v>6311.2700000000004</v>
      </c>
      <c r="G102" s="726">
        <v>10876.84</v>
      </c>
      <c r="H102" s="726">
        <v>13974.73</v>
      </c>
      <c r="I102" s="726">
        <v>14700.81</v>
      </c>
      <c r="J102" s="726">
        <v>14231.879999999999</v>
      </c>
      <c r="K102" s="726">
        <v>60095.529999999999</v>
      </c>
      <c r="L102" s="726">
        <v>3713.0500000000002</v>
      </c>
      <c r="M102" s="726">
        <v>3930.0999999999999</v>
      </c>
      <c r="N102" s="726">
        <v>3667.1700000000001</v>
      </c>
    </row>
    <row r="103" spans="1:14" s="337" customFormat="1" ht="12.75">
      <c r="A103" s="425">
        <f t="shared" si="4"/>
        <v>92</v>
      </c>
      <c r="B103" s="757" t="s">
        <v>1167</v>
      </c>
      <c r="C103" s="337" t="s">
        <v>1168</v>
      </c>
      <c r="D103" s="425" t="s">
        <v>1137</v>
      </c>
      <c r="E103" s="425" t="s">
        <v>1134</v>
      </c>
      <c r="F103" s="726">
        <v>2356.8400000000001</v>
      </c>
      <c r="G103" s="726">
        <v>3711.0900000000001</v>
      </c>
      <c r="H103" s="726">
        <v>2885.6799999999998</v>
      </c>
      <c r="I103" s="726">
        <v>8271.5499999999993</v>
      </c>
      <c r="J103" s="726">
        <v>5533.3100000000004</v>
      </c>
      <c r="K103" s="726">
        <v>22758.470000000001</v>
      </c>
      <c r="L103" s="726">
        <v>5332.2399999999998</v>
      </c>
      <c r="M103" s="726">
        <v>4544.8100000000004</v>
      </c>
      <c r="N103" s="726">
        <v>2692.4400000000001</v>
      </c>
    </row>
    <row r="104" spans="1:14" s="337" customFormat="1" ht="12.75">
      <c r="A104" s="425">
        <f t="shared" si="4"/>
        <v>93</v>
      </c>
      <c r="B104" s="337" t="s">
        <v>1169</v>
      </c>
      <c r="C104" s="337" t="s">
        <v>1170</v>
      </c>
      <c r="D104" s="425" t="s">
        <v>1171</v>
      </c>
      <c r="E104" s="425" t="s">
        <v>1172</v>
      </c>
      <c r="F104" s="726">
        <v>9416.9300000000003</v>
      </c>
      <c r="G104" s="726">
        <v>0</v>
      </c>
      <c r="H104" s="726">
        <v>0</v>
      </c>
      <c r="I104" s="726">
        <v>0</v>
      </c>
      <c r="J104" s="726">
        <v>0</v>
      </c>
      <c r="K104" s="726">
        <v>9416.9300000000003</v>
      </c>
      <c r="L104" s="726">
        <v>627.73000000000002</v>
      </c>
      <c r="M104" s="726">
        <v>627.83000000000004</v>
      </c>
      <c r="N104" s="726">
        <v>627.83000000000004</v>
      </c>
    </row>
    <row r="105" spans="1:14" s="337" customFormat="1" ht="12.75">
      <c r="A105" s="425">
        <f t="shared" si="4"/>
        <v>94</v>
      </c>
      <c r="B105" s="337" t="s">
        <v>1173</v>
      </c>
      <c r="C105" s="337" t="s">
        <v>1174</v>
      </c>
      <c r="D105" s="425" t="s">
        <v>1175</v>
      </c>
      <c r="E105" s="425" t="s">
        <v>1172</v>
      </c>
      <c r="F105" s="726">
        <v>25.329999999999998</v>
      </c>
      <c r="G105" s="726">
        <v>5.9100000000000001</v>
      </c>
      <c r="H105" s="726">
        <v>0</v>
      </c>
      <c r="I105" s="726">
        <v>15213.129999999999</v>
      </c>
      <c r="J105" s="726">
        <v>90.739999999999995</v>
      </c>
      <c r="K105" s="726">
        <v>15335.109999999999</v>
      </c>
      <c r="L105" s="726">
        <v>392.61000000000001</v>
      </c>
      <c r="M105" s="726">
        <v>393.19</v>
      </c>
      <c r="N105" s="726">
        <v>393.19</v>
      </c>
    </row>
    <row r="106" spans="1:14" s="337" customFormat="1" ht="12.75">
      <c r="A106" s="425">
        <f t="shared" si="4"/>
        <v>95</v>
      </c>
      <c r="B106" s="337" t="s">
        <v>1176</v>
      </c>
      <c r="C106" s="337" t="s">
        <v>1177</v>
      </c>
      <c r="D106" s="425" t="s">
        <v>1178</v>
      </c>
      <c r="E106" s="425" t="s">
        <v>1134</v>
      </c>
      <c r="F106" s="726">
        <v>728.77999999999997</v>
      </c>
      <c r="G106" s="726">
        <v>1226.74</v>
      </c>
      <c r="H106" s="726">
        <v>3630.6599999999999</v>
      </c>
      <c r="I106" s="726">
        <v>-65.219999999999999</v>
      </c>
      <c r="J106" s="726">
        <v>4931.2700000000004</v>
      </c>
      <c r="K106" s="726">
        <v>10452.23</v>
      </c>
      <c r="L106" s="726">
        <v>205.02000000000001</v>
      </c>
      <c r="M106" s="726">
        <v>274.69999999999999</v>
      </c>
      <c r="N106" s="726">
        <v>269.47000000000003</v>
      </c>
    </row>
    <row r="107" spans="1:14" s="337" customFormat="1" ht="12.75">
      <c r="A107" s="425">
        <f t="shared" si="4"/>
        <v>96</v>
      </c>
      <c r="B107" s="337" t="s">
        <v>1179</v>
      </c>
      <c r="C107" s="337" t="s">
        <v>1180</v>
      </c>
      <c r="D107" s="425" t="s">
        <v>1181</v>
      </c>
      <c r="E107" s="425" t="s">
        <v>1134</v>
      </c>
      <c r="F107" s="726">
        <v>6318.9399999999996</v>
      </c>
      <c r="G107" s="726">
        <v>2241.6100000000001</v>
      </c>
      <c r="H107" s="726">
        <v>10401.209999999999</v>
      </c>
      <c r="I107" s="726">
        <v>27683.5</v>
      </c>
      <c r="J107" s="726">
        <v>9177.3999999999996</v>
      </c>
      <c r="K107" s="726">
        <v>55822.659999999996</v>
      </c>
      <c r="L107" s="726">
        <v>4273.6599999999999</v>
      </c>
      <c r="M107" s="726">
        <v>4319.3800000000001</v>
      </c>
      <c r="N107" s="726">
        <v>3895.5900000000001</v>
      </c>
    </row>
    <row r="108" spans="1:14" s="337" customFormat="1" ht="12.75">
      <c r="A108" s="425">
        <f t="shared" si="4"/>
        <v>97</v>
      </c>
      <c r="B108" s="337" t="s">
        <v>1182</v>
      </c>
      <c r="C108" s="337" t="s">
        <v>1183</v>
      </c>
      <c r="D108" s="425" t="s">
        <v>1184</v>
      </c>
      <c r="E108" s="425"/>
      <c r="F108" s="726">
        <v>4751.1599999999999</v>
      </c>
      <c r="G108" s="726">
        <v>16907.75</v>
      </c>
      <c r="H108" s="726">
        <v>1802.5</v>
      </c>
      <c r="I108" s="726">
        <v>9135.3199999999997</v>
      </c>
      <c r="J108" s="726">
        <v>19977.16</v>
      </c>
      <c r="K108" s="726">
        <v>52573.889999999999</v>
      </c>
      <c r="L108" s="726">
        <v>0</v>
      </c>
      <c r="M108" s="726">
        <v>0</v>
      </c>
      <c r="N108" s="726">
        <v>0</v>
      </c>
    </row>
    <row r="109" spans="1:14" s="337" customFormat="1" ht="12.75">
      <c r="A109" s="425">
        <f t="shared" si="4"/>
        <v>98</v>
      </c>
      <c r="B109" s="337" t="s">
        <v>1185</v>
      </c>
      <c r="C109" s="337" t="s">
        <v>1186</v>
      </c>
      <c r="D109" s="425" t="s">
        <v>1175</v>
      </c>
      <c r="E109" s="425" t="s">
        <v>1172</v>
      </c>
      <c r="F109" s="726">
        <v>12827.639999999999</v>
      </c>
      <c r="G109" s="726">
        <v>18467.5</v>
      </c>
      <c r="H109" s="726">
        <v>17205.25</v>
      </c>
      <c r="I109" s="726">
        <v>23712.790000000001</v>
      </c>
      <c r="J109" s="726">
        <v>32723.299999999999</v>
      </c>
      <c r="K109" s="726">
        <v>104936.48</v>
      </c>
      <c r="L109" s="726">
        <v>2131.25</v>
      </c>
      <c r="M109" s="726">
        <v>2688.29</v>
      </c>
      <c r="N109" s="726">
        <v>2688.3400000000001</v>
      </c>
    </row>
    <row r="110" spans="1:15" s="337" customFormat="1" ht="12.75">
      <c r="A110" s="425">
        <f t="shared" si="4"/>
        <v>99</v>
      </c>
      <c r="B110" s="759" t="s">
        <v>1189</v>
      </c>
      <c r="D110" s="425"/>
      <c r="E110" s="425"/>
      <c r="F110" s="760">
        <f>SUM(F88:F109)</f>
        <v>403751.84000000003</v>
      </c>
      <c r="G110" s="760">
        <f t="shared" si="13" ref="G110">SUM(G88:G109)</f>
        <v>776676.71999999986</v>
      </c>
      <c r="H110" s="760">
        <f t="shared" si="14" ref="H110">SUM(H88:H109)</f>
        <v>987140</v>
      </c>
      <c r="I110" s="760">
        <f t="shared" si="15" ref="I110">SUM(I88:I109)</f>
        <v>1302362.0600000003</v>
      </c>
      <c r="J110" s="760">
        <f t="shared" si="16" ref="J110">SUM(J88:J109)</f>
        <v>1281500.5399999998</v>
      </c>
      <c r="K110" s="760">
        <f t="shared" si="17" ref="K110">SUM(K88:K109)</f>
        <v>4751431.1600000001</v>
      </c>
      <c r="L110" s="760">
        <f t="shared" si="18" ref="L110">SUM(L88:L109)</f>
        <v>338840.12</v>
      </c>
      <c r="M110" s="760">
        <f t="shared" si="19" ref="M110">SUM(M88:M109)</f>
        <v>359514.37999999995</v>
      </c>
      <c r="N110" s="760">
        <f t="shared" si="20" ref="N110">SUM(N88:N109)</f>
        <v>320283.89000000007</v>
      </c>
      <c r="O110" s="760">
        <v>359010.33000000002</v>
      </c>
    </row>
    <row r="111" spans="1:5" s="337" customFormat="1" ht="12.75">
      <c r="A111" s="425">
        <f t="shared" si="4"/>
        <v>100</v>
      </c>
      <c r="D111" s="425"/>
      <c r="E111" s="425"/>
    </row>
    <row r="112" spans="1:15" s="337" customFormat="1" ht="12.75">
      <c r="A112" s="425">
        <f t="shared" si="4"/>
        <v>101</v>
      </c>
      <c r="B112" s="646" t="s">
        <v>209</v>
      </c>
      <c r="C112" s="645"/>
      <c r="D112" s="645"/>
      <c r="E112" s="647">
        <f>+'[5]II-F Alloc_Factor'!$I$40</f>
        <v>0.50345288393613263</v>
      </c>
      <c r="F112" s="414"/>
      <c r="G112" s="414"/>
      <c r="H112" s="414"/>
      <c r="I112" s="414"/>
      <c r="J112" s="414"/>
      <c r="K112" s="414"/>
      <c r="L112" s="414"/>
      <c r="M112" s="414"/>
      <c r="N112" s="414"/>
      <c r="O112" s="414"/>
    </row>
    <row r="113" spans="1:14" s="337" customFormat="1" ht="12.75">
      <c r="A113" s="425">
        <f t="shared" si="4"/>
        <v>102</v>
      </c>
      <c r="B113" s="757" t="s">
        <v>1131</v>
      </c>
      <c r="C113" s="337" t="s">
        <v>1132</v>
      </c>
      <c r="D113" s="425" t="s">
        <v>1133</v>
      </c>
      <c r="E113" s="425" t="s">
        <v>1134</v>
      </c>
      <c r="F113" s="726">
        <v>502216.71000000002</v>
      </c>
      <c r="G113" s="726">
        <v>632683.19999999995</v>
      </c>
      <c r="H113" s="726">
        <v>1319156.77</v>
      </c>
      <c r="I113" s="726">
        <v>5694636.2400000002</v>
      </c>
      <c r="J113" s="726">
        <v>2503901.2999999998</v>
      </c>
      <c r="K113" s="726">
        <v>10652594.219999999</v>
      </c>
      <c r="L113" s="726">
        <v>2263789.6299999999</v>
      </c>
      <c r="M113" s="726">
        <v>1982345.03</v>
      </c>
      <c r="N113" s="726">
        <v>1444539.8000000001</v>
      </c>
    </row>
    <row r="114" spans="1:14" s="337" customFormat="1" ht="12.75">
      <c r="A114" s="425">
        <f t="shared" si="4"/>
        <v>103</v>
      </c>
      <c r="B114" s="757" t="s">
        <v>1135</v>
      </c>
      <c r="C114" s="337" t="s">
        <v>1136</v>
      </c>
      <c r="D114" s="425" t="s">
        <v>1137</v>
      </c>
      <c r="E114" s="425" t="s">
        <v>1134</v>
      </c>
      <c r="F114" s="726">
        <v>6187611.4500000002</v>
      </c>
      <c r="G114" s="726">
        <v>2847477.9399999999</v>
      </c>
      <c r="H114" s="726">
        <v>5337663.5499999998</v>
      </c>
      <c r="I114" s="726">
        <v>31072666.02</v>
      </c>
      <c r="J114" s="726">
        <v>7621058.79</v>
      </c>
      <c r="K114" s="726">
        <v>53066477.75</v>
      </c>
      <c r="L114" s="726">
        <v>15262176.630000001</v>
      </c>
      <c r="M114" s="726">
        <v>11150648</v>
      </c>
      <c r="N114" s="726">
        <v>6464804.8399999999</v>
      </c>
    </row>
    <row r="115" spans="1:14" s="337" customFormat="1" ht="12.75">
      <c r="A115" s="425">
        <f t="shared" si="4"/>
        <v>104</v>
      </c>
      <c r="B115" s="757" t="s">
        <v>1138</v>
      </c>
      <c r="C115" s="337" t="s">
        <v>1139</v>
      </c>
      <c r="D115" s="425" t="s">
        <v>1137</v>
      </c>
      <c r="E115" s="425" t="s">
        <v>1134</v>
      </c>
      <c r="F115" s="726">
        <v>0</v>
      </c>
      <c r="G115" s="726">
        <v>1317871.5</v>
      </c>
      <c r="H115" s="726">
        <v>835719.19999999995</v>
      </c>
      <c r="I115" s="726">
        <v>0</v>
      </c>
      <c r="J115" s="726">
        <v>0</v>
      </c>
      <c r="K115" s="726">
        <v>2153590.7000000002</v>
      </c>
      <c r="L115" s="726">
        <v>312276.88</v>
      </c>
      <c r="M115" s="726">
        <v>248093.64999999999</v>
      </c>
      <c r="N115" s="726">
        <v>172184.25</v>
      </c>
    </row>
    <row r="116" spans="1:14" s="337" customFormat="1" ht="12.75">
      <c r="A116" s="425">
        <f t="shared" si="4"/>
        <v>105</v>
      </c>
      <c r="B116" s="757" t="s">
        <v>1140</v>
      </c>
      <c r="C116" s="337" t="s">
        <v>1141</v>
      </c>
      <c r="D116" s="425" t="s">
        <v>1137</v>
      </c>
      <c r="E116" s="425" t="s">
        <v>1134</v>
      </c>
      <c r="F116" s="726">
        <v>320532.62</v>
      </c>
      <c r="G116" s="726">
        <v>165532.70999999999</v>
      </c>
      <c r="H116" s="726">
        <v>278466.38</v>
      </c>
      <c r="I116" s="726">
        <v>1043527.4</v>
      </c>
      <c r="J116" s="726">
        <v>504893.12</v>
      </c>
      <c r="K116" s="726">
        <v>2312952.23</v>
      </c>
      <c r="L116" s="726">
        <v>596155.98999999999</v>
      </c>
      <c r="M116" s="726">
        <v>473282.48999999999</v>
      </c>
      <c r="N116" s="726">
        <v>278670.81</v>
      </c>
    </row>
    <row r="117" spans="1:14" s="337" customFormat="1" ht="12.75">
      <c r="A117" s="425">
        <f t="shared" si="4"/>
        <v>106</v>
      </c>
      <c r="B117" s="757" t="s">
        <v>1142</v>
      </c>
      <c r="C117" s="337" t="s">
        <v>1143</v>
      </c>
      <c r="D117" s="425" t="s">
        <v>1137</v>
      </c>
      <c r="E117" s="425" t="s">
        <v>1134</v>
      </c>
      <c r="F117" s="726">
        <v>1105926.8799999999</v>
      </c>
      <c r="G117" s="726">
        <v>156120.20000000001</v>
      </c>
      <c r="H117" s="726">
        <v>0</v>
      </c>
      <c r="I117" s="726">
        <v>599.88</v>
      </c>
      <c r="J117" s="726">
        <v>0</v>
      </c>
      <c r="K117" s="726">
        <v>1262646.9599999997</v>
      </c>
      <c r="L117" s="726">
        <v>133149.60999999999</v>
      </c>
      <c r="M117" s="726">
        <v>115796.86</v>
      </c>
      <c r="N117" s="726">
        <v>9060.7299999999996</v>
      </c>
    </row>
    <row r="118" spans="1:14" s="337" customFormat="1" ht="12.75">
      <c r="A118" s="425">
        <f t="shared" si="4"/>
        <v>107</v>
      </c>
      <c r="B118" s="757" t="s">
        <v>1144</v>
      </c>
      <c r="C118" s="337" t="s">
        <v>1145</v>
      </c>
      <c r="D118" s="425" t="s">
        <v>1137</v>
      </c>
      <c r="E118" s="425" t="s">
        <v>1134</v>
      </c>
      <c r="F118" s="726">
        <v>341435.29999999999</v>
      </c>
      <c r="G118" s="726">
        <v>183976.17000000001</v>
      </c>
      <c r="H118" s="726">
        <v>0</v>
      </c>
      <c r="I118" s="726">
        <v>165245.19</v>
      </c>
      <c r="J118" s="726">
        <v>45427.290000000001</v>
      </c>
      <c r="K118" s="726">
        <v>736083.94999999995</v>
      </c>
      <c r="L118" s="726">
        <v>120186.63000000001</v>
      </c>
      <c r="M118" s="726">
        <v>97707.619999999995</v>
      </c>
      <c r="N118" s="726">
        <v>38724.510000000002</v>
      </c>
    </row>
    <row r="119" spans="1:14" s="337" customFormat="1" ht="12.75">
      <c r="A119" s="425">
        <f t="shared" si="4"/>
        <v>108</v>
      </c>
      <c r="B119" s="757" t="s">
        <v>1146</v>
      </c>
      <c r="C119" s="337" t="s">
        <v>1147</v>
      </c>
      <c r="D119" s="425" t="s">
        <v>1137</v>
      </c>
      <c r="E119" s="425" t="s">
        <v>1134</v>
      </c>
      <c r="F119" s="726">
        <v>324084.78999999998</v>
      </c>
      <c r="G119" s="726">
        <v>719502.19999999995</v>
      </c>
      <c r="H119" s="726">
        <v>309750.28000000003</v>
      </c>
      <c r="I119" s="726">
        <v>372176.20000000001</v>
      </c>
      <c r="J119" s="726">
        <v>91549.050000000003</v>
      </c>
      <c r="K119" s="726">
        <v>1817062.52</v>
      </c>
      <c r="L119" s="726">
        <v>306380.88</v>
      </c>
      <c r="M119" s="726">
        <v>244450</v>
      </c>
      <c r="N119" s="726">
        <v>138410</v>
      </c>
    </row>
    <row r="120" spans="1:14" s="337" customFormat="1" ht="12.75">
      <c r="A120" s="425">
        <f t="shared" si="4"/>
        <v>109</v>
      </c>
      <c r="B120" s="757" t="s">
        <v>1148</v>
      </c>
      <c r="C120" s="337" t="s">
        <v>1149</v>
      </c>
      <c r="D120" s="425" t="s">
        <v>1150</v>
      </c>
      <c r="E120" s="425" t="s">
        <v>1134</v>
      </c>
      <c r="F120" s="726">
        <v>0</v>
      </c>
      <c r="G120" s="726">
        <v>0</v>
      </c>
      <c r="H120" s="726">
        <v>15466.82</v>
      </c>
      <c r="I120" s="726">
        <v>10080.15</v>
      </c>
      <c r="J120" s="726">
        <v>0</v>
      </c>
      <c r="K120" s="726">
        <v>25546.970000000001</v>
      </c>
      <c r="L120" s="726">
        <v>5251.2700000000004</v>
      </c>
      <c r="M120" s="726">
        <v>3596.21</v>
      </c>
      <c r="N120" s="726">
        <v>2571.54</v>
      </c>
    </row>
    <row r="121" spans="1:14" s="337" customFormat="1" ht="12.75">
      <c r="A121" s="425">
        <f t="shared" si="4"/>
        <v>110</v>
      </c>
      <c r="B121" s="757" t="s">
        <v>1151</v>
      </c>
      <c r="C121" s="337" t="s">
        <v>1152</v>
      </c>
      <c r="D121" s="425" t="s">
        <v>1153</v>
      </c>
      <c r="E121" s="425" t="s">
        <v>1134</v>
      </c>
      <c r="F121" s="726">
        <v>2511976.5899999999</v>
      </c>
      <c r="G121" s="726">
        <v>9888404.4399999995</v>
      </c>
      <c r="H121" s="726">
        <v>5996747.0499999998</v>
      </c>
      <c r="I121" s="726">
        <v>15393263.24</v>
      </c>
      <c r="J121" s="726">
        <v>23512289.350000001</v>
      </c>
      <c r="K121" s="726">
        <v>57302680.670000002</v>
      </c>
      <c r="L121" s="726">
        <v>4105721.0299999998</v>
      </c>
      <c r="M121" s="726">
        <v>4880443.1699999999</v>
      </c>
      <c r="N121" s="726">
        <v>4381018.2400000002</v>
      </c>
    </row>
    <row r="122" spans="1:14" s="337" customFormat="1" ht="12.75">
      <c r="A122" s="425">
        <f t="shared" si="4"/>
        <v>111</v>
      </c>
      <c r="B122" s="757" t="s">
        <v>1154</v>
      </c>
      <c r="C122" s="337" t="s">
        <v>1155</v>
      </c>
      <c r="D122" s="425" t="s">
        <v>1133</v>
      </c>
      <c r="E122" s="425" t="s">
        <v>1134</v>
      </c>
      <c r="F122" s="726">
        <v>0</v>
      </c>
      <c r="G122" s="726">
        <v>0</v>
      </c>
      <c r="H122" s="726">
        <v>0</v>
      </c>
      <c r="I122" s="726">
        <v>-911.01999999999998</v>
      </c>
      <c r="J122" s="726">
        <v>0</v>
      </c>
      <c r="K122" s="726">
        <v>-911.01999999999998</v>
      </c>
      <c r="L122" s="726">
        <v>-251</v>
      </c>
      <c r="M122" s="726">
        <v>-179.28999999999999</v>
      </c>
      <c r="N122" s="726">
        <v>-128.05000000000001</v>
      </c>
    </row>
    <row r="123" spans="1:14" s="337" customFormat="1" ht="12.75">
      <c r="A123" s="425">
        <f t="shared" si="4"/>
        <v>112</v>
      </c>
      <c r="B123" s="758" t="s">
        <v>1156</v>
      </c>
      <c r="C123" s="337" t="s">
        <v>1157</v>
      </c>
      <c r="D123" s="425" t="s">
        <v>1158</v>
      </c>
      <c r="E123" s="425" t="s">
        <v>1134</v>
      </c>
      <c r="F123" s="726">
        <v>125770540.59999999</v>
      </c>
      <c r="G123" s="726">
        <v>248831289.47</v>
      </c>
      <c r="H123" s="726">
        <v>308108358.06</v>
      </c>
      <c r="I123" s="726">
        <v>389742011.69999999</v>
      </c>
      <c r="J123" s="726">
        <v>408239977.93000001</v>
      </c>
      <c r="K123" s="726">
        <v>1480692177.76</v>
      </c>
      <c r="L123" s="726">
        <v>85887380.760000005</v>
      </c>
      <c r="M123" s="726">
        <v>94575516.980000004</v>
      </c>
      <c r="N123" s="726">
        <v>87479057.959999993</v>
      </c>
    </row>
    <row r="124" spans="1:14" s="337" customFormat="1" ht="12.75">
      <c r="A124" s="425">
        <f t="shared" si="4"/>
        <v>113</v>
      </c>
      <c r="B124" s="337" t="s">
        <v>1159</v>
      </c>
      <c r="C124" s="337" t="s">
        <v>1160</v>
      </c>
      <c r="D124" s="425" t="s">
        <v>1153</v>
      </c>
      <c r="E124" s="425" t="s">
        <v>1134</v>
      </c>
      <c r="F124" s="726">
        <v>156609446.63</v>
      </c>
      <c r="G124" s="726">
        <v>318207424.37</v>
      </c>
      <c r="H124" s="726">
        <v>431798548.23000002</v>
      </c>
      <c r="I124" s="726">
        <v>533454772.94999999</v>
      </c>
      <c r="J124" s="726">
        <v>525572286.52999997</v>
      </c>
      <c r="K124" s="726">
        <v>1965642478.71</v>
      </c>
      <c r="L124" s="726">
        <v>149433232.75999999</v>
      </c>
      <c r="M124" s="726">
        <v>161090093.52000001</v>
      </c>
      <c r="N124" s="726">
        <v>145057863.31</v>
      </c>
    </row>
    <row r="125" spans="1:14" s="337" customFormat="1" ht="12.75">
      <c r="A125" s="425">
        <f t="shared" si="4"/>
        <v>114</v>
      </c>
      <c r="B125" s="337" t="s">
        <v>1161</v>
      </c>
      <c r="C125" s="337" t="s">
        <v>1162</v>
      </c>
      <c r="D125" s="425" t="s">
        <v>1158</v>
      </c>
      <c r="E125" s="425" t="s">
        <v>1134</v>
      </c>
      <c r="F125" s="726">
        <v>1420169.1299999999</v>
      </c>
      <c r="G125" s="726">
        <v>1088288.26</v>
      </c>
      <c r="H125" s="726">
        <v>5188494.1799999997</v>
      </c>
      <c r="I125" s="726">
        <v>5809539.1699999999</v>
      </c>
      <c r="J125" s="726">
        <v>5212402.1699999999</v>
      </c>
      <c r="K125" s="726">
        <v>18718892.909999996</v>
      </c>
      <c r="L125" s="726">
        <v>1452346.0800000001</v>
      </c>
      <c r="M125" s="726">
        <v>1501192.3899999999</v>
      </c>
      <c r="N125" s="726">
        <v>1292155.52</v>
      </c>
    </row>
    <row r="126" spans="1:14" s="337" customFormat="1" ht="12.75">
      <c r="A126" s="425">
        <f t="shared" si="4"/>
        <v>115</v>
      </c>
      <c r="B126" s="337" t="s">
        <v>1163</v>
      </c>
      <c r="C126" s="337" t="s">
        <v>1164</v>
      </c>
      <c r="D126" s="425" t="s">
        <v>1150</v>
      </c>
      <c r="E126" s="425" t="s">
        <v>1134</v>
      </c>
      <c r="F126" s="726">
        <v>11788425.220000001</v>
      </c>
      <c r="G126" s="726">
        <v>30754216.539999999</v>
      </c>
      <c r="H126" s="726">
        <v>37516650.93</v>
      </c>
      <c r="I126" s="726">
        <v>40461628.270000003</v>
      </c>
      <c r="J126" s="726">
        <v>42371465.939999998</v>
      </c>
      <c r="K126" s="726">
        <v>162892386.90000001</v>
      </c>
      <c r="L126" s="726">
        <v>13979631.199999999</v>
      </c>
      <c r="M126" s="726">
        <v>14981355.310000001</v>
      </c>
      <c r="N126" s="726">
        <v>13400107.119999999</v>
      </c>
    </row>
    <row r="127" spans="1:14" s="337" customFormat="1" ht="12.75">
      <c r="A127" s="425">
        <f t="shared" si="4"/>
        <v>116</v>
      </c>
      <c r="B127" s="337" t="s">
        <v>1165</v>
      </c>
      <c r="C127" s="337" t="s">
        <v>1166</v>
      </c>
      <c r="D127" s="425" t="s">
        <v>1133</v>
      </c>
      <c r="E127" s="425" t="s">
        <v>1134</v>
      </c>
      <c r="F127" s="726">
        <v>5364920.9500000002</v>
      </c>
      <c r="G127" s="726">
        <v>9245902.3000000007</v>
      </c>
      <c r="H127" s="726">
        <v>11879285.43</v>
      </c>
      <c r="I127" s="726">
        <v>12496488.630000001</v>
      </c>
      <c r="J127" s="726">
        <v>12097872.390000001</v>
      </c>
      <c r="K127" s="726">
        <v>51084469.700000003</v>
      </c>
      <c r="L127" s="726">
        <v>3156290.5299999998</v>
      </c>
      <c r="M127" s="726">
        <v>3340799.27</v>
      </c>
      <c r="N127" s="726">
        <v>3117294.9199999999</v>
      </c>
    </row>
    <row r="128" spans="1:14" s="337" customFormat="1" ht="12.75">
      <c r="A128" s="425">
        <f t="shared" si="4"/>
        <v>117</v>
      </c>
      <c r="B128" s="757" t="s">
        <v>1167</v>
      </c>
      <c r="C128" s="337" t="s">
        <v>1168</v>
      </c>
      <c r="D128" s="425" t="s">
        <v>1137</v>
      </c>
      <c r="E128" s="425" t="s">
        <v>1134</v>
      </c>
      <c r="F128" s="726">
        <v>2003446.3899999999</v>
      </c>
      <c r="G128" s="726">
        <v>3154626.5099999998</v>
      </c>
      <c r="H128" s="726">
        <v>2452983.3999999999</v>
      </c>
      <c r="I128" s="726">
        <v>7031266.2000000002</v>
      </c>
      <c r="J128" s="726">
        <v>4703615.1100000003</v>
      </c>
      <c r="K128" s="726">
        <v>19345937.609999999</v>
      </c>
      <c r="L128" s="726">
        <v>4532690.5300000003</v>
      </c>
      <c r="M128" s="726">
        <v>3863336.5499999998</v>
      </c>
      <c r="N128" s="726">
        <v>2288716.7200000002</v>
      </c>
    </row>
    <row r="129" spans="1:14" s="337" customFormat="1" ht="12.75">
      <c r="A129" s="425">
        <f t="shared" si="4"/>
        <v>118</v>
      </c>
      <c r="B129" s="337" t="s">
        <v>1169</v>
      </c>
      <c r="C129" s="337" t="s">
        <v>1170</v>
      </c>
      <c r="D129" s="425" t="s">
        <v>1171</v>
      </c>
      <c r="E129" s="425" t="s">
        <v>1172</v>
      </c>
      <c r="F129" s="726">
        <v>8004900.8499999996</v>
      </c>
      <c r="G129" s="726">
        <v>0</v>
      </c>
      <c r="H129" s="726">
        <v>0</v>
      </c>
      <c r="I129" s="726">
        <v>0</v>
      </c>
      <c r="J129" s="726">
        <v>0</v>
      </c>
      <c r="K129" s="726">
        <v>8004900.8499999996</v>
      </c>
      <c r="L129" s="726">
        <v>533606.68999999994</v>
      </c>
      <c r="M129" s="726">
        <v>533686.73999999999</v>
      </c>
      <c r="N129" s="726">
        <v>533686.73999999999</v>
      </c>
    </row>
    <row r="130" spans="1:14" s="337" customFormat="1" ht="12.75">
      <c r="A130" s="425">
        <f t="shared" si="4"/>
        <v>119</v>
      </c>
      <c r="B130" s="337" t="s">
        <v>1173</v>
      </c>
      <c r="C130" s="337" t="s">
        <v>1174</v>
      </c>
      <c r="D130" s="425" t="s">
        <v>1175</v>
      </c>
      <c r="E130" s="425" t="s">
        <v>1172</v>
      </c>
      <c r="F130" s="726">
        <v>21534.610000000001</v>
      </c>
      <c r="G130" s="726">
        <v>5022.6099999999997</v>
      </c>
      <c r="H130" s="726">
        <v>0</v>
      </c>
      <c r="I130" s="726">
        <v>12931988.65</v>
      </c>
      <c r="J130" s="726">
        <v>77135.800000000003</v>
      </c>
      <c r="K130" s="726">
        <v>13035681.670000002</v>
      </c>
      <c r="L130" s="726">
        <v>333736.32000000001</v>
      </c>
      <c r="M130" s="726">
        <v>334234.91999999998</v>
      </c>
      <c r="N130" s="726">
        <v>334235.08000000002</v>
      </c>
    </row>
    <row r="131" spans="1:14" s="337" customFormat="1" ht="12.75">
      <c r="A131" s="425">
        <f t="shared" si="4"/>
        <v>120</v>
      </c>
      <c r="B131" s="337" t="s">
        <v>1176</v>
      </c>
      <c r="C131" s="337" t="s">
        <v>1177</v>
      </c>
      <c r="D131" s="425" t="s">
        <v>1178</v>
      </c>
      <c r="E131" s="425" t="s">
        <v>1134</v>
      </c>
      <c r="F131" s="726">
        <v>619502.01000000001</v>
      </c>
      <c r="G131" s="726">
        <v>1042793.78</v>
      </c>
      <c r="H131" s="726">
        <v>3086255.3300000001</v>
      </c>
      <c r="I131" s="726">
        <v>-55441.160000000003</v>
      </c>
      <c r="J131" s="726">
        <v>4191843.9900000002</v>
      </c>
      <c r="K131" s="726">
        <v>8884953.9499999993</v>
      </c>
      <c r="L131" s="726">
        <v>174274.32999999999</v>
      </c>
      <c r="M131" s="726">
        <v>233508.70000000001</v>
      </c>
      <c r="N131" s="726">
        <v>229065.5</v>
      </c>
    </row>
    <row r="132" spans="1:14" s="337" customFormat="1" ht="12.75">
      <c r="A132" s="425">
        <f t="shared" si="4"/>
        <v>121</v>
      </c>
      <c r="B132" s="337" t="s">
        <v>1179</v>
      </c>
      <c r="C132" s="337" t="s">
        <v>1180</v>
      </c>
      <c r="D132" s="425" t="s">
        <v>1181</v>
      </c>
      <c r="E132" s="425" t="s">
        <v>1134</v>
      </c>
      <c r="F132" s="726">
        <v>5371439.7400000002</v>
      </c>
      <c r="G132" s="726">
        <v>1905494.24</v>
      </c>
      <c r="H132" s="726">
        <v>8841591.8900000006</v>
      </c>
      <c r="I132" s="726">
        <v>23532482.359999999</v>
      </c>
      <c r="J132" s="726">
        <v>7801288.8899999997</v>
      </c>
      <c r="K132" s="726">
        <v>47452297.120000005</v>
      </c>
      <c r="L132" s="726">
        <v>3632847.1200000001</v>
      </c>
      <c r="M132" s="726">
        <v>3671709.5600000001</v>
      </c>
      <c r="N132" s="726">
        <v>3311464.8399999999</v>
      </c>
    </row>
    <row r="133" spans="1:14" s="337" customFormat="1" ht="12.75">
      <c r="A133" s="425">
        <f t="shared" si="4"/>
        <v>122</v>
      </c>
      <c r="B133" s="337" t="s">
        <v>1182</v>
      </c>
      <c r="C133" s="337" t="s">
        <v>1183</v>
      </c>
      <c r="D133" s="425" t="s">
        <v>1184</v>
      </c>
      <c r="E133" s="425"/>
      <c r="F133" s="726">
        <v>4038747.7000000002</v>
      </c>
      <c r="G133" s="726">
        <v>14372506.960000001</v>
      </c>
      <c r="H133" s="726">
        <v>1532222.45</v>
      </c>
      <c r="I133" s="726">
        <v>7765519.5899999999</v>
      </c>
      <c r="J133" s="726">
        <v>16981675.699999999</v>
      </c>
      <c r="K133" s="726">
        <v>44690672.399999999</v>
      </c>
      <c r="L133" s="726">
        <v>0</v>
      </c>
      <c r="M133" s="726">
        <v>0</v>
      </c>
      <c r="N133" s="726">
        <v>0</v>
      </c>
    </row>
    <row r="134" spans="1:14" s="337" customFormat="1" ht="12.75">
      <c r="A134" s="425">
        <f t="shared" si="4"/>
        <v>123</v>
      </c>
      <c r="B134" s="337" t="s">
        <v>1185</v>
      </c>
      <c r="C134" s="337" t="s">
        <v>1186</v>
      </c>
      <c r="D134" s="425" t="s">
        <v>1175</v>
      </c>
      <c r="E134" s="425" t="s">
        <v>1172</v>
      </c>
      <c r="F134" s="726">
        <v>10904192.300000001</v>
      </c>
      <c r="G134" s="726">
        <v>15698384</v>
      </c>
      <c r="H134" s="726">
        <v>14625397.51</v>
      </c>
      <c r="I134" s="726">
        <v>20157159.489999998</v>
      </c>
      <c r="J134" s="726">
        <v>27816587.16</v>
      </c>
      <c r="K134" s="726">
        <v>89201720.459999993</v>
      </c>
      <c r="L134" s="726">
        <v>1811678.3400000001</v>
      </c>
      <c r="M134" s="726">
        <v>2285195.6000000001</v>
      </c>
      <c r="N134" s="726">
        <v>2285232.5800000001</v>
      </c>
    </row>
    <row r="135" spans="1:15" s="337" customFormat="1" ht="12.75">
      <c r="A135" s="425">
        <f t="shared" si="4"/>
        <v>124</v>
      </c>
      <c r="B135" s="759" t="s">
        <v>1190</v>
      </c>
      <c r="D135" s="425"/>
      <c r="E135" s="425"/>
      <c r="F135" s="760">
        <f>SUM(F113:F134)</f>
        <v>343211050.47000003</v>
      </c>
      <c r="G135" s="760">
        <f t="shared" si="21" ref="G135">SUM(G113:G134)</f>
        <v>660217517.39999998</v>
      </c>
      <c r="H135" s="760">
        <f t="shared" si="22" ref="H135">SUM(H113:H134)</f>
        <v>839122757.45999992</v>
      </c>
      <c r="I135" s="760">
        <f t="shared" si="23" ref="I135">SUM(I113:I134)</f>
        <v>1107078699.1499999</v>
      </c>
      <c r="J135" s="760">
        <f t="shared" si="24" ref="J135">SUM(J113:J134)</f>
        <v>1089345270.5099998</v>
      </c>
      <c r="K135" s="760">
        <f t="shared" si="25" ref="K135">SUM(K113:K134)</f>
        <v>4038975294.9899998</v>
      </c>
      <c r="L135" s="760">
        <f t="shared" si="26" ref="L135">SUM(L113:L134)</f>
        <v>288032552.20999992</v>
      </c>
      <c r="M135" s="760">
        <f t="shared" si="27" ref="M135">SUM(M113:M134)</f>
        <v>305606813.28000003</v>
      </c>
      <c r="N135" s="760">
        <f t="shared" si="28" ref="N135">SUM(N113:N134)</f>
        <v>272258736.95999998</v>
      </c>
      <c r="O135" s="760">
        <v>305178340.11000001</v>
      </c>
    </row>
    <row r="136" spans="1:5" s="337" customFormat="1" ht="12.75">
      <c r="A136" s="425">
        <f t="shared" si="4"/>
        <v>125</v>
      </c>
      <c r="D136" s="425"/>
      <c r="E136" s="425"/>
    </row>
    <row r="137" spans="1:15" s="337" customFormat="1" ht="12.75">
      <c r="A137" s="425">
        <f t="shared" si="4"/>
        <v>126</v>
      </c>
      <c r="B137" s="646" t="s">
        <v>642</v>
      </c>
      <c r="C137" s="645"/>
      <c r="D137" s="645"/>
      <c r="E137" s="647">
        <f>+'[5]II-F Alloc_Factor'!$J$41</f>
        <v>0.075593887545488334</v>
      </c>
      <c r="F137" s="414"/>
      <c r="G137" s="414"/>
      <c r="H137" s="414"/>
      <c r="I137" s="414"/>
      <c r="J137" s="414"/>
      <c r="K137" s="414"/>
      <c r="L137" s="414"/>
      <c r="M137" s="414"/>
      <c r="N137" s="414"/>
      <c r="O137" s="414"/>
    </row>
    <row r="138" spans="1:14" s="337" customFormat="1" ht="12.75">
      <c r="A138" s="425">
        <f t="shared" si="4"/>
        <v>127</v>
      </c>
      <c r="B138" s="757" t="s">
        <v>1131</v>
      </c>
      <c r="C138" s="337" t="s">
        <v>1132</v>
      </c>
      <c r="D138" s="425" t="s">
        <v>1133</v>
      </c>
      <c r="E138" s="425" t="s">
        <v>1134</v>
      </c>
      <c r="F138" s="726">
        <v>0</v>
      </c>
      <c r="G138" s="726">
        <v>0</v>
      </c>
      <c r="H138" s="726">
        <v>218162.70000000001</v>
      </c>
      <c r="I138" s="726">
        <v>1777.1400000000001</v>
      </c>
      <c r="J138" s="726">
        <v>0</v>
      </c>
      <c r="K138" s="726">
        <v>219939.84000000003</v>
      </c>
      <c r="L138" s="726">
        <v>17252.25</v>
      </c>
      <c r="M138" s="726">
        <v>7371.3800000000001</v>
      </c>
      <c r="N138" s="726">
        <v>6426.8100000000004</v>
      </c>
    </row>
    <row r="139" spans="1:14" s="337" customFormat="1" ht="12.75">
      <c r="A139" s="425">
        <f t="shared" si="4"/>
        <v>128</v>
      </c>
      <c r="B139" s="757" t="s">
        <v>1135</v>
      </c>
      <c r="C139" s="337" t="s">
        <v>1136</v>
      </c>
      <c r="D139" s="425" t="s">
        <v>1137</v>
      </c>
      <c r="E139" s="425" t="s">
        <v>1134</v>
      </c>
      <c r="F139" s="726">
        <v>0</v>
      </c>
      <c r="G139" s="726">
        <v>0</v>
      </c>
      <c r="H139" s="726">
        <v>554.29999999999995</v>
      </c>
      <c r="I139" s="726">
        <v>0</v>
      </c>
      <c r="J139" s="726">
        <v>0</v>
      </c>
      <c r="K139" s="726">
        <v>554.29999999999995</v>
      </c>
      <c r="L139" s="726">
        <v>34.380000000000003</v>
      </c>
      <c r="M139" s="726">
        <v>34.380000000000003</v>
      </c>
      <c r="N139" s="726">
        <v>34.380000000000003</v>
      </c>
    </row>
    <row r="140" spans="1:14" s="337" customFormat="1" ht="12.75">
      <c r="A140" s="425">
        <f t="shared" si="4"/>
        <v>129</v>
      </c>
      <c r="B140" s="757" t="s">
        <v>1138</v>
      </c>
      <c r="C140" s="337" t="s">
        <v>1139</v>
      </c>
      <c r="D140" s="425" t="s">
        <v>1137</v>
      </c>
      <c r="E140" s="425" t="s">
        <v>1134</v>
      </c>
      <c r="F140" s="726">
        <v>0</v>
      </c>
      <c r="G140" s="726">
        <v>0</v>
      </c>
      <c r="H140" s="726">
        <v>0</v>
      </c>
      <c r="I140" s="726">
        <v>0</v>
      </c>
      <c r="J140" s="726">
        <v>0</v>
      </c>
      <c r="K140" s="726">
        <v>0</v>
      </c>
      <c r="L140" s="726">
        <v>0</v>
      </c>
      <c r="M140" s="726">
        <v>0</v>
      </c>
      <c r="N140" s="726">
        <v>0</v>
      </c>
    </row>
    <row r="141" spans="1:14" s="337" customFormat="1" ht="12.75">
      <c r="A141" s="425">
        <f t="shared" si="4"/>
        <v>130</v>
      </c>
      <c r="B141" s="757" t="s">
        <v>1140</v>
      </c>
      <c r="C141" s="337" t="s">
        <v>1141</v>
      </c>
      <c r="D141" s="425" t="s">
        <v>1137</v>
      </c>
      <c r="E141" s="425" t="s">
        <v>1134</v>
      </c>
      <c r="F141" s="726">
        <v>0</v>
      </c>
      <c r="G141" s="726">
        <v>0</v>
      </c>
      <c r="H141" s="726">
        <v>0</v>
      </c>
      <c r="I141" s="726">
        <v>4194.6199999999999</v>
      </c>
      <c r="J141" s="726">
        <v>0</v>
      </c>
      <c r="K141" s="726">
        <v>4194.6199999999999</v>
      </c>
      <c r="L141" s="726">
        <v>1090.5999999999999</v>
      </c>
      <c r="M141" s="726">
        <v>654.36000000000001</v>
      </c>
      <c r="N141" s="726">
        <v>461.82999999999998</v>
      </c>
    </row>
    <row r="142" spans="1:14" s="337" customFormat="1" ht="12.75">
      <c r="A142" s="425">
        <f t="shared" si="29" ref="A142:A205">+A141+1</f>
        <v>131</v>
      </c>
      <c r="B142" s="757" t="s">
        <v>1142</v>
      </c>
      <c r="C142" s="337" t="s">
        <v>1143</v>
      </c>
      <c r="D142" s="425" t="s">
        <v>1137</v>
      </c>
      <c r="E142" s="425" t="s">
        <v>1134</v>
      </c>
      <c r="F142" s="726">
        <v>0</v>
      </c>
      <c r="G142" s="726">
        <v>0</v>
      </c>
      <c r="H142" s="726">
        <v>73604.779999999999</v>
      </c>
      <c r="I142" s="726">
        <v>0</v>
      </c>
      <c r="J142" s="726">
        <v>0</v>
      </c>
      <c r="K142" s="726">
        <v>73604.779999999999</v>
      </c>
      <c r="L142" s="726">
        <v>4026.2199999999998</v>
      </c>
      <c r="M142" s="726">
        <v>3905.0599999999999</v>
      </c>
      <c r="N142" s="726">
        <v>3905.0599999999999</v>
      </c>
    </row>
    <row r="143" spans="1:14" s="337" customFormat="1" ht="12.75">
      <c r="A143" s="425">
        <f t="shared" si="29"/>
        <v>132</v>
      </c>
      <c r="B143" s="757" t="s">
        <v>1144</v>
      </c>
      <c r="C143" s="337" t="s">
        <v>1145</v>
      </c>
      <c r="D143" s="425" t="s">
        <v>1137</v>
      </c>
      <c r="E143" s="425" t="s">
        <v>1134</v>
      </c>
      <c r="F143" s="726">
        <v>0</v>
      </c>
      <c r="G143" s="726">
        <v>0</v>
      </c>
      <c r="H143" s="726">
        <v>0</v>
      </c>
      <c r="I143" s="726">
        <v>0</v>
      </c>
      <c r="J143" s="726">
        <v>0</v>
      </c>
      <c r="K143" s="726">
        <v>0</v>
      </c>
      <c r="L143" s="726">
        <v>0</v>
      </c>
      <c r="M143" s="726">
        <v>0</v>
      </c>
      <c r="N143" s="726">
        <v>0</v>
      </c>
    </row>
    <row r="144" spans="1:14" s="337" customFormat="1" ht="12.75">
      <c r="A144" s="425">
        <f t="shared" si="29"/>
        <v>133</v>
      </c>
      <c r="B144" s="757" t="s">
        <v>1146</v>
      </c>
      <c r="C144" s="337" t="s">
        <v>1147</v>
      </c>
      <c r="D144" s="425" t="s">
        <v>1137</v>
      </c>
      <c r="E144" s="425" t="s">
        <v>1134</v>
      </c>
      <c r="F144" s="726">
        <v>0</v>
      </c>
      <c r="G144" s="726">
        <v>0</v>
      </c>
      <c r="H144" s="726">
        <v>0</v>
      </c>
      <c r="I144" s="726">
        <v>3999.5900000000001</v>
      </c>
      <c r="J144" s="726">
        <v>0</v>
      </c>
      <c r="K144" s="726">
        <v>3999.5900000000001</v>
      </c>
      <c r="L144" s="726">
        <v>1519.8499999999999</v>
      </c>
      <c r="M144" s="726">
        <v>911.90999999999997</v>
      </c>
      <c r="N144" s="726">
        <v>547.13999999999999</v>
      </c>
    </row>
    <row r="145" spans="1:14" s="337" customFormat="1" ht="12.75">
      <c r="A145" s="425">
        <f t="shared" si="29"/>
        <v>134</v>
      </c>
      <c r="B145" s="757" t="s">
        <v>1148</v>
      </c>
      <c r="C145" s="337" t="s">
        <v>1149</v>
      </c>
      <c r="D145" s="425" t="s">
        <v>1150</v>
      </c>
      <c r="E145" s="425" t="s">
        <v>1134</v>
      </c>
      <c r="F145" s="726">
        <v>0</v>
      </c>
      <c r="G145" s="726">
        <v>0</v>
      </c>
      <c r="H145" s="726">
        <v>0</v>
      </c>
      <c r="I145" s="726">
        <v>0</v>
      </c>
      <c r="J145" s="726">
        <v>0</v>
      </c>
      <c r="K145" s="726">
        <v>0</v>
      </c>
      <c r="L145" s="726">
        <v>0</v>
      </c>
      <c r="M145" s="726">
        <v>0</v>
      </c>
      <c r="N145" s="726">
        <v>0</v>
      </c>
    </row>
    <row r="146" spans="1:14" s="337" customFormat="1" ht="12.75">
      <c r="A146" s="425">
        <f t="shared" si="29"/>
        <v>135</v>
      </c>
      <c r="B146" s="757" t="s">
        <v>1151</v>
      </c>
      <c r="C146" s="337" t="s">
        <v>1152</v>
      </c>
      <c r="D146" s="425" t="s">
        <v>1153</v>
      </c>
      <c r="E146" s="425" t="s">
        <v>1134</v>
      </c>
      <c r="F146" s="726">
        <v>0</v>
      </c>
      <c r="G146" s="726">
        <v>0</v>
      </c>
      <c r="H146" s="726">
        <v>684658.64000000001</v>
      </c>
      <c r="I146" s="726">
        <v>0</v>
      </c>
      <c r="J146" s="726">
        <v>0</v>
      </c>
      <c r="K146" s="726">
        <v>684658.64000000001</v>
      </c>
      <c r="L146" s="726">
        <v>44642.07</v>
      </c>
      <c r="M146" s="726">
        <v>42148.07</v>
      </c>
      <c r="N146" s="726">
        <v>40448.779999999999</v>
      </c>
    </row>
    <row r="147" spans="1:14" s="337" customFormat="1" ht="12.75">
      <c r="A147" s="425">
        <f t="shared" si="29"/>
        <v>136</v>
      </c>
      <c r="B147" s="757" t="s">
        <v>1154</v>
      </c>
      <c r="C147" s="337" t="s">
        <v>1155</v>
      </c>
      <c r="D147" s="425" t="s">
        <v>1133</v>
      </c>
      <c r="E147" s="425" t="s">
        <v>1134</v>
      </c>
      <c r="F147" s="726">
        <v>0</v>
      </c>
      <c r="G147" s="726">
        <v>0</v>
      </c>
      <c r="H147" s="726">
        <v>0</v>
      </c>
      <c r="I147" s="726">
        <v>0</v>
      </c>
      <c r="J147" s="726">
        <v>0</v>
      </c>
      <c r="K147" s="726">
        <v>0</v>
      </c>
      <c r="L147" s="726">
        <v>0</v>
      </c>
      <c r="M147" s="726">
        <v>0</v>
      </c>
      <c r="N147" s="726">
        <v>0</v>
      </c>
    </row>
    <row r="148" spans="1:14" s="337" customFormat="1" ht="12.75">
      <c r="A148" s="425">
        <f t="shared" si="29"/>
        <v>137</v>
      </c>
      <c r="B148" s="758" t="s">
        <v>1156</v>
      </c>
      <c r="C148" s="337" t="s">
        <v>1157</v>
      </c>
      <c r="D148" s="425" t="s">
        <v>1158</v>
      </c>
      <c r="E148" s="425" t="s">
        <v>1134</v>
      </c>
      <c r="F148" s="726">
        <v>0</v>
      </c>
      <c r="G148" s="726">
        <v>0</v>
      </c>
      <c r="H148" s="726">
        <v>5237964.3399999999</v>
      </c>
      <c r="I148" s="726">
        <v>-50683.360000000001</v>
      </c>
      <c r="J148" s="726">
        <v>5698.1800000000003</v>
      </c>
      <c r="K148" s="726">
        <v>5192979.1599999992</v>
      </c>
      <c r="L148" s="726">
        <v>232252.19</v>
      </c>
      <c r="M148" s="726">
        <v>220503.59</v>
      </c>
      <c r="N148" s="726">
        <v>225341.98000000001</v>
      </c>
    </row>
    <row r="149" spans="1:14" s="337" customFormat="1" ht="12.75">
      <c r="A149" s="425">
        <f t="shared" si="29"/>
        <v>138</v>
      </c>
      <c r="B149" s="337" t="s">
        <v>1159</v>
      </c>
      <c r="C149" s="337" t="s">
        <v>1160</v>
      </c>
      <c r="D149" s="425" t="s">
        <v>1153</v>
      </c>
      <c r="E149" s="425" t="s">
        <v>1134</v>
      </c>
      <c r="F149" s="726">
        <v>0</v>
      </c>
      <c r="G149" s="726">
        <v>0</v>
      </c>
      <c r="H149" s="726">
        <v>86302216.320000008</v>
      </c>
      <c r="I149" s="726">
        <v>367255.04999999999</v>
      </c>
      <c r="J149" s="726">
        <v>-74473.070000000007</v>
      </c>
      <c r="K149" s="726">
        <v>86594998.300000012</v>
      </c>
      <c r="L149" s="726">
        <v>5671183</v>
      </c>
      <c r="M149" s="726">
        <v>5422343.0300000003</v>
      </c>
      <c r="N149" s="726">
        <v>5235113.3899999997</v>
      </c>
    </row>
    <row r="150" spans="1:14" s="337" customFormat="1" ht="12.75">
      <c r="A150" s="425">
        <f t="shared" si="29"/>
        <v>139</v>
      </c>
      <c r="B150" s="337" t="s">
        <v>1161</v>
      </c>
      <c r="C150" s="337" t="s">
        <v>1162</v>
      </c>
      <c r="D150" s="425" t="s">
        <v>1158</v>
      </c>
      <c r="E150" s="425" t="s">
        <v>1134</v>
      </c>
      <c r="F150" s="726">
        <v>0</v>
      </c>
      <c r="G150" s="726">
        <v>0</v>
      </c>
      <c r="H150" s="726">
        <v>0</v>
      </c>
      <c r="I150" s="726">
        <v>0</v>
      </c>
      <c r="J150" s="726">
        <v>0</v>
      </c>
      <c r="K150" s="726">
        <v>0</v>
      </c>
      <c r="L150" s="726">
        <v>0</v>
      </c>
      <c r="M150" s="726">
        <v>0</v>
      </c>
      <c r="N150" s="726">
        <v>0</v>
      </c>
    </row>
    <row r="151" spans="1:14" s="337" customFormat="1" ht="12.75">
      <c r="A151" s="425">
        <f t="shared" si="29"/>
        <v>140</v>
      </c>
      <c r="B151" s="337" t="s">
        <v>1163</v>
      </c>
      <c r="C151" s="337" t="s">
        <v>1164</v>
      </c>
      <c r="D151" s="425" t="s">
        <v>1150</v>
      </c>
      <c r="E151" s="425" t="s">
        <v>1134</v>
      </c>
      <c r="F151" s="726">
        <v>0</v>
      </c>
      <c r="G151" s="726">
        <v>0</v>
      </c>
      <c r="H151" s="726">
        <v>1269.8199999999999</v>
      </c>
      <c r="I151" s="726">
        <v>0</v>
      </c>
      <c r="J151" s="726">
        <v>0</v>
      </c>
      <c r="K151" s="726">
        <v>1269.8199999999999</v>
      </c>
      <c r="L151" s="726">
        <v>149.75999999999999</v>
      </c>
      <c r="M151" s="726">
        <v>127.29000000000001</v>
      </c>
      <c r="N151" s="726">
        <v>110.98</v>
      </c>
    </row>
    <row r="152" spans="1:14" s="337" customFormat="1" ht="12.75">
      <c r="A152" s="425">
        <f t="shared" si="29"/>
        <v>141</v>
      </c>
      <c r="B152" s="337" t="s">
        <v>1165</v>
      </c>
      <c r="C152" s="337" t="s">
        <v>1166</v>
      </c>
      <c r="D152" s="425" t="s">
        <v>1133</v>
      </c>
      <c r="E152" s="425" t="s">
        <v>1134</v>
      </c>
      <c r="F152" s="726">
        <v>0</v>
      </c>
      <c r="G152" s="726">
        <v>0</v>
      </c>
      <c r="H152" s="726">
        <v>548.22000000000003</v>
      </c>
      <c r="I152" s="726">
        <v>0</v>
      </c>
      <c r="J152" s="726">
        <v>0</v>
      </c>
      <c r="K152" s="726">
        <v>548.22000000000003</v>
      </c>
      <c r="L152" s="726">
        <v>68.5</v>
      </c>
      <c r="M152" s="726">
        <v>48.93</v>
      </c>
      <c r="N152" s="726">
        <v>48.93</v>
      </c>
    </row>
    <row r="153" spans="1:14" s="337" customFormat="1" ht="12.75">
      <c r="A153" s="425">
        <f t="shared" si="29"/>
        <v>142</v>
      </c>
      <c r="B153" s="757" t="s">
        <v>1167</v>
      </c>
      <c r="C153" s="337" t="s">
        <v>1168</v>
      </c>
      <c r="D153" s="425" t="s">
        <v>1137</v>
      </c>
      <c r="E153" s="425" t="s">
        <v>1134</v>
      </c>
      <c r="F153" s="726">
        <v>0</v>
      </c>
      <c r="G153" s="726">
        <v>0</v>
      </c>
      <c r="H153" s="726">
        <v>18907.809999999998</v>
      </c>
      <c r="I153" s="726">
        <v>0</v>
      </c>
      <c r="J153" s="726">
        <v>0</v>
      </c>
      <c r="K153" s="726">
        <v>18907.809999999998</v>
      </c>
      <c r="L153" s="726">
        <v>1020.33</v>
      </c>
      <c r="M153" s="726">
        <v>980.63999999999999</v>
      </c>
      <c r="N153" s="726">
        <v>973.05999999999995</v>
      </c>
    </row>
    <row r="154" spans="1:14" s="337" customFormat="1" ht="12.75">
      <c r="A154" s="425">
        <f t="shared" si="29"/>
        <v>143</v>
      </c>
      <c r="B154" s="337" t="s">
        <v>1169</v>
      </c>
      <c r="C154" s="337" t="s">
        <v>1170</v>
      </c>
      <c r="D154" s="425" t="s">
        <v>1171</v>
      </c>
      <c r="E154" s="425" t="s">
        <v>1172</v>
      </c>
      <c r="F154" s="726">
        <v>0</v>
      </c>
      <c r="G154" s="726">
        <v>0</v>
      </c>
      <c r="H154" s="726">
        <v>0</v>
      </c>
      <c r="I154" s="726">
        <v>0</v>
      </c>
      <c r="J154" s="726">
        <v>0</v>
      </c>
      <c r="K154" s="726">
        <v>0</v>
      </c>
      <c r="L154" s="726">
        <v>0</v>
      </c>
      <c r="M154" s="726">
        <v>0</v>
      </c>
      <c r="N154" s="726">
        <v>0</v>
      </c>
    </row>
    <row r="155" spans="1:14" s="337" customFormat="1" ht="12.75">
      <c r="A155" s="425">
        <f t="shared" si="29"/>
        <v>144</v>
      </c>
      <c r="B155" s="337" t="s">
        <v>1173</v>
      </c>
      <c r="C155" s="337" t="s">
        <v>1174</v>
      </c>
      <c r="D155" s="425" t="s">
        <v>1175</v>
      </c>
      <c r="E155" s="425" t="s">
        <v>1172</v>
      </c>
      <c r="F155" s="726">
        <v>0</v>
      </c>
      <c r="G155" s="726">
        <v>0</v>
      </c>
      <c r="H155" s="726">
        <v>0</v>
      </c>
      <c r="I155" s="726">
        <v>0</v>
      </c>
      <c r="J155" s="726">
        <v>0</v>
      </c>
      <c r="K155" s="726">
        <v>0</v>
      </c>
      <c r="L155" s="726">
        <v>0</v>
      </c>
      <c r="M155" s="726">
        <v>0</v>
      </c>
      <c r="N155" s="726">
        <v>0</v>
      </c>
    </row>
    <row r="156" spans="1:14" s="337" customFormat="1" ht="12.75">
      <c r="A156" s="425">
        <f t="shared" si="29"/>
        <v>145</v>
      </c>
      <c r="B156" s="337" t="s">
        <v>1176</v>
      </c>
      <c r="C156" s="337" t="s">
        <v>1177</v>
      </c>
      <c r="D156" s="425" t="s">
        <v>1178</v>
      </c>
      <c r="E156" s="425" t="s">
        <v>1134</v>
      </c>
      <c r="F156" s="726">
        <v>0</v>
      </c>
      <c r="G156" s="726">
        <v>0</v>
      </c>
      <c r="H156" s="726">
        <v>0</v>
      </c>
      <c r="I156" s="726">
        <v>0</v>
      </c>
      <c r="J156" s="726">
        <v>0</v>
      </c>
      <c r="K156" s="726">
        <v>0</v>
      </c>
      <c r="L156" s="726">
        <v>0</v>
      </c>
      <c r="M156" s="726">
        <v>0</v>
      </c>
      <c r="N156" s="726">
        <v>0</v>
      </c>
    </row>
    <row r="157" spans="1:14" s="337" customFormat="1" ht="12.75">
      <c r="A157" s="425">
        <f t="shared" si="29"/>
        <v>146</v>
      </c>
      <c r="B157" s="337" t="s">
        <v>1179</v>
      </c>
      <c r="C157" s="337" t="s">
        <v>1180</v>
      </c>
      <c r="D157" s="425" t="s">
        <v>1181</v>
      </c>
      <c r="E157" s="425" t="s">
        <v>1134</v>
      </c>
      <c r="F157" s="726">
        <v>0</v>
      </c>
      <c r="G157" s="726">
        <v>0</v>
      </c>
      <c r="H157" s="726">
        <v>7560323.5300000003</v>
      </c>
      <c r="I157" s="726">
        <v>0</v>
      </c>
      <c r="J157" s="726">
        <v>434756.71999999997</v>
      </c>
      <c r="K157" s="726">
        <v>7995080.25</v>
      </c>
      <c r="L157" s="726">
        <v>115920.44</v>
      </c>
      <c r="M157" s="726">
        <v>130432.12</v>
      </c>
      <c r="N157" s="726">
        <v>127923.06</v>
      </c>
    </row>
    <row r="158" spans="1:14" s="337" customFormat="1" ht="12.75">
      <c r="A158" s="425">
        <f t="shared" si="29"/>
        <v>147</v>
      </c>
      <c r="B158" s="337" t="s">
        <v>1182</v>
      </c>
      <c r="C158" s="337" t="s">
        <v>1183</v>
      </c>
      <c r="D158" s="425" t="s">
        <v>1184</v>
      </c>
      <c r="E158" s="425"/>
      <c r="F158" s="726">
        <v>0</v>
      </c>
      <c r="G158" s="726">
        <v>0</v>
      </c>
      <c r="H158" s="726">
        <v>3896290.5499999998</v>
      </c>
      <c r="I158" s="726">
        <v>0</v>
      </c>
      <c r="J158" s="726">
        <v>-434756.71999999997</v>
      </c>
      <c r="K158" s="726">
        <v>3461533.8300000001</v>
      </c>
      <c r="L158" s="726">
        <v>0</v>
      </c>
      <c r="M158" s="726">
        <v>0</v>
      </c>
      <c r="N158" s="726">
        <v>0</v>
      </c>
    </row>
    <row r="159" spans="1:14" s="337" customFormat="1" ht="12.75">
      <c r="A159" s="425">
        <f t="shared" si="29"/>
        <v>148</v>
      </c>
      <c r="B159" s="337" t="s">
        <v>1185</v>
      </c>
      <c r="C159" s="337" t="s">
        <v>1186</v>
      </c>
      <c r="D159" s="425" t="s">
        <v>1175</v>
      </c>
      <c r="E159" s="425" t="s">
        <v>1172</v>
      </c>
      <c r="F159" s="726">
        <v>0</v>
      </c>
      <c r="G159" s="726">
        <v>0</v>
      </c>
      <c r="H159" s="726">
        <v>10053578.52</v>
      </c>
      <c r="I159" s="726">
        <v>86633.529999999999</v>
      </c>
      <c r="J159" s="726">
        <v>-16252.690000000001</v>
      </c>
      <c r="K159" s="726">
        <v>10123959.359999999</v>
      </c>
      <c r="L159" s="726">
        <v>251533.70000000001</v>
      </c>
      <c r="M159" s="726">
        <v>247403.51000000001</v>
      </c>
      <c r="N159" s="726">
        <v>246187.51999999999</v>
      </c>
    </row>
    <row r="160" spans="1:15" s="337" customFormat="1" ht="12.75">
      <c r="A160" s="425">
        <f t="shared" si="29"/>
        <v>149</v>
      </c>
      <c r="B160" s="759" t="s">
        <v>1191</v>
      </c>
      <c r="D160" s="425"/>
      <c r="E160" s="425"/>
      <c r="F160" s="760">
        <f>SUM(F138:F159)</f>
        <v>0</v>
      </c>
      <c r="G160" s="760">
        <f t="shared" si="30" ref="G160">SUM(G138:G159)</f>
        <v>0</v>
      </c>
      <c r="H160" s="760">
        <f t="shared" si="31" ref="H160">SUM(H138:H159)</f>
        <v>114048079.53</v>
      </c>
      <c r="I160" s="760">
        <f t="shared" si="32" ref="I160">SUM(I138:I159)</f>
        <v>413176.56999999995</v>
      </c>
      <c r="J160" s="760">
        <f t="shared" si="33" ref="J160">SUM(J138:J159)</f>
        <v>-85027.580000000016</v>
      </c>
      <c r="K160" s="760">
        <f t="shared" si="34" ref="K160">SUM(K138:K159)</f>
        <v>114376228.52000001</v>
      </c>
      <c r="L160" s="760">
        <f t="shared" si="35" ref="L160">SUM(L138:L159)</f>
        <v>6340693.29</v>
      </c>
      <c r="M160" s="760">
        <f t="shared" si="36" ref="M160">SUM(M138:M159)</f>
        <v>6076864.2699999996</v>
      </c>
      <c r="N160" s="760">
        <f t="shared" si="37" ref="N160">SUM(N138:N159)</f>
        <v>5887522.9199999981</v>
      </c>
      <c r="O160" s="760">
        <v>10573283.98</v>
      </c>
    </row>
    <row r="161" spans="1:5" s="337" customFormat="1" ht="12.75">
      <c r="A161" s="425">
        <f t="shared" si="29"/>
        <v>150</v>
      </c>
      <c r="D161" s="425"/>
      <c r="E161" s="425"/>
    </row>
    <row r="162" spans="1:15" s="337" customFormat="1" ht="12.75">
      <c r="A162" s="425">
        <f t="shared" si="29"/>
        <v>151</v>
      </c>
      <c r="B162" s="646" t="s">
        <v>203</v>
      </c>
      <c r="C162" s="645"/>
      <c r="D162" s="645"/>
      <c r="E162" s="647">
        <f>+'[5]II-F Alloc_Factor'!$L$40</f>
        <v>0.017121804789038905</v>
      </c>
      <c r="F162" s="414"/>
      <c r="G162" s="414"/>
      <c r="H162" s="414"/>
      <c r="I162" s="414"/>
      <c r="J162" s="414"/>
      <c r="K162" s="414"/>
      <c r="L162" s="414"/>
      <c r="M162" s="414"/>
      <c r="N162" s="414"/>
      <c r="O162" s="414"/>
    </row>
    <row r="163" spans="1:14" s="337" customFormat="1" ht="12.75">
      <c r="A163" s="425">
        <f t="shared" si="29"/>
        <v>152</v>
      </c>
      <c r="B163" s="757" t="s">
        <v>1131</v>
      </c>
      <c r="C163" s="337" t="s">
        <v>1132</v>
      </c>
      <c r="D163" s="425" t="s">
        <v>1133</v>
      </c>
      <c r="E163" s="425" t="s">
        <v>1134</v>
      </c>
      <c r="F163" s="726">
        <v>17079.759999999998</v>
      </c>
      <c r="G163" s="726">
        <v>21516.77</v>
      </c>
      <c r="H163" s="726">
        <v>44862.879999999997</v>
      </c>
      <c r="I163" s="726">
        <v>193667.48000000001</v>
      </c>
      <c r="J163" s="726">
        <v>85154.559999999998</v>
      </c>
      <c r="K163" s="726">
        <v>362281.45000000001</v>
      </c>
      <c r="L163" s="726">
        <v>76988.660000000003</v>
      </c>
      <c r="M163" s="726">
        <v>67417.080000000002</v>
      </c>
      <c r="N163" s="726">
        <v>49127</v>
      </c>
    </row>
    <row r="164" spans="1:14" s="337" customFormat="1" ht="12.75">
      <c r="A164" s="425">
        <f t="shared" si="29"/>
        <v>153</v>
      </c>
      <c r="B164" s="757" t="s">
        <v>1135</v>
      </c>
      <c r="C164" s="337" t="s">
        <v>1136</v>
      </c>
      <c r="D164" s="425" t="s">
        <v>1137</v>
      </c>
      <c r="E164" s="425" t="s">
        <v>1134</v>
      </c>
      <c r="F164" s="726">
        <v>210432.95000000001</v>
      </c>
      <c r="G164" s="726">
        <v>96839.169999999998</v>
      </c>
      <c r="H164" s="726">
        <v>181527.28</v>
      </c>
      <c r="I164" s="726">
        <v>1056742.6200000001</v>
      </c>
      <c r="J164" s="726">
        <v>259182.70999999999</v>
      </c>
      <c r="K164" s="726">
        <v>1804724.73</v>
      </c>
      <c r="L164" s="726">
        <v>519047.59999999998</v>
      </c>
      <c r="M164" s="726">
        <v>379219.63</v>
      </c>
      <c r="N164" s="726">
        <v>219859.95000000001</v>
      </c>
    </row>
    <row r="165" spans="1:14" s="337" customFormat="1" ht="12.75">
      <c r="A165" s="425">
        <f t="shared" si="29"/>
        <v>154</v>
      </c>
      <c r="B165" s="757" t="s">
        <v>1138</v>
      </c>
      <c r="C165" s="337" t="s">
        <v>1139</v>
      </c>
      <c r="D165" s="425" t="s">
        <v>1137</v>
      </c>
      <c r="E165" s="425" t="s">
        <v>1134</v>
      </c>
      <c r="F165" s="726">
        <v>0</v>
      </c>
      <c r="G165" s="726">
        <v>44819.169999999998</v>
      </c>
      <c r="H165" s="726">
        <v>28421.77</v>
      </c>
      <c r="I165" s="726">
        <v>0</v>
      </c>
      <c r="J165" s="726">
        <v>0</v>
      </c>
      <c r="K165" s="726">
        <v>73240.940000000002</v>
      </c>
      <c r="L165" s="726">
        <v>10620.15</v>
      </c>
      <c r="M165" s="726">
        <v>8437.3600000000006</v>
      </c>
      <c r="N165" s="726">
        <v>5855.7700000000004</v>
      </c>
    </row>
    <row r="166" spans="1:14" s="337" customFormat="1" ht="12.75">
      <c r="A166" s="425">
        <f t="shared" si="29"/>
        <v>155</v>
      </c>
      <c r="B166" s="757" t="s">
        <v>1140</v>
      </c>
      <c r="C166" s="337" t="s">
        <v>1141</v>
      </c>
      <c r="D166" s="425" t="s">
        <v>1137</v>
      </c>
      <c r="E166" s="425" t="s">
        <v>1134</v>
      </c>
      <c r="F166" s="726">
        <v>10900.91</v>
      </c>
      <c r="G166" s="726">
        <v>5629.5600000000004</v>
      </c>
      <c r="H166" s="726">
        <v>9470.2900000000009</v>
      </c>
      <c r="I166" s="726">
        <v>35489.07</v>
      </c>
      <c r="J166" s="726">
        <v>17170.790000000001</v>
      </c>
      <c r="K166" s="726">
        <v>78660.619999999995</v>
      </c>
      <c r="L166" s="726">
        <v>20274.52</v>
      </c>
      <c r="M166" s="726">
        <v>16095.75</v>
      </c>
      <c r="N166" s="726">
        <v>9477.25</v>
      </c>
    </row>
    <row r="167" spans="1:14" s="337" customFormat="1" ht="12.75">
      <c r="A167" s="425">
        <f t="shared" si="29"/>
        <v>156</v>
      </c>
      <c r="B167" s="757" t="s">
        <v>1142</v>
      </c>
      <c r="C167" s="337" t="s">
        <v>1143</v>
      </c>
      <c r="D167" s="425" t="s">
        <v>1137</v>
      </c>
      <c r="E167" s="425" t="s">
        <v>1134</v>
      </c>
      <c r="F167" s="726">
        <v>37611.190000000002</v>
      </c>
      <c r="G167" s="726">
        <v>5309.4499999999998</v>
      </c>
      <c r="H167" s="726">
        <v>0</v>
      </c>
      <c r="I167" s="726">
        <v>20.399999999999999</v>
      </c>
      <c r="J167" s="726">
        <v>0</v>
      </c>
      <c r="K167" s="726">
        <v>42941.040000000001</v>
      </c>
      <c r="L167" s="726">
        <v>4528.25</v>
      </c>
      <c r="M167" s="726">
        <v>3938.1100000000001</v>
      </c>
      <c r="N167" s="726">
        <v>308.13999999999999</v>
      </c>
    </row>
    <row r="168" spans="1:14" s="337" customFormat="1" ht="12.75">
      <c r="A168" s="425">
        <f t="shared" si="29"/>
        <v>157</v>
      </c>
      <c r="B168" s="757" t="s">
        <v>1144</v>
      </c>
      <c r="C168" s="337" t="s">
        <v>1145</v>
      </c>
      <c r="D168" s="425" t="s">
        <v>1137</v>
      </c>
      <c r="E168" s="425" t="s">
        <v>1134</v>
      </c>
      <c r="F168" s="726">
        <v>11611.790000000001</v>
      </c>
      <c r="G168" s="726">
        <v>6256.8000000000002</v>
      </c>
      <c r="H168" s="726">
        <v>0</v>
      </c>
      <c r="I168" s="726">
        <v>5619.7799999999997</v>
      </c>
      <c r="J168" s="726">
        <v>1544.9300000000001</v>
      </c>
      <c r="K168" s="726">
        <v>25033.299999999999</v>
      </c>
      <c r="L168" s="726">
        <v>4087.4000000000001</v>
      </c>
      <c r="M168" s="726">
        <v>3322.9099999999999</v>
      </c>
      <c r="N168" s="726">
        <v>1316.97</v>
      </c>
    </row>
    <row r="169" spans="1:14" s="337" customFormat="1" ht="12.75">
      <c r="A169" s="425">
        <f t="shared" si="29"/>
        <v>158</v>
      </c>
      <c r="B169" s="757" t="s">
        <v>1146</v>
      </c>
      <c r="C169" s="337" t="s">
        <v>1147</v>
      </c>
      <c r="D169" s="425" t="s">
        <v>1137</v>
      </c>
      <c r="E169" s="425" t="s">
        <v>1134</v>
      </c>
      <c r="F169" s="726">
        <v>11021.719999999999</v>
      </c>
      <c r="G169" s="726">
        <v>24469.369999999999</v>
      </c>
      <c r="H169" s="726">
        <v>10534.219999999999</v>
      </c>
      <c r="I169" s="726">
        <v>12657.25</v>
      </c>
      <c r="J169" s="726">
        <v>3113.4699999999998</v>
      </c>
      <c r="K169" s="726">
        <v>61796.029999999999</v>
      </c>
      <c r="L169" s="726">
        <v>10419.629999999999</v>
      </c>
      <c r="M169" s="726">
        <v>8313.4400000000005</v>
      </c>
      <c r="N169" s="726">
        <v>4707.1499999999996</v>
      </c>
    </row>
    <row r="170" spans="1:14" s="337" customFormat="1" ht="12.75">
      <c r="A170" s="425">
        <f t="shared" si="29"/>
        <v>159</v>
      </c>
      <c r="B170" s="757" t="s">
        <v>1148</v>
      </c>
      <c r="C170" s="337" t="s">
        <v>1149</v>
      </c>
      <c r="D170" s="425" t="s">
        <v>1150</v>
      </c>
      <c r="E170" s="425" t="s">
        <v>1134</v>
      </c>
      <c r="F170" s="726">
        <v>0</v>
      </c>
      <c r="G170" s="726">
        <v>0</v>
      </c>
      <c r="H170" s="726">
        <v>526.00999999999999</v>
      </c>
      <c r="I170" s="726">
        <v>342.81</v>
      </c>
      <c r="J170" s="726">
        <v>0</v>
      </c>
      <c r="K170" s="726">
        <v>868.81999999999994</v>
      </c>
      <c r="L170" s="726">
        <v>178.59</v>
      </c>
      <c r="M170" s="726">
        <v>122.3</v>
      </c>
      <c r="N170" s="726">
        <v>87.450000000000003</v>
      </c>
    </row>
    <row r="171" spans="1:14" s="337" customFormat="1" ht="12.75">
      <c r="A171" s="425">
        <f t="shared" si="29"/>
        <v>160</v>
      </c>
      <c r="B171" s="757" t="s">
        <v>1151</v>
      </c>
      <c r="C171" s="337" t="s">
        <v>1152</v>
      </c>
      <c r="D171" s="425" t="s">
        <v>1153</v>
      </c>
      <c r="E171" s="425" t="s">
        <v>1134</v>
      </c>
      <c r="F171" s="726">
        <v>85429.190000000002</v>
      </c>
      <c r="G171" s="726">
        <v>336292.29999999999</v>
      </c>
      <c r="H171" s="726">
        <v>203941.89000000001</v>
      </c>
      <c r="I171" s="726">
        <v>523505.69</v>
      </c>
      <c r="J171" s="726">
        <v>799623.64000000001</v>
      </c>
      <c r="K171" s="726">
        <v>1948792.71</v>
      </c>
      <c r="L171" s="726">
        <v>139630.45000000001</v>
      </c>
      <c r="M171" s="726">
        <v>165977.79000000001</v>
      </c>
      <c r="N171" s="726">
        <v>148992.97</v>
      </c>
    </row>
    <row r="172" spans="1:14" s="337" customFormat="1" ht="12.75">
      <c r="A172" s="425">
        <f t="shared" si="29"/>
        <v>161</v>
      </c>
      <c r="B172" s="757" t="s">
        <v>1154</v>
      </c>
      <c r="C172" s="337" t="s">
        <v>1155</v>
      </c>
      <c r="D172" s="425" t="s">
        <v>1133</v>
      </c>
      <c r="E172" s="425" t="s">
        <v>1134</v>
      </c>
      <c r="F172" s="726">
        <v>0</v>
      </c>
      <c r="G172" s="726">
        <v>0</v>
      </c>
      <c r="H172" s="726">
        <v>0</v>
      </c>
      <c r="I172" s="726">
        <v>-30.98</v>
      </c>
      <c r="J172" s="726">
        <v>0</v>
      </c>
      <c r="K172" s="726">
        <v>-30.98</v>
      </c>
      <c r="L172" s="726">
        <v>-8.5399999999999991</v>
      </c>
      <c r="M172" s="726">
        <v>-6.0999999999999996</v>
      </c>
      <c r="N172" s="726">
        <v>-4.3499999999999996</v>
      </c>
    </row>
    <row r="173" spans="1:14" s="337" customFormat="1" ht="12.75">
      <c r="A173" s="425">
        <f t="shared" si="29"/>
        <v>162</v>
      </c>
      <c r="B173" s="758" t="s">
        <v>1156</v>
      </c>
      <c r="C173" s="337" t="s">
        <v>1157</v>
      </c>
      <c r="D173" s="425" t="s">
        <v>1158</v>
      </c>
      <c r="E173" s="425" t="s">
        <v>1134</v>
      </c>
      <c r="F173" s="726">
        <v>4277299.25</v>
      </c>
      <c r="G173" s="726">
        <v>8462441.8699999992</v>
      </c>
      <c r="H173" s="726">
        <v>10478381.050000001</v>
      </c>
      <c r="I173" s="726">
        <v>13254639.82</v>
      </c>
      <c r="J173" s="726">
        <v>13883732.58</v>
      </c>
      <c r="K173" s="726">
        <v>50356494.57</v>
      </c>
      <c r="L173" s="726">
        <v>2920922.7200000002</v>
      </c>
      <c r="M173" s="726">
        <v>3216395.3999999999</v>
      </c>
      <c r="N173" s="726">
        <v>2975053.6800000002</v>
      </c>
    </row>
    <row r="174" spans="1:14" s="337" customFormat="1" ht="12.75">
      <c r="A174" s="425">
        <f t="shared" si="29"/>
        <v>163</v>
      </c>
      <c r="B174" s="337" t="s">
        <v>1159</v>
      </c>
      <c r="C174" s="337" t="s">
        <v>1160</v>
      </c>
      <c r="D174" s="425" t="s">
        <v>1153</v>
      </c>
      <c r="E174" s="425" t="s">
        <v>1134</v>
      </c>
      <c r="F174" s="726">
        <v>5326091.9900000002</v>
      </c>
      <c r="G174" s="726">
        <v>10821837.710000001</v>
      </c>
      <c r="H174" s="726">
        <v>14684930.18</v>
      </c>
      <c r="I174" s="726">
        <v>18142131.620000001</v>
      </c>
      <c r="J174" s="726">
        <v>17874058.09</v>
      </c>
      <c r="K174" s="726">
        <v>66849049.590000004</v>
      </c>
      <c r="L174" s="726">
        <v>5082037.9100000001</v>
      </c>
      <c r="M174" s="726">
        <v>5478473.21</v>
      </c>
      <c r="N174" s="726">
        <v>4933237.0499999998</v>
      </c>
    </row>
    <row r="175" spans="1:14" s="337" customFormat="1" ht="12.75">
      <c r="A175" s="425">
        <f t="shared" si="29"/>
        <v>164</v>
      </c>
      <c r="B175" s="337" t="s">
        <v>1161</v>
      </c>
      <c r="C175" s="337" t="s">
        <v>1162</v>
      </c>
      <c r="D175" s="425" t="s">
        <v>1158</v>
      </c>
      <c r="E175" s="425" t="s">
        <v>1134</v>
      </c>
      <c r="F175" s="726">
        <v>48298.18</v>
      </c>
      <c r="G175" s="726">
        <v>37011.330000000002</v>
      </c>
      <c r="H175" s="726">
        <v>176454.22</v>
      </c>
      <c r="I175" s="726">
        <v>197575.17999999999</v>
      </c>
      <c r="J175" s="726">
        <v>177267.29999999999</v>
      </c>
      <c r="K175" s="726">
        <v>636606.20999999996</v>
      </c>
      <c r="L175" s="726">
        <v>49392.480000000003</v>
      </c>
      <c r="M175" s="726">
        <v>51053.68</v>
      </c>
      <c r="N175" s="726">
        <v>43944.599999999999</v>
      </c>
    </row>
    <row r="176" spans="1:14" s="337" customFormat="1" ht="12.75">
      <c r="A176" s="425">
        <f t="shared" si="29"/>
        <v>165</v>
      </c>
      <c r="B176" s="337" t="s">
        <v>1163</v>
      </c>
      <c r="C176" s="337" t="s">
        <v>1164</v>
      </c>
      <c r="D176" s="425" t="s">
        <v>1150</v>
      </c>
      <c r="E176" s="425" t="s">
        <v>1134</v>
      </c>
      <c r="F176" s="726">
        <v>400909.64000000001</v>
      </c>
      <c r="G176" s="726">
        <v>1045912.5500000001</v>
      </c>
      <c r="H176" s="726">
        <v>1275894.52</v>
      </c>
      <c r="I176" s="726">
        <v>1376049.52</v>
      </c>
      <c r="J176" s="726">
        <v>1441000.72</v>
      </c>
      <c r="K176" s="726">
        <v>5539766.9500000002</v>
      </c>
      <c r="L176" s="726">
        <v>475429.82000000001</v>
      </c>
      <c r="M176" s="726">
        <v>509497.21000000002</v>
      </c>
      <c r="N176" s="726">
        <v>455720.92999999999</v>
      </c>
    </row>
    <row r="177" spans="1:14" s="337" customFormat="1" ht="12.75">
      <c r="A177" s="425">
        <f t="shared" si="29"/>
        <v>166</v>
      </c>
      <c r="B177" s="337" t="s">
        <v>1165</v>
      </c>
      <c r="C177" s="337" t="s">
        <v>1166</v>
      </c>
      <c r="D177" s="425" t="s">
        <v>1133</v>
      </c>
      <c r="E177" s="425" t="s">
        <v>1134</v>
      </c>
      <c r="F177" s="726">
        <v>182454.26999999999</v>
      </c>
      <c r="G177" s="726">
        <v>314441.60999999999</v>
      </c>
      <c r="H177" s="726">
        <v>403999.67999999999</v>
      </c>
      <c r="I177" s="726">
        <v>424990</v>
      </c>
      <c r="J177" s="726">
        <v>411433.54999999999</v>
      </c>
      <c r="K177" s="726">
        <v>1737319.1100000001</v>
      </c>
      <c r="L177" s="726">
        <v>107341.51</v>
      </c>
      <c r="M177" s="726">
        <v>113616.42</v>
      </c>
      <c r="N177" s="726">
        <v>106015.31</v>
      </c>
    </row>
    <row r="178" spans="1:14" s="337" customFormat="1" ht="12.75">
      <c r="A178" s="425">
        <f t="shared" si="29"/>
        <v>167</v>
      </c>
      <c r="B178" s="757" t="s">
        <v>1167</v>
      </c>
      <c r="C178" s="337" t="s">
        <v>1168</v>
      </c>
      <c r="D178" s="425" t="s">
        <v>1137</v>
      </c>
      <c r="E178" s="425" t="s">
        <v>1134</v>
      </c>
      <c r="F178" s="726">
        <v>68134.710000000006</v>
      </c>
      <c r="G178" s="726">
        <v>107284.91</v>
      </c>
      <c r="H178" s="726">
        <v>83422.910000000003</v>
      </c>
      <c r="I178" s="726">
        <v>239124.60000000001</v>
      </c>
      <c r="J178" s="726">
        <v>159964.07999999999</v>
      </c>
      <c r="K178" s="726">
        <v>657931.20999999996</v>
      </c>
      <c r="L178" s="726">
        <v>154151.14999999999</v>
      </c>
      <c r="M178" s="726">
        <v>131387.26000000001</v>
      </c>
      <c r="N178" s="726">
        <v>77836.399999999994</v>
      </c>
    </row>
    <row r="179" spans="1:14" s="337" customFormat="1" ht="12.75">
      <c r="A179" s="425">
        <f t="shared" si="29"/>
        <v>168</v>
      </c>
      <c r="B179" s="337" t="s">
        <v>1169</v>
      </c>
      <c r="C179" s="337" t="s">
        <v>1170</v>
      </c>
      <c r="D179" s="425" t="s">
        <v>1171</v>
      </c>
      <c r="E179" s="425" t="s">
        <v>1172</v>
      </c>
      <c r="F179" s="726">
        <v>272236.70000000001</v>
      </c>
      <c r="G179" s="726">
        <v>0</v>
      </c>
      <c r="H179" s="726">
        <v>0</v>
      </c>
      <c r="I179" s="726">
        <v>0</v>
      </c>
      <c r="J179" s="726">
        <v>0</v>
      </c>
      <c r="K179" s="726">
        <v>272236.70000000001</v>
      </c>
      <c r="L179" s="726">
        <v>18147.299999999999</v>
      </c>
      <c r="M179" s="726">
        <v>18150.02</v>
      </c>
      <c r="N179" s="726">
        <v>18150.02</v>
      </c>
    </row>
    <row r="180" spans="1:14" s="337" customFormat="1" ht="12.75">
      <c r="A180" s="425">
        <f t="shared" si="29"/>
        <v>169</v>
      </c>
      <c r="B180" s="337" t="s">
        <v>1173</v>
      </c>
      <c r="C180" s="337" t="s">
        <v>1174</v>
      </c>
      <c r="D180" s="425" t="s">
        <v>1175</v>
      </c>
      <c r="E180" s="425" t="s">
        <v>1172</v>
      </c>
      <c r="F180" s="726">
        <v>732.37</v>
      </c>
      <c r="G180" s="726">
        <v>170.81</v>
      </c>
      <c r="H180" s="726">
        <v>0</v>
      </c>
      <c r="I180" s="726">
        <v>439800.81</v>
      </c>
      <c r="J180" s="726">
        <v>2623.29</v>
      </c>
      <c r="K180" s="726">
        <v>443327.27999999997</v>
      </c>
      <c r="L180" s="726">
        <v>11349.959999999999</v>
      </c>
      <c r="M180" s="726">
        <v>11366.91</v>
      </c>
      <c r="N180" s="726">
        <v>11366.92</v>
      </c>
    </row>
    <row r="181" spans="1:14" s="337" customFormat="1" ht="12.75">
      <c r="A181" s="425">
        <f t="shared" si="29"/>
        <v>170</v>
      </c>
      <c r="B181" s="337" t="s">
        <v>1176</v>
      </c>
      <c r="C181" s="337" t="s">
        <v>1177</v>
      </c>
      <c r="D181" s="425" t="s">
        <v>1178</v>
      </c>
      <c r="E181" s="425" t="s">
        <v>1134</v>
      </c>
      <c r="F181" s="726">
        <v>21068.490000000002</v>
      </c>
      <c r="G181" s="726">
        <v>35464.120000000003</v>
      </c>
      <c r="H181" s="726">
        <v>104959.7</v>
      </c>
      <c r="I181" s="726">
        <v>-1885.48</v>
      </c>
      <c r="J181" s="726">
        <v>142559.39000000001</v>
      </c>
      <c r="K181" s="726">
        <v>302166.21999999997</v>
      </c>
      <c r="L181" s="726">
        <v>5926.8500000000004</v>
      </c>
      <c r="M181" s="726">
        <v>7941.3400000000001</v>
      </c>
      <c r="N181" s="726">
        <v>7790.2299999999996</v>
      </c>
    </row>
    <row r="182" spans="1:14" s="337" customFormat="1" ht="12.75">
      <c r="A182" s="425">
        <f t="shared" si="29"/>
        <v>171</v>
      </c>
      <c r="B182" s="337" t="s">
        <v>1179</v>
      </c>
      <c r="C182" s="337" t="s">
        <v>1180</v>
      </c>
      <c r="D182" s="425" t="s">
        <v>1181</v>
      </c>
      <c r="E182" s="425" t="s">
        <v>1134</v>
      </c>
      <c r="F182" s="726">
        <v>182675.97</v>
      </c>
      <c r="G182" s="726">
        <v>64803.480000000003</v>
      </c>
      <c r="H182" s="726">
        <v>300691.51000000001</v>
      </c>
      <c r="I182" s="726">
        <v>800310.38</v>
      </c>
      <c r="J182" s="726">
        <v>265312.10999999999</v>
      </c>
      <c r="K182" s="726">
        <v>1613793.4499999997</v>
      </c>
      <c r="L182" s="726">
        <v>123548.60000000001</v>
      </c>
      <c r="M182" s="726">
        <v>124870.26</v>
      </c>
      <c r="N182" s="726">
        <v>112618.78999999999</v>
      </c>
    </row>
    <row r="183" spans="1:14" s="337" customFormat="1" ht="12.75">
      <c r="A183" s="425">
        <f t="shared" si="29"/>
        <v>172</v>
      </c>
      <c r="B183" s="337" t="s">
        <v>1182</v>
      </c>
      <c r="C183" s="337" t="s">
        <v>1183</v>
      </c>
      <c r="D183" s="425" t="s">
        <v>1184</v>
      </c>
      <c r="E183" s="425"/>
      <c r="F183" s="726">
        <v>137352.76999999999</v>
      </c>
      <c r="G183" s="726">
        <v>488791.03999999998</v>
      </c>
      <c r="H183" s="726">
        <v>52108.970000000001</v>
      </c>
      <c r="I183" s="726">
        <v>264095.64000000001</v>
      </c>
      <c r="J183" s="726">
        <v>577525.60999999999</v>
      </c>
      <c r="K183" s="726">
        <v>1519874.0299999998</v>
      </c>
      <c r="L183" s="726">
        <v>0</v>
      </c>
      <c r="M183" s="726">
        <v>0</v>
      </c>
      <c r="N183" s="726">
        <v>0</v>
      </c>
    </row>
    <row r="184" spans="1:14" s="337" customFormat="1" ht="12.75">
      <c r="A184" s="425">
        <f t="shared" si="29"/>
        <v>173</v>
      </c>
      <c r="B184" s="337" t="s">
        <v>1185</v>
      </c>
      <c r="C184" s="337" t="s">
        <v>1186</v>
      </c>
      <c r="D184" s="425" t="s">
        <v>1175</v>
      </c>
      <c r="E184" s="425" t="s">
        <v>1172</v>
      </c>
      <c r="F184" s="726">
        <v>370837.97999999998</v>
      </c>
      <c r="G184" s="726">
        <v>533882.45999999996</v>
      </c>
      <c r="H184" s="726">
        <v>497391.53000000003</v>
      </c>
      <c r="I184" s="726">
        <v>685519.85999999999</v>
      </c>
      <c r="J184" s="726">
        <v>946007.43999999994</v>
      </c>
      <c r="K184" s="726">
        <v>3033639.27</v>
      </c>
      <c r="L184" s="726">
        <v>61612.919999999998</v>
      </c>
      <c r="M184" s="726">
        <v>77716.649999999994</v>
      </c>
      <c r="N184" s="726">
        <v>77717.910000000003</v>
      </c>
    </row>
    <row r="185" spans="1:15" s="337" customFormat="1" ht="12.75">
      <c r="A185" s="425">
        <f t="shared" si="29"/>
        <v>174</v>
      </c>
      <c r="B185" s="759" t="s">
        <v>1192</v>
      </c>
      <c r="D185" s="425"/>
      <c r="E185" s="425"/>
      <c r="F185" s="760">
        <f>SUM(F163:F184)</f>
        <v>11672179.83</v>
      </c>
      <c r="G185" s="760">
        <f t="shared" si="38" ref="G185">SUM(G163:G184)</f>
        <v>22453174.48</v>
      </c>
      <c r="H185" s="760">
        <f t="shared" si="39" ref="H185">SUM(H163:H184)</f>
        <v>28537518.609999999</v>
      </c>
      <c r="I185" s="760">
        <f t="shared" si="40" ref="I185">SUM(I163:I184)</f>
        <v>37650366.070000015</v>
      </c>
      <c r="J185" s="760">
        <f t="shared" si="41" ref="J185">SUM(J163:J184)</f>
        <v>37047274.25999999</v>
      </c>
      <c r="K185" s="760">
        <f t="shared" si="42" ref="K185">SUM(K163:K184)</f>
        <v>137360513.25</v>
      </c>
      <c r="L185" s="760">
        <f t="shared" si="43" ref="L185">SUM(L163:L184)</f>
        <v>9795627.9300000016</v>
      </c>
      <c r="M185" s="760">
        <f t="shared" si="44" ref="M185">SUM(M163:M184)</f>
        <v>10393306.629999999</v>
      </c>
      <c r="N185" s="760">
        <f t="shared" si="45" ref="N185">SUM(N163:N184)</f>
        <v>9259180.1400000006</v>
      </c>
      <c r="O185" s="760">
        <v>10378734.800000001</v>
      </c>
    </row>
    <row r="186" spans="1:5" s="337" customFormat="1" ht="12.75">
      <c r="A186" s="425">
        <f t="shared" si="29"/>
        <v>175</v>
      </c>
      <c r="D186" s="425"/>
      <c r="E186" s="425"/>
    </row>
    <row r="187" spans="1:15" s="337" customFormat="1" ht="12.75">
      <c r="A187" s="425">
        <f t="shared" si="29"/>
        <v>176</v>
      </c>
      <c r="B187" s="646" t="s">
        <v>291</v>
      </c>
      <c r="C187" s="645"/>
      <c r="D187" s="645"/>
      <c r="E187" s="647">
        <f>+'[5]II-F Alloc_Factor'!$M$40</f>
        <v>0.014600606808628383</v>
      </c>
      <c r="F187" s="414"/>
      <c r="G187" s="414"/>
      <c r="H187" s="414"/>
      <c r="I187" s="414"/>
      <c r="J187" s="414"/>
      <c r="K187" s="414"/>
      <c r="L187" s="414"/>
      <c r="M187" s="414"/>
      <c r="N187" s="414"/>
      <c r="O187" s="414"/>
    </row>
    <row r="188" spans="1:14" s="337" customFormat="1" ht="12.75">
      <c r="A188" s="425">
        <f t="shared" si="29"/>
        <v>177</v>
      </c>
      <c r="B188" s="757" t="s">
        <v>1131</v>
      </c>
      <c r="C188" s="337" t="s">
        <v>1132</v>
      </c>
      <c r="D188" s="425" t="s">
        <v>1133</v>
      </c>
      <c r="E188" s="425" t="s">
        <v>1134</v>
      </c>
      <c r="F188" s="726">
        <v>14564.76</v>
      </c>
      <c r="G188" s="726">
        <v>18348.41</v>
      </c>
      <c r="H188" s="726">
        <v>38256.790000000001</v>
      </c>
      <c r="I188" s="726">
        <v>165149.79999999999</v>
      </c>
      <c r="J188" s="726">
        <v>72615.490000000005</v>
      </c>
      <c r="K188" s="726">
        <v>308935.25</v>
      </c>
      <c r="L188" s="726">
        <v>65652.029999999999</v>
      </c>
      <c r="M188" s="726">
        <v>57489.870000000003</v>
      </c>
      <c r="N188" s="726">
        <v>41893.010000000002</v>
      </c>
    </row>
    <row r="189" spans="1:14" s="337" customFormat="1" ht="12.75">
      <c r="A189" s="425">
        <f t="shared" si="29"/>
        <v>178</v>
      </c>
      <c r="B189" s="757" t="s">
        <v>1135</v>
      </c>
      <c r="C189" s="337" t="s">
        <v>1136</v>
      </c>
      <c r="D189" s="425" t="s">
        <v>1137</v>
      </c>
      <c r="E189" s="425" t="s">
        <v>1134</v>
      </c>
      <c r="F189" s="726">
        <v>179446.54999999999</v>
      </c>
      <c r="G189" s="726">
        <v>82579.539999999994</v>
      </c>
      <c r="H189" s="726">
        <v>154797.26000000001</v>
      </c>
      <c r="I189" s="726">
        <v>901136.52000000002</v>
      </c>
      <c r="J189" s="726">
        <v>221017.87</v>
      </c>
      <c r="K189" s="726">
        <v>1538977.7400000002</v>
      </c>
      <c r="L189" s="726">
        <v>442617.46999999997</v>
      </c>
      <c r="M189" s="726">
        <v>323379.27000000002</v>
      </c>
      <c r="N189" s="726">
        <v>187485.42000000001</v>
      </c>
    </row>
    <row r="190" spans="1:14" s="337" customFormat="1" ht="12.75">
      <c r="A190" s="425">
        <f t="shared" si="29"/>
        <v>179</v>
      </c>
      <c r="B190" s="757" t="s">
        <v>1138</v>
      </c>
      <c r="C190" s="337" t="s">
        <v>1139</v>
      </c>
      <c r="D190" s="425" t="s">
        <v>1137</v>
      </c>
      <c r="E190" s="425" t="s">
        <v>1134</v>
      </c>
      <c r="F190" s="726">
        <v>0</v>
      </c>
      <c r="G190" s="726">
        <v>38219.510000000002</v>
      </c>
      <c r="H190" s="726">
        <v>24236.639999999999</v>
      </c>
      <c r="I190" s="726">
        <v>0</v>
      </c>
      <c r="J190" s="726">
        <v>0</v>
      </c>
      <c r="K190" s="726">
        <v>62456.150000000001</v>
      </c>
      <c r="L190" s="726">
        <v>9056.3199999999997</v>
      </c>
      <c r="M190" s="726">
        <v>7194.9499999999998</v>
      </c>
      <c r="N190" s="726">
        <v>4993.5100000000002</v>
      </c>
    </row>
    <row r="191" spans="1:14" s="337" customFormat="1" ht="12.75">
      <c r="A191" s="425">
        <f t="shared" si="29"/>
        <v>180</v>
      </c>
      <c r="B191" s="757" t="s">
        <v>1140</v>
      </c>
      <c r="C191" s="337" t="s">
        <v>1141</v>
      </c>
      <c r="D191" s="425" t="s">
        <v>1137</v>
      </c>
      <c r="E191" s="425" t="s">
        <v>1134</v>
      </c>
      <c r="F191" s="726">
        <v>9295.75</v>
      </c>
      <c r="G191" s="726">
        <v>4800.6000000000004</v>
      </c>
      <c r="H191" s="726">
        <v>8075.79</v>
      </c>
      <c r="I191" s="726">
        <v>30263.279999999999</v>
      </c>
      <c r="J191" s="726">
        <v>14642.370000000001</v>
      </c>
      <c r="K191" s="726">
        <v>67077.789999999994</v>
      </c>
      <c r="L191" s="726">
        <v>17289.080000000002</v>
      </c>
      <c r="M191" s="726">
        <v>13725.639999999999</v>
      </c>
      <c r="N191" s="726">
        <v>8081.7200000000003</v>
      </c>
    </row>
    <row r="192" spans="1:14" s="337" customFormat="1" ht="12.75">
      <c r="A192" s="425">
        <f t="shared" si="29"/>
        <v>181</v>
      </c>
      <c r="B192" s="757" t="s">
        <v>1142</v>
      </c>
      <c r="C192" s="337" t="s">
        <v>1143</v>
      </c>
      <c r="D192" s="425" t="s">
        <v>1137</v>
      </c>
      <c r="E192" s="425" t="s">
        <v>1134</v>
      </c>
      <c r="F192" s="726">
        <v>32072.919999999998</v>
      </c>
      <c r="G192" s="726">
        <v>4527.6300000000001</v>
      </c>
      <c r="H192" s="726">
        <v>0</v>
      </c>
      <c r="I192" s="726">
        <v>17.399999999999999</v>
      </c>
      <c r="J192" s="726">
        <v>0</v>
      </c>
      <c r="K192" s="726">
        <v>36617.949999999997</v>
      </c>
      <c r="L192" s="726">
        <v>3861.46</v>
      </c>
      <c r="M192" s="726">
        <v>3358.2199999999998</v>
      </c>
      <c r="N192" s="726">
        <v>262.76999999999998</v>
      </c>
    </row>
    <row r="193" spans="1:14" s="337" customFormat="1" ht="12.75">
      <c r="A193" s="425">
        <f t="shared" si="29"/>
        <v>182</v>
      </c>
      <c r="B193" s="757" t="s">
        <v>1144</v>
      </c>
      <c r="C193" s="337" t="s">
        <v>1145</v>
      </c>
      <c r="D193" s="425" t="s">
        <v>1137</v>
      </c>
      <c r="E193" s="425" t="s">
        <v>1134</v>
      </c>
      <c r="F193" s="726">
        <v>9901.9400000000005</v>
      </c>
      <c r="G193" s="726">
        <v>5335.4799999999996</v>
      </c>
      <c r="H193" s="726">
        <v>0</v>
      </c>
      <c r="I193" s="726">
        <v>4792.2700000000004</v>
      </c>
      <c r="J193" s="726">
        <v>1317.4300000000001</v>
      </c>
      <c r="K193" s="726">
        <v>21347.120000000003</v>
      </c>
      <c r="L193" s="726">
        <v>3485.5300000000002</v>
      </c>
      <c r="M193" s="726">
        <v>2833.6100000000001</v>
      </c>
      <c r="N193" s="726">
        <v>1123.05</v>
      </c>
    </row>
    <row r="194" spans="1:14" s="337" customFormat="1" ht="12.75">
      <c r="A194" s="425">
        <f t="shared" si="29"/>
        <v>183</v>
      </c>
      <c r="B194" s="757" t="s">
        <v>1146</v>
      </c>
      <c r="C194" s="337" t="s">
        <v>1147</v>
      </c>
      <c r="D194" s="425" t="s">
        <v>1137</v>
      </c>
      <c r="E194" s="425" t="s">
        <v>1134</v>
      </c>
      <c r="F194" s="726">
        <v>9398.7600000000002</v>
      </c>
      <c r="G194" s="726">
        <v>20866.240000000002</v>
      </c>
      <c r="H194" s="726">
        <v>8983.0499999999993</v>
      </c>
      <c r="I194" s="726">
        <v>10793.459999999999</v>
      </c>
      <c r="J194" s="726">
        <v>2655.0100000000002</v>
      </c>
      <c r="K194" s="726">
        <v>52696.520000000004</v>
      </c>
      <c r="L194" s="726">
        <v>8885.3299999999999</v>
      </c>
      <c r="M194" s="726">
        <v>7089.2799999999997</v>
      </c>
      <c r="N194" s="726">
        <v>4014.02</v>
      </c>
    </row>
    <row r="195" spans="1:14" s="337" customFormat="1" ht="12.75">
      <c r="A195" s="425">
        <f t="shared" si="29"/>
        <v>184</v>
      </c>
      <c r="B195" s="757" t="s">
        <v>1148</v>
      </c>
      <c r="C195" s="337" t="s">
        <v>1149</v>
      </c>
      <c r="D195" s="425" t="s">
        <v>1150</v>
      </c>
      <c r="E195" s="425" t="s">
        <v>1134</v>
      </c>
      <c r="F195" s="726">
        <v>0</v>
      </c>
      <c r="G195" s="726">
        <v>0</v>
      </c>
      <c r="H195" s="726">
        <v>448.55000000000001</v>
      </c>
      <c r="I195" s="726">
        <v>292.32999999999998</v>
      </c>
      <c r="J195" s="726">
        <v>0</v>
      </c>
      <c r="K195" s="726">
        <v>740.88</v>
      </c>
      <c r="L195" s="726">
        <v>152.28999999999999</v>
      </c>
      <c r="M195" s="726">
        <v>104.29000000000001</v>
      </c>
      <c r="N195" s="726">
        <v>74.579999999999998</v>
      </c>
    </row>
    <row r="196" spans="1:14" s="337" customFormat="1" ht="12.75">
      <c r="A196" s="425">
        <f t="shared" si="29"/>
        <v>185</v>
      </c>
      <c r="B196" s="757" t="s">
        <v>1151</v>
      </c>
      <c r="C196" s="337" t="s">
        <v>1152</v>
      </c>
      <c r="D196" s="425" t="s">
        <v>1153</v>
      </c>
      <c r="E196" s="425" t="s">
        <v>1134</v>
      </c>
      <c r="F196" s="726">
        <v>72849.679999999993</v>
      </c>
      <c r="G196" s="726">
        <v>286773.02000000002</v>
      </c>
      <c r="H196" s="726">
        <v>173911.29999999999</v>
      </c>
      <c r="I196" s="726">
        <v>446419.09999999998</v>
      </c>
      <c r="J196" s="726">
        <v>681878.48999999999</v>
      </c>
      <c r="K196" s="726">
        <v>1661831.5899999999</v>
      </c>
      <c r="L196" s="726">
        <v>119069.77</v>
      </c>
      <c r="M196" s="726">
        <v>141537.44</v>
      </c>
      <c r="N196" s="726">
        <v>127053.64999999999</v>
      </c>
    </row>
    <row r="197" spans="1:14" s="337" customFormat="1" ht="12.75">
      <c r="A197" s="425">
        <f t="shared" si="29"/>
        <v>186</v>
      </c>
      <c r="B197" s="757" t="s">
        <v>1154</v>
      </c>
      <c r="C197" s="337" t="s">
        <v>1155</v>
      </c>
      <c r="D197" s="425" t="s">
        <v>1133</v>
      </c>
      <c r="E197" s="425" t="s">
        <v>1134</v>
      </c>
      <c r="F197" s="726">
        <v>0</v>
      </c>
      <c r="G197" s="726">
        <v>0</v>
      </c>
      <c r="H197" s="726">
        <v>0</v>
      </c>
      <c r="I197" s="726">
        <v>-26.420000000000002</v>
      </c>
      <c r="J197" s="726">
        <v>0</v>
      </c>
      <c r="K197" s="726">
        <v>-26.420000000000002</v>
      </c>
      <c r="L197" s="726">
        <v>-7.2800000000000002</v>
      </c>
      <c r="M197" s="726">
        <v>-5.2000000000000002</v>
      </c>
      <c r="N197" s="726">
        <v>-3.71</v>
      </c>
    </row>
    <row r="198" spans="1:14" s="337" customFormat="1" ht="12.75">
      <c r="A198" s="425">
        <f t="shared" si="29"/>
        <v>187</v>
      </c>
      <c r="B198" s="758" t="s">
        <v>1156</v>
      </c>
      <c r="C198" s="337" t="s">
        <v>1157</v>
      </c>
      <c r="D198" s="425" t="s">
        <v>1158</v>
      </c>
      <c r="E198" s="425" t="s">
        <v>1134</v>
      </c>
      <c r="F198" s="726">
        <v>3647463.8799999999</v>
      </c>
      <c r="G198" s="726">
        <v>7216341.2599999998</v>
      </c>
      <c r="H198" s="726">
        <v>8935431.9600000009</v>
      </c>
      <c r="I198" s="726">
        <v>11302884.640000001</v>
      </c>
      <c r="J198" s="726">
        <v>11839343.050000001</v>
      </c>
      <c r="K198" s="726">
        <v>42941464.790000007</v>
      </c>
      <c r="L198" s="726">
        <v>2490814.7599999998</v>
      </c>
      <c r="M198" s="726">
        <v>2742778.8799999999</v>
      </c>
      <c r="N198" s="726">
        <v>2536974.8999999999</v>
      </c>
    </row>
    <row r="199" spans="1:14" s="337" customFormat="1" ht="12.75">
      <c r="A199" s="425">
        <f t="shared" si="29"/>
        <v>188</v>
      </c>
      <c r="B199" s="337" t="s">
        <v>1159</v>
      </c>
      <c r="C199" s="337" t="s">
        <v>1160</v>
      </c>
      <c r="D199" s="425" t="s">
        <v>1153</v>
      </c>
      <c r="E199" s="425" t="s">
        <v>1134</v>
      </c>
      <c r="F199" s="726">
        <v>4541821.1399999997</v>
      </c>
      <c r="G199" s="726">
        <v>9228314.3800000008</v>
      </c>
      <c r="H199" s="726">
        <v>12522563.73</v>
      </c>
      <c r="I199" s="726">
        <v>15470689.789999999</v>
      </c>
      <c r="J199" s="726">
        <v>15242090.27</v>
      </c>
      <c r="K199" s="726">
        <v>57005479.310000002</v>
      </c>
      <c r="L199" s="726">
        <v>4333704.2000000002</v>
      </c>
      <c r="M199" s="726">
        <v>4671764.1100000003</v>
      </c>
      <c r="N199" s="726">
        <v>4206814.3700000001</v>
      </c>
    </row>
    <row r="200" spans="1:14" s="337" customFormat="1" ht="12.75">
      <c r="A200" s="425">
        <f t="shared" si="29"/>
        <v>189</v>
      </c>
      <c r="B200" s="337" t="s">
        <v>1161</v>
      </c>
      <c r="C200" s="337" t="s">
        <v>1162</v>
      </c>
      <c r="D200" s="425" t="s">
        <v>1158</v>
      </c>
      <c r="E200" s="425" t="s">
        <v>1134</v>
      </c>
      <c r="F200" s="726">
        <v>41186.239999999998</v>
      </c>
      <c r="G200" s="726">
        <v>31561.380000000001</v>
      </c>
      <c r="H200" s="726">
        <v>150471.20999999999</v>
      </c>
      <c r="I200" s="726">
        <v>168482.10000000001</v>
      </c>
      <c r="J200" s="726">
        <v>151164.56</v>
      </c>
      <c r="K200" s="726">
        <v>542865.48999999999</v>
      </c>
      <c r="L200" s="726">
        <v>42119.400000000001</v>
      </c>
      <c r="M200" s="726">
        <v>43535.989999999998</v>
      </c>
      <c r="N200" s="726">
        <v>37473.720000000001</v>
      </c>
    </row>
    <row r="201" spans="1:14" s="337" customFormat="1" ht="12.75">
      <c r="A201" s="425">
        <f t="shared" si="29"/>
        <v>190</v>
      </c>
      <c r="B201" s="337" t="s">
        <v>1163</v>
      </c>
      <c r="C201" s="337" t="s">
        <v>1164</v>
      </c>
      <c r="D201" s="425" t="s">
        <v>1150</v>
      </c>
      <c r="E201" s="425" t="s">
        <v>1134</v>
      </c>
      <c r="F201" s="726">
        <v>341875.40999999997</v>
      </c>
      <c r="G201" s="726">
        <v>891901.18000000005</v>
      </c>
      <c r="H201" s="726">
        <v>1088018.1399999999</v>
      </c>
      <c r="I201" s="726">
        <v>1173425.25</v>
      </c>
      <c r="J201" s="726">
        <v>1228812.3400000001</v>
      </c>
      <c r="K201" s="726">
        <v>4724032.3200000003</v>
      </c>
      <c r="L201" s="726">
        <v>405422.44</v>
      </c>
      <c r="M201" s="726">
        <v>434473.38</v>
      </c>
      <c r="N201" s="726">
        <v>388615.70000000001</v>
      </c>
    </row>
    <row r="202" spans="1:14" s="337" customFormat="1" ht="12.75">
      <c r="A202" s="425">
        <f t="shared" si="29"/>
        <v>191</v>
      </c>
      <c r="B202" s="337" t="s">
        <v>1165</v>
      </c>
      <c r="C202" s="337" t="s">
        <v>1166</v>
      </c>
      <c r="D202" s="425" t="s">
        <v>1133</v>
      </c>
      <c r="E202" s="425" t="s">
        <v>1134</v>
      </c>
      <c r="F202" s="726">
        <v>155587.75</v>
      </c>
      <c r="G202" s="726">
        <v>268139.85999999999</v>
      </c>
      <c r="H202" s="726">
        <v>344510.44</v>
      </c>
      <c r="I202" s="726">
        <v>362409.91999999998</v>
      </c>
      <c r="J202" s="726">
        <v>350849.66999999998</v>
      </c>
      <c r="K202" s="726">
        <v>1481497.6399999999</v>
      </c>
      <c r="L202" s="726">
        <v>91535.389999999999</v>
      </c>
      <c r="M202" s="726">
        <v>96886.320000000007</v>
      </c>
      <c r="N202" s="726">
        <v>90404.479999999996</v>
      </c>
    </row>
    <row r="203" spans="1:14" s="337" customFormat="1" ht="12.75">
      <c r="A203" s="425">
        <f t="shared" si="29"/>
        <v>192</v>
      </c>
      <c r="B203" s="757" t="s">
        <v>1167</v>
      </c>
      <c r="C203" s="337" t="s">
        <v>1168</v>
      </c>
      <c r="D203" s="425" t="s">
        <v>1137</v>
      </c>
      <c r="E203" s="425" t="s">
        <v>1134</v>
      </c>
      <c r="F203" s="726">
        <v>58101.830000000002</v>
      </c>
      <c r="G203" s="726">
        <v>91487.130000000005</v>
      </c>
      <c r="H203" s="726">
        <v>71138.820000000007</v>
      </c>
      <c r="I203" s="726">
        <v>203913.32999999999</v>
      </c>
      <c r="J203" s="726">
        <v>136409.26000000001</v>
      </c>
      <c r="K203" s="726">
        <v>561050.37</v>
      </c>
      <c r="L203" s="726">
        <v>131452.29000000001</v>
      </c>
      <c r="M203" s="726">
        <v>112040.39</v>
      </c>
      <c r="N203" s="726">
        <v>66374.940000000002</v>
      </c>
    </row>
    <row r="204" spans="1:14" s="337" customFormat="1" ht="12.75">
      <c r="A204" s="425">
        <f t="shared" si="29"/>
        <v>193</v>
      </c>
      <c r="B204" s="337" t="s">
        <v>1169</v>
      </c>
      <c r="C204" s="337" t="s">
        <v>1170</v>
      </c>
      <c r="D204" s="425" t="s">
        <v>1171</v>
      </c>
      <c r="E204" s="425" t="s">
        <v>1172</v>
      </c>
      <c r="F204" s="726">
        <v>232149.64999999999</v>
      </c>
      <c r="G204" s="726">
        <v>0</v>
      </c>
      <c r="H204" s="726">
        <v>0</v>
      </c>
      <c r="I204" s="726">
        <v>0</v>
      </c>
      <c r="J204" s="726">
        <v>0</v>
      </c>
      <c r="K204" s="726">
        <v>232149.64999999999</v>
      </c>
      <c r="L204" s="726">
        <v>15475.1</v>
      </c>
      <c r="M204" s="726">
        <v>15477.42</v>
      </c>
      <c r="N204" s="726">
        <v>15477.42</v>
      </c>
    </row>
    <row r="205" spans="1:14" s="337" customFormat="1" ht="12.75">
      <c r="A205" s="425">
        <f t="shared" si="29"/>
        <v>194</v>
      </c>
      <c r="B205" s="337" t="s">
        <v>1173</v>
      </c>
      <c r="C205" s="337" t="s">
        <v>1174</v>
      </c>
      <c r="D205" s="425" t="s">
        <v>1175</v>
      </c>
      <c r="E205" s="425" t="s">
        <v>1172</v>
      </c>
      <c r="F205" s="726">
        <v>624.51999999999998</v>
      </c>
      <c r="G205" s="726">
        <v>145.66</v>
      </c>
      <c r="H205" s="726">
        <v>0</v>
      </c>
      <c r="I205" s="726">
        <v>375039.83000000002</v>
      </c>
      <c r="J205" s="726">
        <v>2237.0100000000002</v>
      </c>
      <c r="K205" s="726">
        <v>378047.02000000002</v>
      </c>
      <c r="L205" s="726">
        <v>9678.6700000000001</v>
      </c>
      <c r="M205" s="726">
        <v>9693.1299999999992</v>
      </c>
      <c r="N205" s="726">
        <v>9693.1299999999992</v>
      </c>
    </row>
    <row r="206" spans="1:14" s="337" customFormat="1" ht="12.75">
      <c r="A206" s="425">
        <f t="shared" si="46" ref="A206:A210">+A205+1</f>
        <v>195</v>
      </c>
      <c r="B206" s="337" t="s">
        <v>1176</v>
      </c>
      <c r="C206" s="337" t="s">
        <v>1177</v>
      </c>
      <c r="D206" s="425" t="s">
        <v>1178</v>
      </c>
      <c r="E206" s="425" t="s">
        <v>1134</v>
      </c>
      <c r="F206" s="726">
        <v>17966.139999999999</v>
      </c>
      <c r="G206" s="726">
        <v>30242</v>
      </c>
      <c r="H206" s="726">
        <v>89504.309999999998</v>
      </c>
      <c r="I206" s="726">
        <v>-1607.8499999999999</v>
      </c>
      <c r="J206" s="726">
        <v>121567.42</v>
      </c>
      <c r="K206" s="726">
        <v>257672.02000000002</v>
      </c>
      <c r="L206" s="726">
        <v>5054.1199999999999</v>
      </c>
      <c r="M206" s="726">
        <v>6771.9700000000003</v>
      </c>
      <c r="N206" s="726">
        <v>6643.1099999999997</v>
      </c>
    </row>
    <row r="207" spans="1:14" s="337" customFormat="1" ht="12.75">
      <c r="A207" s="425">
        <f t="shared" si="46"/>
        <v>196</v>
      </c>
      <c r="B207" s="337" t="s">
        <v>1179</v>
      </c>
      <c r="C207" s="337" t="s">
        <v>1180</v>
      </c>
      <c r="D207" s="425" t="s">
        <v>1181</v>
      </c>
      <c r="E207" s="425" t="s">
        <v>1134</v>
      </c>
      <c r="F207" s="726">
        <v>155776.79999999999</v>
      </c>
      <c r="G207" s="726">
        <v>55261.120000000003</v>
      </c>
      <c r="H207" s="726">
        <v>256414.47</v>
      </c>
      <c r="I207" s="726">
        <v>682464.10999999999</v>
      </c>
      <c r="J207" s="726">
        <v>226244.70999999999</v>
      </c>
      <c r="K207" s="726">
        <v>1376161.21</v>
      </c>
      <c r="L207" s="726">
        <v>105355.98</v>
      </c>
      <c r="M207" s="726">
        <v>106483.03</v>
      </c>
      <c r="N207" s="726">
        <v>96035.589999999997</v>
      </c>
    </row>
    <row r="208" spans="1:14" s="337" customFormat="1" ht="12.75">
      <c r="A208" s="425">
        <f t="shared" si="46"/>
        <v>197</v>
      </c>
      <c r="B208" s="337" t="s">
        <v>1182</v>
      </c>
      <c r="C208" s="337" t="s">
        <v>1183</v>
      </c>
      <c r="D208" s="425" t="s">
        <v>1184</v>
      </c>
      <c r="E208" s="425"/>
      <c r="F208" s="726">
        <v>117127.48</v>
      </c>
      <c r="G208" s="726">
        <v>416816.21000000002</v>
      </c>
      <c r="H208" s="726">
        <v>44435.889999999999</v>
      </c>
      <c r="I208" s="726">
        <v>225207.37</v>
      </c>
      <c r="J208" s="726">
        <v>492484.56</v>
      </c>
      <c r="K208" s="726">
        <v>1296071.51</v>
      </c>
      <c r="L208" s="726">
        <v>0</v>
      </c>
      <c r="M208" s="726">
        <v>0</v>
      </c>
      <c r="N208" s="726">
        <v>0</v>
      </c>
    </row>
    <row r="209" spans="1:14" s="337" customFormat="1" ht="12.75">
      <c r="A209" s="425">
        <f t="shared" si="46"/>
        <v>198</v>
      </c>
      <c r="B209" s="337" t="s">
        <v>1185</v>
      </c>
      <c r="C209" s="337" t="s">
        <v>1186</v>
      </c>
      <c r="D209" s="425" t="s">
        <v>1175</v>
      </c>
      <c r="E209" s="425" t="s">
        <v>1172</v>
      </c>
      <c r="F209" s="726">
        <v>316231.83000000002</v>
      </c>
      <c r="G209" s="726">
        <v>455267.89000000001</v>
      </c>
      <c r="H209" s="726">
        <v>424150.27000000002</v>
      </c>
      <c r="I209" s="726">
        <v>584576.56999999995</v>
      </c>
      <c r="J209" s="726">
        <v>806707.17000000004</v>
      </c>
      <c r="K209" s="726">
        <v>2586933.73</v>
      </c>
      <c r="L209" s="726">
        <v>52540.370000000003</v>
      </c>
      <c r="M209" s="726">
        <v>66272.820000000007</v>
      </c>
      <c r="N209" s="726">
        <v>66273.889999999999</v>
      </c>
    </row>
    <row r="210" spans="1:15" s="337" customFormat="1" ht="12.75">
      <c r="A210" s="425">
        <f t="shared" si="46"/>
        <v>199</v>
      </c>
      <c r="B210" s="759" t="s">
        <v>1193</v>
      </c>
      <c r="D210" s="425"/>
      <c r="E210" s="425"/>
      <c r="F210" s="760">
        <f>SUM(F188:F209)</f>
        <v>9953443.0300000012</v>
      </c>
      <c r="G210" s="760">
        <f t="shared" si="47" ref="G210">SUM(G188:G209)</f>
        <v>19146928.5</v>
      </c>
      <c r="H210" s="760">
        <f t="shared" si="48" ref="H210">SUM(H188:H209)</f>
        <v>24335348.620000001</v>
      </c>
      <c r="I210" s="760">
        <f t="shared" si="49" ref="I210">SUM(I188:I209)</f>
        <v>32106322.800000001</v>
      </c>
      <c r="J210" s="760">
        <f t="shared" si="50" ref="J210">SUM(J188:J209)</f>
        <v>31592036.680000007</v>
      </c>
      <c r="K210" s="760">
        <f t="shared" si="51" ref="K210">SUM(K188:K209)</f>
        <v>117134079.63000003</v>
      </c>
      <c r="L210" s="760">
        <f t="shared" si="52" ref="L210">SUM(L188:L209)</f>
        <v>8353214.7200000007</v>
      </c>
      <c r="M210" s="760">
        <f t="shared" si="53" ref="M210">SUM(M188:M209)</f>
        <v>8862884.8100000024</v>
      </c>
      <c r="N210" s="760">
        <f t="shared" si="54" ref="N210">SUM(N188:N209)</f>
        <v>7895759.2700000005</v>
      </c>
      <c r="O210" s="760">
        <v>8850458.6899999995</v>
      </c>
    </row>
    <row r="211" spans="4:5" s="337" customFormat="1" ht="12.75">
      <c r="D211" s="425"/>
      <c r="E211" s="425"/>
    </row>
    <row r="212" spans="4:5" s="337" customFormat="1" ht="12.75">
      <c r="D212" s="425"/>
      <c r="E212" s="425"/>
    </row>
    <row r="213" spans="4:15" s="648" customFormat="1" ht="12">
      <c r="D213" s="762"/>
      <c r="E213" s="762" t="s">
        <v>427</v>
      </c>
      <c r="F213" s="763">
        <f>+F35-F60-F85-F110-F135-F160-F185-F210</f>
        <v>0.0099998842924833298</v>
      </c>
      <c r="G213" s="763">
        <f t="shared" si="55" ref="G213:O213">+G35-G60-G85-G110-G135-G160-G185-G210</f>
        <v>-0.030000191181898117</v>
      </c>
      <c r="H213" s="763">
        <f t="shared" si="55"/>
        <v>0.010001052170991898</v>
      </c>
      <c r="I213" s="763">
        <f t="shared" si="55"/>
        <v>-0.029999684542417526</v>
      </c>
      <c r="J213" s="763">
        <f t="shared" si="55"/>
        <v>-0.010000094771385193</v>
      </c>
      <c r="K213" s="763">
        <f t="shared" si="55"/>
        <v>-0.049996793270111084</v>
      </c>
      <c r="L213" s="763">
        <f t="shared" si="55"/>
        <v>0.020000036805868149</v>
      </c>
      <c r="M213" s="763">
        <f t="shared" si="55"/>
        <v>-0.020000122487545013</v>
      </c>
      <c r="N213" s="763">
        <f t="shared" si="55"/>
        <v>-3.7346035242080688E-07</v>
      </c>
      <c r="O213" s="763">
        <f t="shared" si="55"/>
        <v>-0.010000022128224373</v>
      </c>
    </row>
    <row r="214" spans="4:5" s="337" customFormat="1" ht="12.75">
      <c r="D214" s="425"/>
      <c r="E214" s="425"/>
    </row>
    <row r="215" spans="4:5" s="337" customFormat="1" ht="12.75">
      <c r="D215" s="425"/>
      <c r="E215" s="425"/>
    </row>
    <row r="216" spans="4:5" s="337" customFormat="1" ht="12.75">
      <c r="D216" s="425"/>
      <c r="E216" s="425"/>
    </row>
    <row r="217" spans="4:5" s="337" customFormat="1" ht="12.75">
      <c r="D217" s="425"/>
      <c r="E217" s="425"/>
    </row>
    <row r="218" spans="2:15" ht="12.75">
      <c r="B218" s="186"/>
      <c r="C218" s="186"/>
      <c r="D218" s="186"/>
      <c r="E218" s="723"/>
      <c r="F218" s="723"/>
      <c r="G218" s="186"/>
      <c r="H218" s="186"/>
      <c r="I218" s="186"/>
      <c r="J218" s="186"/>
      <c r="K218" s="186"/>
      <c r="L218" s="186"/>
      <c r="M218" s="186"/>
      <c r="N218" s="186"/>
      <c r="O218" s="186"/>
    </row>
    <row r="219" spans="2:15" ht="12.75">
      <c r="B219" s="186"/>
      <c r="C219" s="186"/>
      <c r="D219" s="186"/>
      <c r="E219" s="723"/>
      <c r="F219" s="723"/>
      <c r="G219" s="186"/>
      <c r="H219" s="186"/>
      <c r="I219" s="186"/>
      <c r="J219" s="186"/>
      <c r="K219" s="186"/>
      <c r="L219" s="186"/>
      <c r="M219" s="186"/>
      <c r="N219" s="186"/>
      <c r="O219" s="186"/>
    </row>
    <row r="220" spans="2:15" ht="12.75">
      <c r="B220" s="186"/>
      <c r="C220" s="186"/>
      <c r="D220" s="186"/>
      <c r="E220" s="723"/>
      <c r="F220" s="723"/>
      <c r="G220" s="186"/>
      <c r="H220" s="186"/>
      <c r="I220" s="186"/>
      <c r="J220" s="186"/>
      <c r="K220" s="186"/>
      <c r="L220" s="186"/>
      <c r="M220" s="186"/>
      <c r="N220" s="186"/>
      <c r="O220" s="186"/>
    </row>
    <row r="221" spans="2:15" ht="12.75">
      <c r="B221" s="186"/>
      <c r="C221" s="186"/>
      <c r="D221" s="186"/>
      <c r="E221" s="723"/>
      <c r="F221" s="723"/>
      <c r="G221" s="186"/>
      <c r="H221" s="186"/>
      <c r="I221" s="186"/>
      <c r="J221" s="186"/>
      <c r="K221" s="186"/>
      <c r="L221" s="186"/>
      <c r="M221" s="186"/>
      <c r="N221" s="186"/>
      <c r="O221" s="186"/>
    </row>
    <row r="222" spans="2:15" ht="12.75">
      <c r="B222" s="186"/>
      <c r="C222" s="186"/>
      <c r="D222" s="186"/>
      <c r="E222" s="723"/>
      <c r="F222" s="723"/>
      <c r="G222" s="186"/>
      <c r="H222" s="186"/>
      <c r="I222" s="186"/>
      <c r="J222" s="186"/>
      <c r="K222" s="186"/>
      <c r="L222" s="186"/>
      <c r="M222" s="186"/>
      <c r="N222" s="186"/>
      <c r="O222" s="186"/>
    </row>
    <row r="223" spans="2:15" ht="12.75">
      <c r="B223" s="186"/>
      <c r="C223" s="186"/>
      <c r="D223" s="186"/>
      <c r="E223" s="723"/>
      <c r="F223" s="723"/>
      <c r="G223" s="186"/>
      <c r="H223" s="186"/>
      <c r="I223" s="186"/>
      <c r="J223" s="186"/>
      <c r="K223" s="186"/>
      <c r="L223" s="186"/>
      <c r="M223" s="186"/>
      <c r="N223" s="186"/>
      <c r="O223" s="186"/>
    </row>
    <row r="224" spans="2:15" ht="12.75">
      <c r="B224" s="186"/>
      <c r="C224" s="186"/>
      <c r="D224" s="186"/>
      <c r="E224" s="723"/>
      <c r="F224" s="723"/>
      <c r="G224" s="186"/>
      <c r="H224" s="186"/>
      <c r="I224" s="186"/>
      <c r="J224" s="186"/>
      <c r="K224" s="186"/>
      <c r="L224" s="186"/>
      <c r="M224" s="186"/>
      <c r="N224" s="186"/>
      <c r="O224" s="186"/>
    </row>
    <row r="225" spans="2:15" ht="12.75">
      <c r="B225" s="186"/>
      <c r="C225" s="186"/>
      <c r="D225" s="186"/>
      <c r="E225" s="723"/>
      <c r="F225" s="723"/>
      <c r="G225" s="186"/>
      <c r="H225" s="186"/>
      <c r="I225" s="186"/>
      <c r="J225" s="186"/>
      <c r="K225" s="186"/>
      <c r="L225" s="186"/>
      <c r="M225" s="186"/>
      <c r="N225" s="186"/>
      <c r="O225" s="186"/>
    </row>
    <row r="226" spans="2:15" ht="12.75">
      <c r="B226" s="186"/>
      <c r="C226" s="186"/>
      <c r="D226" s="186"/>
      <c r="E226" s="723"/>
      <c r="F226" s="723"/>
      <c r="G226" s="186"/>
      <c r="H226" s="186"/>
      <c r="I226" s="186"/>
      <c r="J226" s="186"/>
      <c r="K226" s="186"/>
      <c r="L226" s="186"/>
      <c r="M226" s="186"/>
      <c r="N226" s="186"/>
      <c r="O226" s="186"/>
    </row>
    <row r="227" spans="2:15" ht="12.75">
      <c r="B227" s="186"/>
      <c r="C227" s="186"/>
      <c r="D227" s="186"/>
      <c r="E227" s="723"/>
      <c r="F227" s="723"/>
      <c r="G227" s="186"/>
      <c r="H227" s="186"/>
      <c r="I227" s="186"/>
      <c r="J227" s="186"/>
      <c r="K227" s="186"/>
      <c r="L227" s="186"/>
      <c r="M227" s="186"/>
      <c r="N227" s="186"/>
      <c r="O227" s="186"/>
    </row>
    <row r="228" spans="2:15" ht="12.75">
      <c r="B228" s="186"/>
      <c r="C228" s="186"/>
      <c r="D228" s="186"/>
      <c r="E228" s="723"/>
      <c r="F228" s="723"/>
      <c r="G228" s="186"/>
      <c r="H228" s="186"/>
      <c r="I228" s="186"/>
      <c r="J228" s="186"/>
      <c r="K228" s="186"/>
      <c r="L228" s="186"/>
      <c r="M228" s="186"/>
      <c r="N228" s="186"/>
      <c r="O228" s="186"/>
    </row>
    <row r="229" spans="2:15" ht="12.75">
      <c r="B229" s="186"/>
      <c r="C229" s="186"/>
      <c r="D229" s="186"/>
      <c r="E229" s="723"/>
      <c r="F229" s="723"/>
      <c r="G229" s="186"/>
      <c r="H229" s="186"/>
      <c r="I229" s="186"/>
      <c r="J229" s="186"/>
      <c r="K229" s="186"/>
      <c r="L229" s="186"/>
      <c r="M229" s="186"/>
      <c r="N229" s="186"/>
      <c r="O229" s="186"/>
    </row>
    <row r="230" spans="2:15" ht="12.75">
      <c r="B230" s="186"/>
      <c r="C230" s="186"/>
      <c r="D230" s="186"/>
      <c r="E230" s="723"/>
      <c r="F230" s="723"/>
      <c r="G230" s="186"/>
      <c r="H230" s="186"/>
      <c r="I230" s="186"/>
      <c r="J230" s="186"/>
      <c r="K230" s="186"/>
      <c r="L230" s="186"/>
      <c r="M230" s="186"/>
      <c r="N230" s="186"/>
      <c r="O230" s="186"/>
    </row>
    <row r="231" spans="2:15" ht="12.75">
      <c r="B231" s="186"/>
      <c r="C231" s="186"/>
      <c r="D231" s="186"/>
      <c r="E231" s="723"/>
      <c r="F231" s="723"/>
      <c r="G231" s="186"/>
      <c r="H231" s="186"/>
      <c r="I231" s="186"/>
      <c r="J231" s="186"/>
      <c r="K231" s="186"/>
      <c r="L231" s="186"/>
      <c r="M231" s="186"/>
      <c r="N231" s="186"/>
      <c r="O231" s="186"/>
    </row>
    <row r="232" spans="2:15" ht="12.75">
      <c r="B232" s="186"/>
      <c r="C232" s="186"/>
      <c r="D232" s="186"/>
      <c r="E232" s="723"/>
      <c r="F232" s="723"/>
      <c r="G232" s="186"/>
      <c r="H232" s="186"/>
      <c r="I232" s="186"/>
      <c r="J232" s="186"/>
      <c r="K232" s="186"/>
      <c r="L232" s="186"/>
      <c r="M232" s="186"/>
      <c r="N232" s="186"/>
      <c r="O232" s="186"/>
    </row>
    <row r="233" spans="2:15" ht="12.75">
      <c r="B233" s="186"/>
      <c r="C233" s="186"/>
      <c r="D233" s="186"/>
      <c r="E233" s="723"/>
      <c r="F233" s="723"/>
      <c r="G233" s="186"/>
      <c r="H233" s="186"/>
      <c r="I233" s="186"/>
      <c r="J233" s="186"/>
      <c r="K233" s="186"/>
      <c r="L233" s="186"/>
      <c r="M233" s="186"/>
      <c r="N233" s="186"/>
      <c r="O233" s="186"/>
    </row>
    <row r="234" spans="2:15" ht="12.75">
      <c r="B234" s="186"/>
      <c r="C234" s="186"/>
      <c r="D234" s="186"/>
      <c r="E234" s="723"/>
      <c r="F234" s="723"/>
      <c r="G234" s="186"/>
      <c r="H234" s="186"/>
      <c r="I234" s="186"/>
      <c r="J234" s="186"/>
      <c r="K234" s="186"/>
      <c r="L234" s="186"/>
      <c r="M234" s="186"/>
      <c r="N234" s="186"/>
      <c r="O234" s="186"/>
    </row>
    <row r="235" spans="2:15" ht="12.75">
      <c r="B235" s="186"/>
      <c r="C235" s="186"/>
      <c r="D235" s="186"/>
      <c r="E235" s="723"/>
      <c r="F235" s="723"/>
      <c r="G235" s="186"/>
      <c r="H235" s="186"/>
      <c r="I235" s="186"/>
      <c r="J235" s="186"/>
      <c r="K235" s="186"/>
      <c r="L235" s="186"/>
      <c r="M235" s="186"/>
      <c r="N235" s="186"/>
      <c r="O235" s="186"/>
    </row>
    <row r="236" spans="2:15" ht="12.75">
      <c r="B236" s="186"/>
      <c r="C236" s="186"/>
      <c r="D236" s="186"/>
      <c r="E236" s="723"/>
      <c r="F236" s="723"/>
      <c r="G236" s="186"/>
      <c r="H236" s="186"/>
      <c r="I236" s="186"/>
      <c r="J236" s="186"/>
      <c r="K236" s="186"/>
      <c r="L236" s="186"/>
      <c r="M236" s="186"/>
      <c r="N236" s="186"/>
      <c r="O236" s="186"/>
    </row>
    <row r="237" spans="2:15" ht="12.75">
      <c r="B237" s="186"/>
      <c r="C237" s="186"/>
      <c r="D237" s="186"/>
      <c r="E237" s="723"/>
      <c r="F237" s="723"/>
      <c r="G237" s="186"/>
      <c r="H237" s="186"/>
      <c r="I237" s="186"/>
      <c r="J237" s="186"/>
      <c r="K237" s="186"/>
      <c r="L237" s="186"/>
      <c r="M237" s="186"/>
      <c r="N237" s="186"/>
      <c r="O237" s="186"/>
    </row>
    <row r="238" spans="2:15" ht="12.75">
      <c r="B238" s="186"/>
      <c r="C238" s="186"/>
      <c r="D238" s="186"/>
      <c r="E238" s="723"/>
      <c r="F238" s="723"/>
      <c r="G238" s="186"/>
      <c r="H238" s="186"/>
      <c r="I238" s="186"/>
      <c r="J238" s="186"/>
      <c r="K238" s="186"/>
      <c r="L238" s="186"/>
      <c r="M238" s="186"/>
      <c r="N238" s="186"/>
      <c r="O238" s="186"/>
    </row>
    <row r="239" spans="2:15" ht="12.75">
      <c r="B239" s="186"/>
      <c r="C239" s="186"/>
      <c r="D239" s="186"/>
      <c r="E239" s="723"/>
      <c r="F239" s="723"/>
      <c r="G239" s="186"/>
      <c r="H239" s="186"/>
      <c r="I239" s="186"/>
      <c r="J239" s="186"/>
      <c r="K239" s="186"/>
      <c r="L239" s="186"/>
      <c r="M239" s="186"/>
      <c r="N239" s="186"/>
      <c r="O239" s="186"/>
    </row>
    <row r="240" spans="2:15" ht="12.75">
      <c r="B240" s="186"/>
      <c r="C240" s="186"/>
      <c r="D240" s="186"/>
      <c r="E240" s="723"/>
      <c r="F240" s="723"/>
      <c r="G240" s="186"/>
      <c r="H240" s="186"/>
      <c r="I240" s="186"/>
      <c r="J240" s="186"/>
      <c r="K240" s="186"/>
      <c r="L240" s="186"/>
      <c r="M240" s="186"/>
      <c r="N240" s="186"/>
      <c r="O240" s="186"/>
    </row>
    <row r="241" spans="2:15" ht="12.75">
      <c r="B241" s="186"/>
      <c r="C241" s="186"/>
      <c r="D241" s="186"/>
      <c r="E241" s="723"/>
      <c r="F241" s="723"/>
      <c r="G241" s="186"/>
      <c r="H241" s="186"/>
      <c r="I241" s="186"/>
      <c r="J241" s="186"/>
      <c r="K241" s="186"/>
      <c r="L241" s="186"/>
      <c r="M241" s="186"/>
      <c r="N241" s="186"/>
      <c r="O241" s="186"/>
    </row>
    <row r="242" spans="2:15" ht="12.75">
      <c r="B242" s="186"/>
      <c r="C242" s="186"/>
      <c r="D242" s="186"/>
      <c r="E242" s="723"/>
      <c r="F242" s="723"/>
      <c r="G242" s="186"/>
      <c r="H242" s="186"/>
      <c r="I242" s="186"/>
      <c r="J242" s="186"/>
      <c r="K242" s="186"/>
      <c r="L242" s="186"/>
      <c r="M242" s="186"/>
      <c r="N242" s="186"/>
      <c r="O242" s="186"/>
    </row>
    <row r="243" spans="2:15" ht="12.75">
      <c r="B243" s="186"/>
      <c r="C243" s="186"/>
      <c r="D243" s="186"/>
      <c r="E243" s="723"/>
      <c r="F243" s="723"/>
      <c r="G243" s="186"/>
      <c r="H243" s="186"/>
      <c r="I243" s="186"/>
      <c r="J243" s="186"/>
      <c r="K243" s="186"/>
      <c r="L243" s="186"/>
      <c r="M243" s="186"/>
      <c r="N243" s="186"/>
      <c r="O243" s="186"/>
    </row>
    <row r="244" spans="2:15" ht="12.75">
      <c r="B244" s="186"/>
      <c r="C244" s="186"/>
      <c r="D244" s="186"/>
      <c r="E244" s="723"/>
      <c r="F244" s="723"/>
      <c r="G244" s="186"/>
      <c r="H244" s="186"/>
      <c r="I244" s="186"/>
      <c r="J244" s="186"/>
      <c r="K244" s="186"/>
      <c r="L244" s="186"/>
      <c r="M244" s="186"/>
      <c r="N244" s="186"/>
      <c r="O244" s="186"/>
    </row>
    <row r="245" spans="2:15" ht="12.75">
      <c r="B245" s="186"/>
      <c r="C245" s="186"/>
      <c r="D245" s="186"/>
      <c r="E245" s="723"/>
      <c r="F245" s="723"/>
      <c r="G245" s="186"/>
      <c r="H245" s="186"/>
      <c r="I245" s="186"/>
      <c r="J245" s="186"/>
      <c r="K245" s="186"/>
      <c r="L245" s="186"/>
      <c r="M245" s="186"/>
      <c r="N245" s="186"/>
      <c r="O245" s="186"/>
    </row>
    <row r="246" spans="2:15" ht="12.75">
      <c r="B246" s="186"/>
      <c r="C246" s="186"/>
      <c r="D246" s="186"/>
      <c r="E246" s="723"/>
      <c r="F246" s="723"/>
      <c r="G246" s="186"/>
      <c r="H246" s="186"/>
      <c r="I246" s="186"/>
      <c r="J246" s="186"/>
      <c r="K246" s="186"/>
      <c r="L246" s="186"/>
      <c r="M246" s="186"/>
      <c r="N246" s="186"/>
      <c r="O246" s="186"/>
    </row>
    <row r="247" spans="2:15" ht="12.75">
      <c r="B247" s="186"/>
      <c r="C247" s="186"/>
      <c r="D247" s="186"/>
      <c r="E247" s="723"/>
      <c r="F247" s="723"/>
      <c r="G247" s="186"/>
      <c r="H247" s="186"/>
      <c r="I247" s="186"/>
      <c r="J247" s="186"/>
      <c r="K247" s="186"/>
      <c r="L247" s="186"/>
      <c r="M247" s="186"/>
      <c r="N247" s="186"/>
      <c r="O247" s="186"/>
    </row>
    <row r="248" spans="2:15" ht="12.75">
      <c r="B248" s="186"/>
      <c r="C248" s="186"/>
      <c r="D248" s="186"/>
      <c r="E248" s="723"/>
      <c r="F248" s="723"/>
      <c r="G248" s="186"/>
      <c r="H248" s="186"/>
      <c r="I248" s="186"/>
      <c r="J248" s="186"/>
      <c r="K248" s="186"/>
      <c r="L248" s="186"/>
      <c r="M248" s="186"/>
      <c r="N248" s="186"/>
      <c r="O248" s="186"/>
    </row>
  </sheetData>
  <mergeCells count="2">
    <mergeCell ref="B10:C10"/>
    <mergeCell ref="B11:C11"/>
  </mergeCells>
  <printOptions horizontalCentered="1"/>
  <pageMargins left="0.5" right="0.5" top="3" bottom="0.5" header="1.5" footer="0.5"/>
  <pageSetup fitToHeight="8" orientation="landscape" pageOrder="overThenDown" scale="55" r:id="rId1"/>
  <headerFooter alignWithMargins="0">
    <oddHeader>&amp;C&amp;B
2022 RATE CASE
ONCOR ELECTRIC DELIVERY COMPANY LLC
II-E-3.3  PLANT ADJUSTMENTS
TEST YEAR ENDING DECEMBER 31, 2021
SPONSOR: B. L. CLUTTER&amp;R&amp;"Arial,Bold"Schedule &amp;A
Page &amp;P of &amp;N</oddHeader>
  </headerFooter>
  <rowBreaks count="7" manualBreakCount="7">
    <brk id="36" max="14" man="1"/>
    <brk id="61" max="14" man="1"/>
    <brk id="86" max="14" man="1"/>
    <brk id="111" max="14" man="1"/>
    <brk id="136" max="14" man="1"/>
    <brk id="161" max="14" man="1"/>
    <brk id="186" max="14"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4">
    <tabColor rgb="FF92D050"/>
    <pageSetUpPr fitToPage="1"/>
  </sheetPr>
  <dimension ref="A1:I11"/>
  <sheetViews>
    <sheetView workbookViewId="0" topLeftCell="A1">
      <selection pane="topLeft" activeCell="H16" sqref="H16"/>
    </sheetView>
  </sheetViews>
  <sheetFormatPr defaultColWidth="9.14428571428571" defaultRowHeight="12.75"/>
  <cols>
    <col min="1" max="1" width="7.85714285714286" style="115" customWidth="1"/>
    <col min="2" max="16384" width="9.14285714285714" style="115"/>
  </cols>
  <sheetData>
    <row r="1" spans="1:1" ht="12.75">
      <c r="A1" s="108" t="str">
        <f>+'[3]Input Data'!$A$9</f>
        <v>2022 RATE CASE</v>
      </c>
    </row>
    <row r="2" spans="1:1" ht="12.75">
      <c r="A2" s="167" t="str">
        <f>+'[3]Input Data'!$A$2</f>
        <v>ONCOR ELECTRIC DELIVERY COMPANY LLC</v>
      </c>
    </row>
    <row r="3" spans="1:1" ht="12.75">
      <c r="A3" s="168" t="str">
        <f>CONCATENATE('[3]Schedule Sponsors'!$A$89,'[3]Schedule Sponsors'!$B$89)</f>
        <v>II-E-3.4  CONSOLIDATION/INTER-CORPORATE TAX ALLOCATION</v>
      </c>
    </row>
    <row r="4" spans="1:1" ht="12.75">
      <c r="A4" s="168" t="str">
        <f>+'[3]Input Data'!$A$4</f>
        <v>TEST YEAR ENDING DECEMBER 31, 2021</v>
      </c>
    </row>
    <row r="5" spans="1:1" ht="12.75">
      <c r="A5" s="166" t="str">
        <f>CONCATENATE("SPONSOR: ",'[3]Schedule Sponsors'!$D$89)</f>
        <v>SPONSOR: B. L. CLUTTER</v>
      </c>
    </row>
    <row r="8" spans="1:1" ht="12.75">
      <c r="A8" s="343" t="s">
        <v>51</v>
      </c>
    </row>
    <row r="9" spans="1:9" ht="12.75">
      <c r="A9" s="96">
        <v>1</v>
      </c>
      <c r="B9" s="830" t="s">
        <v>20</v>
      </c>
      <c r="C9" s="830"/>
      <c r="D9" s="830"/>
      <c r="E9" s="830"/>
      <c r="F9" s="830"/>
      <c r="G9" s="830"/>
      <c r="H9" s="830"/>
      <c r="I9" s="830"/>
    </row>
    <row r="10" spans="1:2" ht="12.75">
      <c r="A10" s="96">
        <f>1+A9</f>
        <v>2</v>
      </c>
      <c r="B10" s="115" t="s">
        <v>21</v>
      </c>
    </row>
    <row r="11" spans="1:2" ht="12.75">
      <c r="A11" s="96">
        <f>1+A10</f>
        <v>3</v>
      </c>
      <c r="B11" s="115" t="s">
        <v>658</v>
      </c>
    </row>
  </sheetData>
  <mergeCells count="1">
    <mergeCell ref="B9:I9"/>
  </mergeCells>
  <printOptions horizontalCentered="1"/>
  <pageMargins left="0.5" right="0.5" top="3" bottom="0.5" header="1.5" footer="0.5"/>
  <pageSetup orientation="landscape" pageOrder="overThenDown" r:id="rId1"/>
  <headerFooter alignWithMargins="0">
    <oddHeader>&amp;C&amp;B
2022 RATE CASE
ONCOR ELECTRIC DELIVERY COMPANY LLC
II-E-3.4  CONSOLIDATION/INTER-CORPORATE TAX ALLOCATION
TEST YEAR ENDING DECEMBER 31, 2021
SPONSOR: B. L. CLUTTER&amp;R&amp;"Arial,Bold"Schedule &amp;A
Page &amp;P of &amp;N</oddHead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5">
    <tabColor rgb="FF92D050"/>
  </sheetPr>
  <dimension ref="A1:AI127"/>
  <sheetViews>
    <sheetView zoomScale="80" zoomScaleNormal="80" workbookViewId="0" topLeftCell="A1">
      <pane xSplit="3" ySplit="13" topLeftCell="D14" activePane="bottomRight" state="frozen"/>
      <selection pane="topLeft" activeCell="H16" sqref="H16"/>
      <selection pane="bottomLeft" activeCell="H16" sqref="H16"/>
      <selection pane="topRight" activeCell="H16" sqref="H16"/>
      <selection pane="bottomRight" activeCell="J70" sqref="J70"/>
    </sheetView>
  </sheetViews>
  <sheetFormatPr defaultColWidth="9.14428571428571" defaultRowHeight="12.75"/>
  <cols>
    <col min="1" max="1" width="8.71428571428571" style="195" customWidth="1"/>
    <col min="2" max="2" width="11.7142857142857" style="197" customWidth="1"/>
    <col min="3" max="3" width="53.1428571428571" style="197" customWidth="1"/>
    <col min="4" max="4" width="11.4285714285714" style="195" bestFit="1" customWidth="1"/>
    <col min="5" max="5" width="17.7142857142857" style="322" customWidth="1"/>
    <col min="6" max="6" width="18.4285714285714" style="322" bestFit="1" customWidth="1"/>
    <col min="7" max="7" width="17.7142857142857" style="322" customWidth="1"/>
    <col min="8" max="8" width="15.2857142857143" style="322" customWidth="1"/>
    <col min="9" max="9" width="17.8571428571429" style="322" bestFit="1" customWidth="1"/>
    <col min="10" max="10" width="10.8571428571429" style="323" bestFit="1" customWidth="1"/>
    <col min="11" max="11" width="16.2857142857143" style="197" bestFit="1" customWidth="1"/>
    <col min="12" max="12" width="4.85714285714286" style="197" hidden="1" customWidth="1"/>
    <col min="13" max="13" width="4.85714285714286" style="197" customWidth="1"/>
    <col min="14" max="14" width="17.1428571428571" style="197" bestFit="1" customWidth="1"/>
    <col min="15" max="15" width="16.2857142857143" style="197" bestFit="1" customWidth="1"/>
    <col min="16" max="18" width="16.2857142857143" style="197" customWidth="1"/>
    <col min="19" max="19" width="16.2857142857143" style="197" bestFit="1" customWidth="1"/>
    <col min="20" max="20" width="15.7142857142857" style="197" bestFit="1" customWidth="1"/>
    <col min="21" max="21" width="16.2857142857143" style="197" customWidth="1"/>
    <col min="22" max="22" width="14.5714285714286" style="197" bestFit="1" customWidth="1"/>
    <col min="23" max="23" width="15.1428571428571" style="197" bestFit="1" customWidth="1"/>
    <col min="24" max="24" width="16.2857142857143" style="197" bestFit="1" customWidth="1"/>
    <col min="25" max="25" width="7.14285714285714" style="202" bestFit="1" customWidth="1"/>
    <col min="26" max="26" width="19.5714285714286" style="202" bestFit="1" customWidth="1"/>
    <col min="27" max="27" width="20.2857142857143" style="322" bestFit="1" customWidth="1"/>
    <col min="28" max="28" width="14.5714285714286" style="197" bestFit="1" customWidth="1"/>
    <col min="29" max="29" width="7" style="197" bestFit="1" customWidth="1"/>
    <col min="30" max="30" width="11.2857142857143" style="197" bestFit="1" customWidth="1"/>
    <col min="31" max="16384" width="9.14285714285714" style="197"/>
  </cols>
  <sheetData>
    <row r="1" spans="1:23" ht="12.75">
      <c r="A1" s="201" t="str">
        <f>+'[3]Input Data'!$A$9</f>
        <v>2022 RATE CASE</v>
      </c>
      <c r="W1" s="236"/>
    </row>
    <row r="2" spans="1:23" ht="12.75">
      <c r="A2" s="193" t="str">
        <f>+'[3]Input Data'!$A$2</f>
        <v>ONCOR ELECTRIC DELIVERY COMPANY LLC</v>
      </c>
      <c r="W2" s="236"/>
    </row>
    <row r="3" spans="1:1" ht="12.75">
      <c r="A3" s="192" t="str">
        <f>CONCATENATE('[3]Schedule Sponsors'!$A$90,'[3]Schedule Sponsors'!$B$90)</f>
        <v>II-E-3.5  ADFIT</v>
      </c>
    </row>
    <row r="4" spans="1:1" ht="12.75">
      <c r="A4" s="192" t="str">
        <f>+'[3]Input Data'!$A$4</f>
        <v>TEST YEAR ENDING DECEMBER 31, 2021</v>
      </c>
    </row>
    <row r="5" spans="1:4" ht="12.75">
      <c r="A5" s="190" t="str">
        <f>CONCATENATE("SPONSOR: ",'[3]Schedule Sponsors'!$D$92)</f>
        <v>SPONSOR: B. L. CLUTTER</v>
      </c>
      <c r="D5" s="197"/>
    </row>
    <row r="6" spans="1:27" ht="12.75">
      <c r="A6" s="289"/>
      <c r="B6" s="289"/>
      <c r="C6" s="289"/>
      <c r="E6" s="324"/>
      <c r="F6" s="289"/>
      <c r="G6" s="289"/>
      <c r="H6" s="289"/>
      <c r="I6" s="289"/>
      <c r="J6" s="289"/>
      <c r="K6" s="289"/>
      <c r="AA6" s="289"/>
    </row>
    <row r="7" spans="1:27" ht="12.75">
      <c r="A7" s="289"/>
      <c r="B7" s="289"/>
      <c r="C7" s="173"/>
      <c r="E7" s="324"/>
      <c r="F7" s="289"/>
      <c r="G7" s="289"/>
      <c r="H7" s="289"/>
      <c r="I7" s="289"/>
      <c r="J7" s="289"/>
      <c r="K7" s="289"/>
      <c r="N7" s="291"/>
      <c r="AA7" s="289"/>
    </row>
    <row r="8" spans="1:27" ht="12.75">
      <c r="A8" s="289"/>
      <c r="B8" s="289"/>
      <c r="C8" s="289"/>
      <c r="E8" s="324"/>
      <c r="F8" s="289"/>
      <c r="G8" s="289"/>
      <c r="H8" s="289"/>
      <c r="I8" s="289"/>
      <c r="J8" s="289"/>
      <c r="K8" s="289"/>
      <c r="AA8" s="289"/>
    </row>
    <row r="9" spans="1:27" ht="13.5" thickBot="1">
      <c r="A9" s="289"/>
      <c r="B9" s="289"/>
      <c r="C9" s="289"/>
      <c r="E9" s="324"/>
      <c r="F9" s="289"/>
      <c r="G9" s="289"/>
      <c r="H9" s="289"/>
      <c r="I9" s="289"/>
      <c r="J9" s="289"/>
      <c r="K9" s="289"/>
      <c r="AA9" s="289"/>
    </row>
    <row r="10" spans="1:26" s="204" customFormat="1" ht="12.75">
      <c r="A10" s="216"/>
      <c r="B10" s="216"/>
      <c r="C10" s="216"/>
      <c r="D10" s="217"/>
      <c r="E10" s="325"/>
      <c r="F10" s="216"/>
      <c r="G10" s="217" t="s">
        <v>66</v>
      </c>
      <c r="H10" s="217" t="s">
        <v>400</v>
      </c>
      <c r="I10" s="217" t="s">
        <v>67</v>
      </c>
      <c r="J10" s="217" t="s">
        <v>84</v>
      </c>
      <c r="K10" s="217" t="s">
        <v>280</v>
      </c>
      <c r="L10" s="217"/>
      <c r="M10" s="216"/>
      <c r="N10" s="217" t="s">
        <v>357</v>
      </c>
      <c r="O10" s="217"/>
      <c r="P10" s="217"/>
      <c r="Q10" s="217"/>
      <c r="R10" s="217"/>
      <c r="S10" s="217"/>
      <c r="T10" s="217"/>
      <c r="U10" s="217"/>
      <c r="V10" s="217"/>
      <c r="W10" s="217"/>
      <c r="X10" s="217"/>
      <c r="Y10" s="649"/>
      <c r="Z10" s="202"/>
    </row>
    <row r="11" spans="1:26" s="204" customFormat="1" ht="12.75">
      <c r="A11" s="169" t="s">
        <v>252</v>
      </c>
      <c r="B11" s="169" t="s">
        <v>74</v>
      </c>
      <c r="C11" s="169"/>
      <c r="D11" s="169" t="s">
        <v>71</v>
      </c>
      <c r="E11" s="326" t="s">
        <v>76</v>
      </c>
      <c r="F11" s="169" t="s">
        <v>77</v>
      </c>
      <c r="G11" s="169" t="s">
        <v>68</v>
      </c>
      <c r="H11" s="169" t="s">
        <v>401</v>
      </c>
      <c r="I11" s="169" t="s">
        <v>66</v>
      </c>
      <c r="J11" s="169" t="s">
        <v>280</v>
      </c>
      <c r="K11" s="169" t="s">
        <v>47</v>
      </c>
      <c r="L11" s="169"/>
      <c r="M11" s="169" t="s">
        <v>79</v>
      </c>
      <c r="N11" s="169" t="s">
        <v>80</v>
      </c>
      <c r="O11" s="169"/>
      <c r="P11" s="169" t="s">
        <v>628</v>
      </c>
      <c r="Q11" s="169" t="s">
        <v>629</v>
      </c>
      <c r="R11" s="169" t="s">
        <v>631</v>
      </c>
      <c r="S11" s="169"/>
      <c r="T11" s="169" t="s">
        <v>628</v>
      </c>
      <c r="U11" s="169" t="s">
        <v>631</v>
      </c>
      <c r="V11" s="169"/>
      <c r="W11" s="169"/>
      <c r="X11" s="169"/>
      <c r="Y11" s="649"/>
      <c r="Z11" s="202"/>
    </row>
    <row r="12" spans="1:26" s="204" customFormat="1" ht="12.75">
      <c r="A12" s="169" t="s">
        <v>279</v>
      </c>
      <c r="B12" s="169" t="s">
        <v>213</v>
      </c>
      <c r="C12" s="169" t="s">
        <v>69</v>
      </c>
      <c r="D12" s="169" t="s">
        <v>73</v>
      </c>
      <c r="E12" s="326" t="s">
        <v>81</v>
      </c>
      <c r="F12" s="169" t="s">
        <v>82</v>
      </c>
      <c r="G12" s="169" t="s">
        <v>83</v>
      </c>
      <c r="H12" s="169" t="s">
        <v>402</v>
      </c>
      <c r="I12" s="169" t="s">
        <v>68</v>
      </c>
      <c r="J12" s="169" t="s">
        <v>80</v>
      </c>
      <c r="K12" s="169" t="s">
        <v>84</v>
      </c>
      <c r="L12" s="169"/>
      <c r="M12" s="169" t="s">
        <v>85</v>
      </c>
      <c r="N12" s="169" t="s">
        <v>86</v>
      </c>
      <c r="O12" s="169" t="s">
        <v>208</v>
      </c>
      <c r="P12" s="169" t="s">
        <v>208</v>
      </c>
      <c r="Q12" s="169" t="s">
        <v>632</v>
      </c>
      <c r="R12" s="169" t="s">
        <v>208</v>
      </c>
      <c r="S12" s="169" t="s">
        <v>209</v>
      </c>
      <c r="T12" s="169" t="s">
        <v>209</v>
      </c>
      <c r="U12" s="169" t="s">
        <v>209</v>
      </c>
      <c r="V12" s="169" t="s">
        <v>203</v>
      </c>
      <c r="W12" s="169" t="s">
        <v>291</v>
      </c>
      <c r="X12" s="169" t="s">
        <v>78</v>
      </c>
      <c r="Y12" s="649"/>
      <c r="Z12" s="202"/>
    </row>
    <row r="13" spans="1:26" s="204" customFormat="1" ht="13.5" thickBot="1">
      <c r="A13" s="219"/>
      <c r="B13" s="220" t="s">
        <v>237</v>
      </c>
      <c r="C13" s="220" t="s">
        <v>238</v>
      </c>
      <c r="D13" s="220" t="s">
        <v>239</v>
      </c>
      <c r="E13" s="327" t="s">
        <v>240</v>
      </c>
      <c r="F13" s="220" t="s">
        <v>241</v>
      </c>
      <c r="G13" s="220" t="s">
        <v>242</v>
      </c>
      <c r="H13" s="220" t="s">
        <v>243</v>
      </c>
      <c r="I13" s="220" t="s">
        <v>244</v>
      </c>
      <c r="J13" s="220" t="s">
        <v>245</v>
      </c>
      <c r="K13" s="220" t="s">
        <v>246</v>
      </c>
      <c r="L13" s="220"/>
      <c r="M13" s="220" t="s">
        <v>247</v>
      </c>
      <c r="N13" s="220" t="s">
        <v>248</v>
      </c>
      <c r="O13" s="220" t="s">
        <v>249</v>
      </c>
      <c r="P13" s="220" t="s">
        <v>250</v>
      </c>
      <c r="Q13" s="220" t="s">
        <v>251</v>
      </c>
      <c r="R13" s="220" t="s">
        <v>148</v>
      </c>
      <c r="S13" s="220" t="s">
        <v>281</v>
      </c>
      <c r="T13" s="220" t="s">
        <v>292</v>
      </c>
      <c r="U13" s="220" t="s">
        <v>293</v>
      </c>
      <c r="V13" s="220" t="s">
        <v>509</v>
      </c>
      <c r="W13" s="220" t="s">
        <v>510</v>
      </c>
      <c r="X13" s="220" t="s">
        <v>511</v>
      </c>
      <c r="Y13" s="649"/>
      <c r="Z13" s="202"/>
    </row>
    <row r="14" spans="1:27" ht="12.75">
      <c r="A14" s="197"/>
      <c r="F14" s="197"/>
      <c r="G14" s="197"/>
      <c r="H14" s="197"/>
      <c r="I14" s="197"/>
      <c r="J14" s="197"/>
      <c r="AA14" s="197"/>
    </row>
    <row r="15" spans="1:27" ht="12.75">
      <c r="A15" s="195">
        <v>1</v>
      </c>
      <c r="C15" s="199" t="s">
        <v>1257</v>
      </c>
      <c r="F15" s="197"/>
      <c r="G15" s="197"/>
      <c r="H15" s="197"/>
      <c r="I15" s="197"/>
      <c r="J15" s="197"/>
      <c r="AA15" s="197"/>
    </row>
    <row r="16" spans="1:29" ht="12.75">
      <c r="A16" s="195">
        <f>+A15+1</f>
        <v>2</v>
      </c>
      <c r="F16" s="197"/>
      <c r="G16" s="197"/>
      <c r="H16" s="197"/>
      <c r="I16" s="291"/>
      <c r="J16" s="197"/>
      <c r="AA16" s="197"/>
      <c r="AC16" s="328"/>
    </row>
    <row r="17" spans="1:35" ht="12.75">
      <c r="A17" s="195">
        <f t="shared" si="0" ref="A17:A20">+A16+1</f>
        <v>3</v>
      </c>
      <c r="B17" s="329" t="s">
        <v>295</v>
      </c>
      <c r="C17" s="199" t="s">
        <v>1253</v>
      </c>
      <c r="D17" s="226"/>
      <c r="E17" s="330"/>
      <c r="F17" s="241"/>
      <c r="G17" s="241"/>
      <c r="H17" s="241"/>
      <c r="I17" s="331"/>
      <c r="J17" s="146"/>
      <c r="K17" s="146"/>
      <c r="L17" s="146"/>
      <c r="M17" s="146"/>
      <c r="N17" s="146"/>
      <c r="O17" s="196"/>
      <c r="P17" s="196"/>
      <c r="Q17" s="196"/>
      <c r="R17" s="196"/>
      <c r="S17" s="196"/>
      <c r="T17" s="196"/>
      <c r="U17" s="196"/>
      <c r="V17" s="196"/>
      <c r="W17" s="196"/>
      <c r="X17" s="196"/>
      <c r="Y17" s="650"/>
      <c r="AA17" s="332"/>
      <c r="AB17" s="332"/>
      <c r="AC17" s="328"/>
      <c r="AD17" s="146"/>
      <c r="AE17" s="146"/>
      <c r="AF17" s="146"/>
      <c r="AG17" s="146"/>
      <c r="AH17" s="146"/>
      <c r="AI17" s="146"/>
    </row>
    <row r="18" spans="1:29" ht="12.75">
      <c r="A18" s="195">
        <f t="shared" si="0"/>
        <v>4</v>
      </c>
      <c r="B18" s="333"/>
      <c r="C18" s="660" t="s">
        <v>1199</v>
      </c>
      <c r="E18" s="472">
        <v>11634628.25</v>
      </c>
      <c r="F18" s="472">
        <v>0</v>
      </c>
      <c r="G18" s="472">
        <f t="shared" si="1" ref="G18:G40">SUM(E18:F18)</f>
        <v>11634628.25</v>
      </c>
      <c r="H18" s="472">
        <f>-G18</f>
        <v>-11634628.25</v>
      </c>
      <c r="I18" s="472">
        <f t="shared" si="2" ref="I18:I40">+G18+H18</f>
        <v>0</v>
      </c>
      <c r="J18" s="232">
        <v>1</v>
      </c>
      <c r="K18" s="472">
        <f t="shared" si="3" ref="K18:K37">+I18*J18</f>
        <v>0</v>
      </c>
      <c r="L18" s="291"/>
      <c r="N18" s="334"/>
      <c r="O18" s="472">
        <v>0</v>
      </c>
      <c r="P18" s="472">
        <v>0</v>
      </c>
      <c r="Q18" s="472">
        <v>0</v>
      </c>
      <c r="R18" s="472">
        <f>SUM(O18:Q18)</f>
        <v>0</v>
      </c>
      <c r="S18" s="472">
        <v>0</v>
      </c>
      <c r="T18" s="472">
        <v>0</v>
      </c>
      <c r="U18" s="472">
        <f>SUM(S18:T18)</f>
        <v>0</v>
      </c>
      <c r="V18" s="472">
        <v>0</v>
      </c>
      <c r="W18" s="472">
        <v>0</v>
      </c>
      <c r="X18" s="472">
        <f>+R18+U18+V18+W18</f>
        <v>0</v>
      </c>
      <c r="Y18" s="202" t="b">
        <f t="shared" si="4" ref="Y18">+K18=X18</f>
        <v>1</v>
      </c>
      <c r="Z18" s="651">
        <f>+K18-X18</f>
        <v>0</v>
      </c>
      <c r="AA18" s="197"/>
      <c r="AC18" s="328"/>
    </row>
    <row r="19" spans="1:29" ht="12.75">
      <c r="A19" s="195">
        <f t="shared" si="0"/>
        <v>5</v>
      </c>
      <c r="B19" s="333"/>
      <c r="C19" s="660" t="s">
        <v>1200</v>
      </c>
      <c r="E19" s="473">
        <v>4330663.04</v>
      </c>
      <c r="F19" s="473">
        <v>0</v>
      </c>
      <c r="G19" s="473">
        <f t="shared" si="1"/>
        <v>4330663.04</v>
      </c>
      <c r="H19" s="473">
        <f>-E19</f>
        <v>-4330663.04</v>
      </c>
      <c r="I19" s="473">
        <f>+G19+H19</f>
        <v>0</v>
      </c>
      <c r="J19" s="232">
        <v>1</v>
      </c>
      <c r="K19" s="474">
        <f t="shared" si="3"/>
        <v>0</v>
      </c>
      <c r="L19" s="291"/>
      <c r="N19" s="334"/>
      <c r="O19" s="474">
        <v>0</v>
      </c>
      <c r="P19" s="474">
        <v>0</v>
      </c>
      <c r="Q19" s="474">
        <v>0</v>
      </c>
      <c r="R19" s="474">
        <f t="shared" si="5" ref="R19:R61">SUM(O19:Q19)</f>
        <v>0</v>
      </c>
      <c r="S19" s="474">
        <v>0</v>
      </c>
      <c r="T19" s="474">
        <v>0</v>
      </c>
      <c r="U19" s="474">
        <f t="shared" si="6" ref="U19:U61">SUM(S19:T19)</f>
        <v>0</v>
      </c>
      <c r="V19" s="474">
        <v>0</v>
      </c>
      <c r="W19" s="474">
        <v>0</v>
      </c>
      <c r="X19" s="475">
        <f t="shared" si="7" ref="X19:X61">+R19+U19+V19+W19</f>
        <v>0</v>
      </c>
      <c r="Y19" s="202" t="b">
        <f t="shared" si="8" ref="Y19:Y61">+K19=X19</f>
        <v>1</v>
      </c>
      <c r="Z19" s="651">
        <f t="shared" si="9" ref="Z19:Z61">+K19-X19</f>
        <v>0</v>
      </c>
      <c r="AA19" s="197"/>
      <c r="AC19" s="328"/>
    </row>
    <row r="20" spans="1:29" ht="12.75">
      <c r="A20" s="195">
        <f t="shared" si="0"/>
        <v>6</v>
      </c>
      <c r="B20" s="333"/>
      <c r="C20" s="660" t="s">
        <v>1110</v>
      </c>
      <c r="E20" s="473">
        <v>29212843.5</v>
      </c>
      <c r="F20" s="473">
        <v>0</v>
      </c>
      <c r="G20" s="473">
        <f t="shared" si="1"/>
        <v>29212843.5</v>
      </c>
      <c r="H20" s="473"/>
      <c r="I20" s="473">
        <f t="shared" si="10" ref="I20:I37">+G20+H20</f>
        <v>29212843.5</v>
      </c>
      <c r="J20" s="232">
        <v>1</v>
      </c>
      <c r="K20" s="474">
        <f t="shared" si="3"/>
        <v>29212843.5</v>
      </c>
      <c r="L20" s="291"/>
      <c r="N20" s="195" t="s">
        <v>798</v>
      </c>
      <c r="O20" s="426">
        <f>ROUND($K20*'[5]II-F Alloc_Factor'!E$40,2)</f>
        <v>13561549.76</v>
      </c>
      <c r="P20" s="426">
        <f>ROUND($K20*'[5]II-F Alloc_Factor'!F$40,2)</f>
        <v>0</v>
      </c>
      <c r="Q20" s="426">
        <f>ROUND($K20*'[5]II-F Alloc_Factor'!G$40,2)</f>
        <v>17301.59</v>
      </c>
      <c r="R20" s="474">
        <f t="shared" si="5"/>
        <v>13578851.35</v>
      </c>
      <c r="S20" s="426">
        <f>ROUND($K20*'[5]II-F Alloc_Factor'!I$40,2)</f>
        <v>14707290.310000001</v>
      </c>
      <c r="T20" s="426">
        <f>ROUND($K20*'[5]II-F Alloc_Factor'!J$40,2)</f>
        <v>0</v>
      </c>
      <c r="U20" s="474">
        <f t="shared" si="6"/>
        <v>14707290.310000001</v>
      </c>
      <c r="V20" s="426">
        <f>ROUND($K20*'[5]II-F Alloc_Factor'!L$40,2)</f>
        <v>500176.59999999998</v>
      </c>
      <c r="W20" s="426">
        <f>+K20-R20-U20-V20</f>
        <v>426525.23999999987</v>
      </c>
      <c r="X20" s="475">
        <f t="shared" si="7"/>
        <v>29212843.5</v>
      </c>
      <c r="Y20" s="202" t="b">
        <f t="shared" si="8"/>
        <v>1</v>
      </c>
      <c r="Z20" s="651">
        <f t="shared" si="9"/>
        <v>0</v>
      </c>
      <c r="AA20" s="197"/>
      <c r="AC20" s="328"/>
    </row>
    <row r="21" spans="1:29" ht="12.75">
      <c r="A21" s="195">
        <f t="shared" si="11" ref="A21:A77">+A20+1</f>
        <v>7</v>
      </c>
      <c r="B21" s="333"/>
      <c r="C21" s="660" t="s">
        <v>625</v>
      </c>
      <c r="E21" s="473">
        <v>529245.91000000003</v>
      </c>
      <c r="F21" s="473">
        <v>0</v>
      </c>
      <c r="G21" s="473">
        <f t="shared" si="1"/>
        <v>529245.91000000003</v>
      </c>
      <c r="H21" s="473">
        <v>0</v>
      </c>
      <c r="I21" s="473">
        <f t="shared" si="10"/>
        <v>529245.91000000003</v>
      </c>
      <c r="J21" s="232">
        <v>1</v>
      </c>
      <c r="K21" s="474">
        <f t="shared" si="3"/>
        <v>529245.91000000003</v>
      </c>
      <c r="L21" s="291"/>
      <c r="N21" s="195" t="s">
        <v>798</v>
      </c>
      <c r="O21" s="426">
        <f>ROUND($K21*'[5]II-F Alloc_Factor'!E$40,2)</f>
        <v>245693.12</v>
      </c>
      <c r="P21" s="426">
        <f>ROUND($K21*'[5]II-F Alloc_Factor'!F$40,2)</f>
        <v>0</v>
      </c>
      <c r="Q21" s="426">
        <f>ROUND($K21*'[5]II-F Alloc_Factor'!G$40,2)</f>
        <v>313.44999999999999</v>
      </c>
      <c r="R21" s="474">
        <f t="shared" si="5"/>
        <v>246006.57000000001</v>
      </c>
      <c r="S21" s="426">
        <f>ROUND($K21*'[5]II-F Alloc_Factor'!I$40,2)</f>
        <v>266450.38</v>
      </c>
      <c r="T21" s="426">
        <f>ROUND($K21*'[5]II-F Alloc_Factor'!J$40,2)</f>
        <v>0</v>
      </c>
      <c r="U21" s="474">
        <f t="shared" si="6"/>
        <v>266450.38</v>
      </c>
      <c r="V21" s="426">
        <f>ROUND($K21*'[5]II-F Alloc_Factor'!L$40,2)</f>
        <v>9061.6499999999996</v>
      </c>
      <c r="W21" s="426">
        <f>+K21-R21-U21-V21</f>
        <v>7727.3100000000213</v>
      </c>
      <c r="X21" s="475">
        <f t="shared" si="7"/>
        <v>529245.91000000003</v>
      </c>
      <c r="Y21" s="202" t="b">
        <f t="shared" si="8"/>
        <v>1</v>
      </c>
      <c r="Z21" s="651">
        <f t="shared" si="9"/>
        <v>0</v>
      </c>
      <c r="AA21" s="197"/>
      <c r="AC21" s="328"/>
    </row>
    <row r="22" spans="1:29" ht="12.75">
      <c r="A22" s="195">
        <f t="shared" si="11"/>
        <v>8</v>
      </c>
      <c r="B22" s="333"/>
      <c r="C22" s="660" t="s">
        <v>664</v>
      </c>
      <c r="E22" s="473">
        <v>24511365.629999999</v>
      </c>
      <c r="F22" s="473">
        <v>0</v>
      </c>
      <c r="G22" s="473">
        <f t="shared" si="1"/>
        <v>24511365.629999999</v>
      </c>
      <c r="H22" s="473">
        <v>1098897.4399999999</v>
      </c>
      <c r="I22" s="473">
        <f t="shared" si="10"/>
        <v>25610263.07</v>
      </c>
      <c r="J22" s="232">
        <v>1</v>
      </c>
      <c r="K22" s="474">
        <f t="shared" si="3"/>
        <v>25610263.07</v>
      </c>
      <c r="L22" s="291"/>
      <c r="N22" s="195" t="s">
        <v>798</v>
      </c>
      <c r="O22" s="426">
        <f>ROUND($K22*'[5]II-F Alloc_Factor'!E$40,2)</f>
        <v>11889115.039999999</v>
      </c>
      <c r="P22" s="426">
        <f>ROUND($K22*'[5]II-F Alloc_Factor'!F$40,2)</f>
        <v>0</v>
      </c>
      <c r="Q22" s="426">
        <f>ROUND($K22*'[5]II-F Alloc_Factor'!G$40,2)</f>
        <v>15167.92</v>
      </c>
      <c r="R22" s="474">
        <f t="shared" si="5"/>
        <v>11904282.959999999</v>
      </c>
      <c r="S22" s="426">
        <f>ROUND($K22*'[5]II-F Alloc_Factor'!I$40,2)</f>
        <v>12893560.800000001</v>
      </c>
      <c r="T22" s="426">
        <f>ROUND($K22*'[5]II-F Alloc_Factor'!J$40,2)</f>
        <v>0</v>
      </c>
      <c r="U22" s="474">
        <f t="shared" si="6"/>
        <v>12893560.800000001</v>
      </c>
      <c r="V22" s="426">
        <f>ROUND($K22*'[5]II-F Alloc_Factor'!L$40,2)</f>
        <v>438493.91999999998</v>
      </c>
      <c r="W22" s="426">
        <f>+K22-R22-U22-V22</f>
        <v>373925.39000000054</v>
      </c>
      <c r="X22" s="475">
        <f t="shared" si="7"/>
        <v>25610263.07</v>
      </c>
      <c r="Y22" s="202" t="b">
        <f t="shared" si="8"/>
        <v>1</v>
      </c>
      <c r="Z22" s="651">
        <f t="shared" si="9"/>
        <v>0</v>
      </c>
      <c r="AA22" s="197"/>
      <c r="AC22" s="328"/>
    </row>
    <row r="23" spans="1:29" ht="12.75">
      <c r="A23" s="195">
        <f t="shared" si="11"/>
        <v>9</v>
      </c>
      <c r="B23" s="333"/>
      <c r="C23" s="660" t="s">
        <v>818</v>
      </c>
      <c r="E23" s="473">
        <v>140031798.01999998</v>
      </c>
      <c r="F23" s="473">
        <v>0</v>
      </c>
      <c r="G23" s="473">
        <f t="shared" si="1"/>
        <v>140031798.01999998</v>
      </c>
      <c r="H23" s="473">
        <v>0</v>
      </c>
      <c r="I23" s="473">
        <f t="shared" si="10"/>
        <v>140031798.01999998</v>
      </c>
      <c r="J23" s="232">
        <v>1</v>
      </c>
      <c r="K23" s="474">
        <f t="shared" si="12" ref="K23">+I23*J23</f>
        <v>140031798.01999998</v>
      </c>
      <c r="L23" s="291"/>
      <c r="N23" s="232" t="s">
        <v>799</v>
      </c>
      <c r="O23" s="426">
        <f>ROUND($K23*'[5]II-F Alloc_Factor'!E$41,2)</f>
        <v>0</v>
      </c>
      <c r="P23" s="426">
        <f>ROUND($K23*'[5]II-F Alloc_Factor'!F$41,2)</f>
        <v>129446250.03</v>
      </c>
      <c r="Q23" s="426">
        <f>ROUND($K23*'[5]II-F Alloc_Factor'!G$41,2)</f>
        <v>0</v>
      </c>
      <c r="R23" s="474">
        <f t="shared" si="5"/>
        <v>129446250.03</v>
      </c>
      <c r="S23" s="426">
        <f>ROUND($K23*'[5]II-F Alloc_Factor'!I$41,2)</f>
        <v>0</v>
      </c>
      <c r="T23" s="426">
        <f>ROUND($K23*'[5]II-F Alloc_Factor'!J$41,2)</f>
        <v>10585547.99</v>
      </c>
      <c r="U23" s="474">
        <f t="shared" si="6"/>
        <v>10585547.99</v>
      </c>
      <c r="V23" s="426">
        <f>ROUND($K23*'[5]II-F Alloc_Factor'!L$41,2)</f>
        <v>0</v>
      </c>
      <c r="W23" s="426">
        <f>ROUND($K23*'[5]II-F Alloc_Factor'!M$41,2)</f>
        <v>0</v>
      </c>
      <c r="X23" s="475">
        <f t="shared" si="7"/>
        <v>140031798.02000001</v>
      </c>
      <c r="Y23" s="202" t="b">
        <f t="shared" si="13" ref="Y23">+K23=X23</f>
        <v>1</v>
      </c>
      <c r="Z23" s="651">
        <f t="shared" si="14" ref="Z23">+K23-X23</f>
        <v>0</v>
      </c>
      <c r="AA23" s="197"/>
      <c r="AC23" s="328"/>
    </row>
    <row r="24" spans="1:29" ht="12.75">
      <c r="A24" s="195">
        <f t="shared" si="11"/>
        <v>10</v>
      </c>
      <c r="B24" s="333"/>
      <c r="C24" s="660" t="s">
        <v>363</v>
      </c>
      <c r="E24" s="473">
        <v>230710390.94999999</v>
      </c>
      <c r="F24" s="473">
        <v>0</v>
      </c>
      <c r="G24" s="473">
        <f t="shared" si="1"/>
        <v>230710390.94999999</v>
      </c>
      <c r="H24" s="473">
        <v>0</v>
      </c>
      <c r="I24" s="473">
        <f t="shared" si="10"/>
        <v>230710390.94999999</v>
      </c>
      <c r="J24" s="232">
        <v>1</v>
      </c>
      <c r="K24" s="474">
        <f t="shared" si="3"/>
        <v>230710390.94999999</v>
      </c>
      <c r="L24" s="291"/>
      <c r="N24" s="259" t="s">
        <v>405</v>
      </c>
      <c r="O24" s="426">
        <f>ROUND($K24*'[5]II-F Alloc_Factor'!E$31,2)</f>
        <v>55637005.609999999</v>
      </c>
      <c r="P24" s="426">
        <f>ROUND($K24*'[5]II-F Alloc_Factor'!F$31,2)</f>
        <v>0</v>
      </c>
      <c r="Q24" s="426">
        <f>ROUND($K24*'[5]II-F Alloc_Factor'!G$31,2)</f>
        <v>0</v>
      </c>
      <c r="R24" s="474">
        <f t="shared" si="5"/>
        <v>55637005.609999999</v>
      </c>
      <c r="S24" s="426">
        <f>ROUND($K24*'[5]II-F Alloc_Factor'!I$31,2)</f>
        <v>78664318.939999998</v>
      </c>
      <c r="T24" s="426">
        <f>ROUND($K24*'[5]II-F Alloc_Factor'!J$31,2)</f>
        <v>0</v>
      </c>
      <c r="U24" s="474">
        <f t="shared" si="6"/>
        <v>78664318.939999998</v>
      </c>
      <c r="V24" s="426">
        <f>ROUND($K24*'[5]II-F Alloc_Factor'!L$31,2)</f>
        <v>11332916.470000001</v>
      </c>
      <c r="W24" s="426">
        <f t="shared" si="15" ref="W24:W37">+K24-R24-U24-V24</f>
        <v>85076149.929999977</v>
      </c>
      <c r="X24" s="475">
        <f t="shared" si="7"/>
        <v>230710390.94999999</v>
      </c>
      <c r="Y24" s="202" t="b">
        <f t="shared" si="8"/>
        <v>1</v>
      </c>
      <c r="Z24" s="651">
        <f t="shared" si="9"/>
        <v>0</v>
      </c>
      <c r="AA24" s="197"/>
      <c r="AC24" s="328"/>
    </row>
    <row r="25" spans="1:29" ht="12.75">
      <c r="A25" s="195">
        <f t="shared" si="11"/>
        <v>11</v>
      </c>
      <c r="B25" s="333"/>
      <c r="C25" s="660" t="s">
        <v>435</v>
      </c>
      <c r="E25" s="473">
        <v>-51776074.170000002</v>
      </c>
      <c r="F25" s="473">
        <v>0</v>
      </c>
      <c r="G25" s="473">
        <f t="shared" si="1"/>
        <v>-51776074.170000002</v>
      </c>
      <c r="H25" s="473">
        <v>0</v>
      </c>
      <c r="I25" s="473">
        <f t="shared" si="10"/>
        <v>-51776074.170000002</v>
      </c>
      <c r="J25" s="232">
        <v>1</v>
      </c>
      <c r="K25" s="474">
        <f t="shared" si="3"/>
        <v>-51776074.170000002</v>
      </c>
      <c r="L25" s="291"/>
      <c r="N25" s="259" t="s">
        <v>405</v>
      </c>
      <c r="O25" s="426">
        <f>ROUND($K25*'[5]II-F Alloc_Factor'!E$31,2)</f>
        <v>-12486068.43</v>
      </c>
      <c r="P25" s="426">
        <f>ROUND($K25*'[5]II-F Alloc_Factor'!F$31,2)</f>
        <v>0</v>
      </c>
      <c r="Q25" s="426">
        <f>ROUND($K25*'[5]II-F Alloc_Factor'!G$31,2)</f>
        <v>0</v>
      </c>
      <c r="R25" s="474">
        <f t="shared" si="5"/>
        <v>-12486068.43</v>
      </c>
      <c r="S25" s="426">
        <f>ROUND($K25*'[5]II-F Alloc_Factor'!I$31,2)</f>
        <v>-17653862.899999999</v>
      </c>
      <c r="T25" s="426">
        <f>ROUND($K25*'[5]II-F Alloc_Factor'!J$31,2)</f>
        <v>0</v>
      </c>
      <c r="U25" s="474">
        <f t="shared" si="6"/>
        <v>-17653862.899999999</v>
      </c>
      <c r="V25" s="426">
        <f>ROUND($K25*'[5]II-F Alloc_Factor'!L$31,2)</f>
        <v>-2543335.48</v>
      </c>
      <c r="W25" s="426">
        <f t="shared" si="15"/>
        <v>-19092807.360000003</v>
      </c>
      <c r="X25" s="475">
        <f t="shared" si="7"/>
        <v>-51776074.170000002</v>
      </c>
      <c r="Y25" s="202" t="b">
        <f t="shared" si="8"/>
        <v>1</v>
      </c>
      <c r="Z25" s="651">
        <f t="shared" si="9"/>
        <v>0</v>
      </c>
      <c r="AA25" s="197"/>
      <c r="AC25" s="328"/>
    </row>
    <row r="26" spans="1:29" ht="12.75">
      <c r="A26" s="195">
        <f t="shared" si="11"/>
        <v>12</v>
      </c>
      <c r="B26" s="333"/>
      <c r="C26" s="660" t="s">
        <v>358</v>
      </c>
      <c r="E26" s="473">
        <v>-695156538.97000003</v>
      </c>
      <c r="F26" s="473">
        <v>0</v>
      </c>
      <c r="G26" s="473">
        <f t="shared" si="1"/>
        <v>-695156538.97000003</v>
      </c>
      <c r="H26" s="473">
        <v>-1098897.4399999999</v>
      </c>
      <c r="I26" s="473">
        <f t="shared" si="10"/>
        <v>-696255436.41000009</v>
      </c>
      <c r="J26" s="232">
        <v>1</v>
      </c>
      <c r="K26" s="474">
        <f t="shared" si="3"/>
        <v>-696255436.41000009</v>
      </c>
      <c r="L26" s="291"/>
      <c r="N26" s="195" t="s">
        <v>798</v>
      </c>
      <c r="O26" s="426">
        <f>ROUND($K26*'[5]II-F Alloc_Factor'!E$40,2)</f>
        <v>-323224363.52999997</v>
      </c>
      <c r="P26" s="426">
        <f>ROUND($K26*'[5]II-F Alloc_Factor'!F$40,2)</f>
        <v>0</v>
      </c>
      <c r="Q26" s="426">
        <f>ROUND($K26*'[5]II-F Alloc_Factor'!G$40,2)</f>
        <v>-412363.92999999999</v>
      </c>
      <c r="R26" s="474">
        <f t="shared" si="5"/>
        <v>-323636727.45999998</v>
      </c>
      <c r="S26" s="426">
        <f>ROUND($K26*'[5]II-F Alloc_Factor'!I$40,2)</f>
        <v>-350531807.42000002</v>
      </c>
      <c r="T26" s="426">
        <f>ROUND($K26*'[5]II-F Alloc_Factor'!J$40,2)</f>
        <v>0</v>
      </c>
      <c r="U26" s="474">
        <f t="shared" si="6"/>
        <v>-350531807.42000002</v>
      </c>
      <c r="V26" s="426">
        <f>ROUND($K26*'[5]II-F Alloc_Factor'!L$40,2)</f>
        <v>-11921149.67</v>
      </c>
      <c r="W26" s="426">
        <f t="shared" si="15"/>
        <v>-10165751.860000091</v>
      </c>
      <c r="X26" s="475">
        <f t="shared" si="7"/>
        <v>-696255436.41000009</v>
      </c>
      <c r="Y26" s="202" t="b">
        <f t="shared" si="8"/>
        <v>1</v>
      </c>
      <c r="Z26" s="651">
        <f t="shared" si="9"/>
        <v>0</v>
      </c>
      <c r="AA26" s="197"/>
      <c r="AC26" s="328"/>
    </row>
    <row r="27" spans="1:29" ht="12.75">
      <c r="A27" s="195">
        <f t="shared" si="11"/>
        <v>13</v>
      </c>
      <c r="B27" s="336"/>
      <c r="C27" s="660" t="s">
        <v>665</v>
      </c>
      <c r="E27" s="473">
        <v>2312572812.0900002</v>
      </c>
      <c r="F27" s="473">
        <v>0</v>
      </c>
      <c r="G27" s="473">
        <f t="shared" si="1"/>
        <v>2312572812.0900002</v>
      </c>
      <c r="H27" s="473">
        <v>-315248.51000000001</v>
      </c>
      <c r="I27" s="473">
        <f t="shared" si="10"/>
        <v>2312257563.5799999</v>
      </c>
      <c r="J27" s="232">
        <v>1</v>
      </c>
      <c r="K27" s="474">
        <f t="shared" si="3"/>
        <v>2312257563.5799999</v>
      </c>
      <c r="L27" s="291"/>
      <c r="N27" s="195" t="s">
        <v>798</v>
      </c>
      <c r="O27" s="426">
        <f>ROUND($K27*'[5]II-F Alloc_Factor'!E$40,2)</f>
        <v>1073424982.01</v>
      </c>
      <c r="P27" s="426">
        <f>ROUND($K27*'[5]II-F Alloc_Factor'!F$40,2)</f>
        <v>0</v>
      </c>
      <c r="Q27" s="426">
        <f>ROUND($K27*'[5]II-F Alloc_Factor'!G$40,2)</f>
        <v>1369456.6299999999</v>
      </c>
      <c r="R27" s="474">
        <f t="shared" si="5"/>
        <v>1074794438.6400001</v>
      </c>
      <c r="S27" s="426">
        <f>ROUND($K27*'[5]II-F Alloc_Factor'!I$40,2)</f>
        <v>1164112738.79</v>
      </c>
      <c r="T27" s="426">
        <f>ROUND($K27*'[5]II-F Alloc_Factor'!J$40,2)</f>
        <v>0</v>
      </c>
      <c r="U27" s="474">
        <f t="shared" si="6"/>
        <v>1164112738.79</v>
      </c>
      <c r="V27" s="426">
        <f>ROUND($K27*'[5]II-F Alloc_Factor'!L$40,2)</f>
        <v>39590022.630000003</v>
      </c>
      <c r="W27" s="426">
        <f t="shared" si="15"/>
        <v>33760363.519999854</v>
      </c>
      <c r="X27" s="475">
        <f t="shared" si="7"/>
        <v>2312257563.5800004</v>
      </c>
      <c r="Y27" s="202" t="b">
        <f t="shared" si="8"/>
        <v>1</v>
      </c>
      <c r="Z27" s="651">
        <f t="shared" si="9"/>
        <v>0</v>
      </c>
      <c r="AA27" s="197"/>
      <c r="AC27" s="328"/>
    </row>
    <row r="28" spans="1:29" ht="12.75">
      <c r="A28" s="195">
        <f t="shared" si="11"/>
        <v>14</v>
      </c>
      <c r="B28" s="329"/>
      <c r="C28" s="660" t="s">
        <v>436</v>
      </c>
      <c r="E28" s="473">
        <v>168795699.59999999</v>
      </c>
      <c r="F28" s="473">
        <v>0</v>
      </c>
      <c r="G28" s="473">
        <f t="shared" si="1"/>
        <v>168795699.59999999</v>
      </c>
      <c r="H28" s="473">
        <v>0</v>
      </c>
      <c r="I28" s="473">
        <f t="shared" si="10"/>
        <v>168795699.59999999</v>
      </c>
      <c r="J28" s="232">
        <v>1</v>
      </c>
      <c r="K28" s="474">
        <f t="shared" si="3"/>
        <v>168795699.59999999</v>
      </c>
      <c r="L28" s="291"/>
      <c r="N28" s="195" t="s">
        <v>798</v>
      </c>
      <c r="O28" s="426">
        <f>ROUND($K28*'[5]II-F Alloc_Factor'!E$40,2)</f>
        <v>78360440.319999993</v>
      </c>
      <c r="P28" s="426">
        <f>ROUND($K28*'[5]II-F Alloc_Factor'!F$40,2)</f>
        <v>0</v>
      </c>
      <c r="Q28" s="426">
        <f>ROUND($K28*'[5]II-F Alloc_Factor'!G$40,2)</f>
        <v>99970.869999999995</v>
      </c>
      <c r="R28" s="474">
        <f t="shared" si="5"/>
        <v>78460411.189999998</v>
      </c>
      <c r="S28" s="426">
        <f>ROUND($K28*'[5]II-F Alloc_Factor'!I$40,2)</f>
        <v>84980681.760000005</v>
      </c>
      <c r="T28" s="426">
        <f>ROUND($K28*'[5]II-F Alloc_Factor'!J$40,2)</f>
        <v>0</v>
      </c>
      <c r="U28" s="474">
        <f t="shared" si="6"/>
        <v>84980681.760000005</v>
      </c>
      <c r="V28" s="426">
        <f>ROUND($K28*'[5]II-F Alloc_Factor'!L$40,2)</f>
        <v>2890087.02</v>
      </c>
      <c r="W28" s="426">
        <f t="shared" si="15"/>
        <v>2464519.629999991</v>
      </c>
      <c r="X28" s="475">
        <f t="shared" si="7"/>
        <v>168795699.59999999</v>
      </c>
      <c r="Y28" s="202" t="b">
        <f t="shared" si="8"/>
        <v>1</v>
      </c>
      <c r="Z28" s="651">
        <f t="shared" si="9"/>
        <v>0</v>
      </c>
      <c r="AA28" s="197"/>
      <c r="AC28" s="328"/>
    </row>
    <row r="29" spans="1:29" ht="12.75">
      <c r="A29" s="195">
        <f t="shared" si="11"/>
        <v>15</v>
      </c>
      <c r="B29" s="329"/>
      <c r="C29" s="660" t="s">
        <v>370</v>
      </c>
      <c r="E29" s="473">
        <v>5190674.8600000003</v>
      </c>
      <c r="F29" s="473">
        <v>0</v>
      </c>
      <c r="G29" s="473">
        <f t="shared" si="1"/>
        <v>5190674.8600000003</v>
      </c>
      <c r="H29" s="473">
        <v>0</v>
      </c>
      <c r="I29" s="473">
        <f t="shared" si="10"/>
        <v>5190674.8600000003</v>
      </c>
      <c r="J29" s="232">
        <v>1</v>
      </c>
      <c r="K29" s="474">
        <f t="shared" si="3"/>
        <v>5190674.8600000003</v>
      </c>
      <c r="L29" s="291"/>
      <c r="N29" s="195" t="s">
        <v>798</v>
      </c>
      <c r="O29" s="426">
        <f>ROUND($K29*'[5]II-F Alloc_Factor'!E$40,2)</f>
        <v>2409679.6800000002</v>
      </c>
      <c r="P29" s="426">
        <f>ROUND($K29*'[5]II-F Alloc_Factor'!F$40,2)</f>
        <v>0</v>
      </c>
      <c r="Q29" s="426">
        <f>ROUND($K29*'[5]II-F Alloc_Factor'!G$40,2)</f>
        <v>3074.23</v>
      </c>
      <c r="R29" s="474">
        <f t="shared" si="5"/>
        <v>2412753.9100000001</v>
      </c>
      <c r="S29" s="426">
        <f>ROUND($K29*'[5]II-F Alloc_Factor'!I$40,2)</f>
        <v>2613260.23</v>
      </c>
      <c r="T29" s="426">
        <f>ROUND($K29*'[5]II-F Alloc_Factor'!J$40,2)</f>
        <v>0</v>
      </c>
      <c r="U29" s="474">
        <f t="shared" si="6"/>
        <v>2613260.23</v>
      </c>
      <c r="V29" s="426">
        <f>ROUND($K29*'[5]II-F Alloc_Factor'!L$40,2)</f>
        <v>88873.720000000001</v>
      </c>
      <c r="W29" s="426">
        <f t="shared" si="15"/>
        <v>75787.000000000204</v>
      </c>
      <c r="X29" s="475">
        <f t="shared" si="7"/>
        <v>5190674.8600000003</v>
      </c>
      <c r="Y29" s="202" t="b">
        <f t="shared" si="8"/>
        <v>1</v>
      </c>
      <c r="Z29" s="651">
        <f t="shared" si="9"/>
        <v>0</v>
      </c>
      <c r="AA29" s="197"/>
      <c r="AC29" s="328"/>
    </row>
    <row r="30" spans="1:29" ht="12.75">
      <c r="A30" s="195">
        <f t="shared" si="11"/>
        <v>16</v>
      </c>
      <c r="B30" s="329"/>
      <c r="C30" s="660" t="s">
        <v>418</v>
      </c>
      <c r="E30" s="473">
        <v>164293029.31999999</v>
      </c>
      <c r="F30" s="473">
        <v>0</v>
      </c>
      <c r="G30" s="473">
        <f t="shared" si="1"/>
        <v>164293029.31999999</v>
      </c>
      <c r="H30" s="473">
        <v>0</v>
      </c>
      <c r="I30" s="473">
        <f t="shared" si="10"/>
        <v>164293029.31999999</v>
      </c>
      <c r="J30" s="232">
        <v>1</v>
      </c>
      <c r="K30" s="474">
        <f t="shared" si="3"/>
        <v>164293029.31999999</v>
      </c>
      <c r="L30" s="291"/>
      <c r="N30" s="195" t="s">
        <v>798</v>
      </c>
      <c r="O30" s="426">
        <f>ROUND($K30*'[5]II-F Alloc_Factor'!E$40,2)</f>
        <v>76270154.680000007</v>
      </c>
      <c r="P30" s="426">
        <f>ROUND($K30*'[5]II-F Alloc_Factor'!F$40,2)</f>
        <v>0</v>
      </c>
      <c r="Q30" s="426">
        <f>ROUND($K30*'[5]II-F Alloc_Factor'!G$40,2)</f>
        <v>97304.119999999995</v>
      </c>
      <c r="R30" s="474">
        <f t="shared" si="5"/>
        <v>76367458.800000012</v>
      </c>
      <c r="S30" s="426">
        <f>ROUND($K30*'[5]II-F Alloc_Factor'!I$40,2)</f>
        <v>82713799.420000002</v>
      </c>
      <c r="T30" s="426">
        <f>ROUND($K30*'[5]II-F Alloc_Factor'!J$40,2)</f>
        <v>0</v>
      </c>
      <c r="U30" s="474">
        <f t="shared" si="6"/>
        <v>82713799.420000002</v>
      </c>
      <c r="V30" s="426">
        <f>ROUND($K30*'[5]II-F Alloc_Factor'!L$40,2)</f>
        <v>2812993.1800000002</v>
      </c>
      <c r="W30" s="426">
        <f t="shared" si="15"/>
        <v>2398777.919999979</v>
      </c>
      <c r="X30" s="475">
        <f t="shared" si="7"/>
        <v>164293029.32000002</v>
      </c>
      <c r="Y30" s="202" t="b">
        <f t="shared" si="8"/>
        <v>1</v>
      </c>
      <c r="Z30" s="651">
        <f t="shared" si="9"/>
        <v>0</v>
      </c>
      <c r="AA30" s="197"/>
      <c r="AC30" s="328"/>
    </row>
    <row r="31" spans="1:29" ht="12.75">
      <c r="A31" s="195">
        <f t="shared" si="11"/>
        <v>17</v>
      </c>
      <c r="B31" s="336"/>
      <c r="C31" s="660" t="s">
        <v>419</v>
      </c>
      <c r="E31" s="473">
        <v>5810181.2000000002</v>
      </c>
      <c r="F31" s="473">
        <v>0</v>
      </c>
      <c r="G31" s="473">
        <f t="shared" si="1"/>
        <v>5810181.2000000002</v>
      </c>
      <c r="H31" s="473">
        <v>0</v>
      </c>
      <c r="I31" s="473">
        <f t="shared" si="10"/>
        <v>5810181.2000000002</v>
      </c>
      <c r="J31" s="232">
        <v>1</v>
      </c>
      <c r="K31" s="474">
        <f t="shared" si="3"/>
        <v>5810181.2000000002</v>
      </c>
      <c r="L31" s="291"/>
      <c r="N31" s="195" t="s">
        <v>798</v>
      </c>
      <c r="O31" s="426">
        <f>ROUND($K31*'[5]II-F Alloc_Factor'!E$40,2)</f>
        <v>2697274.6200000001</v>
      </c>
      <c r="P31" s="426">
        <f>ROUND($K31*'[5]II-F Alloc_Factor'!F$40,2)</f>
        <v>0</v>
      </c>
      <c r="Q31" s="426">
        <f>ROUND($K31*'[5]II-F Alloc_Factor'!G$40,2)</f>
        <v>3441.1399999999999</v>
      </c>
      <c r="R31" s="474">
        <f t="shared" si="5"/>
        <v>2700715.7600000002</v>
      </c>
      <c r="S31" s="426">
        <f>ROUND($K31*'[5]II-F Alloc_Factor'!I$40,2)</f>
        <v>2925152.48</v>
      </c>
      <c r="T31" s="426">
        <f>ROUND($K31*'[5]II-F Alloc_Factor'!J$40,2)</f>
        <v>0</v>
      </c>
      <c r="U31" s="474">
        <f t="shared" si="6"/>
        <v>2925152.48</v>
      </c>
      <c r="V31" s="426">
        <f>ROUND($K31*'[5]II-F Alloc_Factor'!L$40,2)</f>
        <v>99480.789999999994</v>
      </c>
      <c r="W31" s="426">
        <f t="shared" si="15"/>
        <v>84832.169999999969</v>
      </c>
      <c r="X31" s="475">
        <f t="shared" si="7"/>
        <v>5810181.2000000002</v>
      </c>
      <c r="Y31" s="202" t="b">
        <f t="shared" si="8"/>
        <v>1</v>
      </c>
      <c r="Z31" s="651">
        <f t="shared" si="9"/>
        <v>0</v>
      </c>
      <c r="AA31" s="197"/>
      <c r="AC31" s="328"/>
    </row>
    <row r="32" spans="1:29" ht="12.75">
      <c r="A32" s="195">
        <f t="shared" si="11"/>
        <v>18</v>
      </c>
      <c r="B32" s="336"/>
      <c r="C32" s="660" t="s">
        <v>336</v>
      </c>
      <c r="E32" s="473">
        <v>101505570.17999999</v>
      </c>
      <c r="F32" s="473">
        <v>0</v>
      </c>
      <c r="G32" s="473">
        <f t="shared" si="1"/>
        <v>101505570.17999999</v>
      </c>
      <c r="H32" s="473">
        <v>0</v>
      </c>
      <c r="I32" s="473">
        <f t="shared" si="10"/>
        <v>101505570.17999999</v>
      </c>
      <c r="J32" s="232">
        <v>1</v>
      </c>
      <c r="K32" s="474">
        <f t="shared" si="3"/>
        <v>101505570.17999999</v>
      </c>
      <c r="L32" s="291"/>
      <c r="N32" s="195" t="s">
        <v>798</v>
      </c>
      <c r="O32" s="426">
        <f>ROUND($K32*'[5]II-F Alloc_Factor'!E$40,2)</f>
        <v>47122179.020000003</v>
      </c>
      <c r="P32" s="426">
        <f>ROUND($K32*'[5]II-F Alloc_Factor'!F$40,2)</f>
        <v>0</v>
      </c>
      <c r="Q32" s="426">
        <f>ROUND($K32*'[5]II-F Alloc_Factor'!G$40,2)</f>
        <v>60117.639999999999</v>
      </c>
      <c r="R32" s="474">
        <f t="shared" si="5"/>
        <v>47182296.660000004</v>
      </c>
      <c r="S32" s="426">
        <f>ROUND($K32*'[5]II-F Alloc_Factor'!I$40,2)</f>
        <v>51103272.039999999</v>
      </c>
      <c r="T32" s="426">
        <f>ROUND($K32*'[5]II-F Alloc_Factor'!J$40,2)</f>
        <v>0</v>
      </c>
      <c r="U32" s="474">
        <f t="shared" si="6"/>
        <v>51103272.039999999</v>
      </c>
      <c r="V32" s="426">
        <f>ROUND($K32*'[5]II-F Alloc_Factor'!L$40,2)</f>
        <v>1737958.5600000001</v>
      </c>
      <c r="W32" s="426">
        <f t="shared" si="15"/>
        <v>1482042.9199999892</v>
      </c>
      <c r="X32" s="475">
        <f t="shared" si="7"/>
        <v>101505570.17999999</v>
      </c>
      <c r="Y32" s="202" t="b">
        <f t="shared" si="8"/>
        <v>1</v>
      </c>
      <c r="Z32" s="651">
        <f t="shared" si="9"/>
        <v>0</v>
      </c>
      <c r="AA32" s="197"/>
      <c r="AC32" s="328"/>
    </row>
    <row r="33" spans="1:29" ht="12.75">
      <c r="A33" s="195">
        <f t="shared" si="11"/>
        <v>19</v>
      </c>
      <c r="B33" s="336"/>
      <c r="C33" s="660" t="s">
        <v>437</v>
      </c>
      <c r="E33" s="473">
        <v>33838459.539999999</v>
      </c>
      <c r="F33" s="473">
        <v>0</v>
      </c>
      <c r="G33" s="473">
        <f t="shared" si="1"/>
        <v>33838459.539999999</v>
      </c>
      <c r="H33" s="473">
        <v>0</v>
      </c>
      <c r="I33" s="473">
        <f t="shared" si="10"/>
        <v>33838459.539999999</v>
      </c>
      <c r="J33" s="232">
        <v>1</v>
      </c>
      <c r="K33" s="474">
        <f t="shared" si="3"/>
        <v>33838459.539999999</v>
      </c>
      <c r="L33" s="291"/>
      <c r="N33" s="195" t="s">
        <v>798</v>
      </c>
      <c r="O33" s="426">
        <f>ROUND($K33*'[5]II-F Alloc_Factor'!E$40,2)</f>
        <v>15708910.800000001</v>
      </c>
      <c r="P33" s="426">
        <f>ROUND($K33*'[5]II-F Alloc_Factor'!F$40,2)</f>
        <v>0</v>
      </c>
      <c r="Q33" s="426">
        <f>ROUND($K33*'[5]II-F Alloc_Factor'!G$40,2)</f>
        <v>20041.150000000001</v>
      </c>
      <c r="R33" s="474">
        <f t="shared" si="5"/>
        <v>15728951.950000001</v>
      </c>
      <c r="S33" s="426">
        <f>ROUND($K33*'[5]II-F Alloc_Factor'!I$40,2)</f>
        <v>17036070.039999999</v>
      </c>
      <c r="T33" s="426">
        <f>ROUND($K33*'[5]II-F Alloc_Factor'!J$40,2)</f>
        <v>0</v>
      </c>
      <c r="U33" s="474">
        <f t="shared" si="6"/>
        <v>17036070.039999999</v>
      </c>
      <c r="V33" s="426">
        <f>ROUND($K33*'[5]II-F Alloc_Factor'!L$40,2)</f>
        <v>579375.5</v>
      </c>
      <c r="W33" s="426">
        <f t="shared" si="15"/>
        <v>494062.04999999702</v>
      </c>
      <c r="X33" s="475">
        <f t="shared" si="7"/>
        <v>33838459.539999999</v>
      </c>
      <c r="Y33" s="202" t="b">
        <f t="shared" si="8"/>
        <v>1</v>
      </c>
      <c r="Z33" s="651">
        <f t="shared" si="9"/>
        <v>0</v>
      </c>
      <c r="AA33" s="197"/>
      <c r="AC33" s="328"/>
    </row>
    <row r="34" spans="1:29" ht="12.75">
      <c r="A34" s="195">
        <f t="shared" si="11"/>
        <v>20</v>
      </c>
      <c r="B34" s="336"/>
      <c r="C34" s="660" t="s">
        <v>1201</v>
      </c>
      <c r="E34" s="473">
        <v>-60441679.939999998</v>
      </c>
      <c r="F34" s="473">
        <v>0</v>
      </c>
      <c r="G34" s="473">
        <f t="shared" si="1"/>
        <v>-60441679.939999998</v>
      </c>
      <c r="H34" s="473">
        <v>0</v>
      </c>
      <c r="I34" s="473">
        <f t="shared" si="10"/>
        <v>-60441679.939999998</v>
      </c>
      <c r="J34" s="232">
        <v>1</v>
      </c>
      <c r="K34" s="474">
        <f t="shared" si="3"/>
        <v>-60441679.939999998</v>
      </c>
      <c r="L34" s="291"/>
      <c r="N34" s="195" t="s">
        <v>798</v>
      </c>
      <c r="O34" s="426">
        <f>ROUND($K34*'[5]II-F Alloc_Factor'!E$40,2)</f>
        <v>-28058988.850000001</v>
      </c>
      <c r="P34" s="426">
        <f>ROUND($K34*'[5]II-F Alloc_Factor'!F$40,2)</f>
        <v>0</v>
      </c>
      <c r="Q34" s="426">
        <f>ROUND($K34*'[5]II-F Alloc_Factor'!G$40,2)</f>
        <v>-35797.160000000003</v>
      </c>
      <c r="R34" s="474">
        <f t="shared" si="5"/>
        <v>-28094786.010000002</v>
      </c>
      <c r="S34" s="426">
        <f>ROUND($K34*'[5]II-F Alloc_Factor'!I$40,2)</f>
        <v>-30429538.079999998</v>
      </c>
      <c r="T34" s="426">
        <f>ROUND($K34*'[5]II-F Alloc_Factor'!J$40,2)</f>
        <v>0</v>
      </c>
      <c r="U34" s="474">
        <f t="shared" si="6"/>
        <v>-30429538.079999998</v>
      </c>
      <c r="V34" s="426">
        <f>ROUND($K34*'[5]II-F Alloc_Factor'!L$40,2)</f>
        <v>-1034870.65</v>
      </c>
      <c r="W34" s="426">
        <f t="shared" si="15"/>
        <v>-882485.19999999774</v>
      </c>
      <c r="X34" s="475">
        <f t="shared" si="7"/>
        <v>-60441679.939999998</v>
      </c>
      <c r="Y34" s="202" t="b">
        <f t="shared" si="8"/>
        <v>1</v>
      </c>
      <c r="Z34" s="651">
        <f t="shared" si="9"/>
        <v>0</v>
      </c>
      <c r="AA34" s="197"/>
      <c r="AC34" s="328"/>
    </row>
    <row r="35" spans="1:29" ht="12.75">
      <c r="A35" s="195">
        <f t="shared" si="11"/>
        <v>21</v>
      </c>
      <c r="B35" s="336"/>
      <c r="C35" s="660" t="s">
        <v>783</v>
      </c>
      <c r="E35" s="473">
        <v>-21461330.300000001</v>
      </c>
      <c r="F35" s="473">
        <v>0</v>
      </c>
      <c r="G35" s="473">
        <f t="shared" si="1"/>
        <v>-21461330.300000001</v>
      </c>
      <c r="H35" s="473">
        <v>0</v>
      </c>
      <c r="I35" s="473">
        <f t="shared" si="10"/>
        <v>-21461330.300000001</v>
      </c>
      <c r="J35" s="232">
        <v>1</v>
      </c>
      <c r="K35" s="474">
        <f t="shared" si="3"/>
        <v>-21461330.300000001</v>
      </c>
      <c r="L35" s="291"/>
      <c r="N35" s="195" t="s">
        <v>798</v>
      </c>
      <c r="O35" s="426">
        <f>ROUND($K35*'[5]II-F Alloc_Factor'!E$40,2)</f>
        <v>-9963045.8399999999</v>
      </c>
      <c r="P35" s="426">
        <f>ROUND($K35*'[5]II-F Alloc_Factor'!F$40,2)</f>
        <v>0</v>
      </c>
      <c r="Q35" s="426">
        <f>ROUND($K35*'[5]II-F Alloc_Factor'!G$40,2)</f>
        <v>-12710.68</v>
      </c>
      <c r="R35" s="474">
        <f t="shared" si="5"/>
        <v>-9975756.5199999996</v>
      </c>
      <c r="S35" s="426">
        <f>ROUND($K35*'[5]II-F Alloc_Factor'!I$40,2)</f>
        <v>-10804768.630000001</v>
      </c>
      <c r="T35" s="426">
        <f>ROUND($K35*'[5]II-F Alloc_Factor'!J$40,2)</f>
        <v>0</v>
      </c>
      <c r="U35" s="474">
        <f t="shared" si="6"/>
        <v>-10804768.630000001</v>
      </c>
      <c r="V35" s="426">
        <f>ROUND($K35*'[5]II-F Alloc_Factor'!L$40,2)</f>
        <v>-367456.71000000002</v>
      </c>
      <c r="W35" s="426">
        <f t="shared" si="15"/>
        <v>-313348.44000000035</v>
      </c>
      <c r="X35" s="475">
        <f t="shared" si="7"/>
        <v>-21461330.300000001</v>
      </c>
      <c r="Y35" s="202" t="b">
        <f t="shared" si="8"/>
        <v>1</v>
      </c>
      <c r="Z35" s="651">
        <f t="shared" si="9"/>
        <v>0</v>
      </c>
      <c r="AA35" s="197"/>
      <c r="AC35" s="328"/>
    </row>
    <row r="36" spans="1:29" ht="12.75">
      <c r="A36" s="195">
        <f t="shared" si="11"/>
        <v>22</v>
      </c>
      <c r="B36" s="336"/>
      <c r="C36" s="660" t="s">
        <v>28</v>
      </c>
      <c r="E36" s="473">
        <v>15771869.870000001</v>
      </c>
      <c r="F36" s="473">
        <v>0</v>
      </c>
      <c r="G36" s="473">
        <f t="shared" si="1"/>
        <v>15771869.870000001</v>
      </c>
      <c r="H36" s="473">
        <v>0</v>
      </c>
      <c r="I36" s="473">
        <f t="shared" si="10"/>
        <v>15771869.870000001</v>
      </c>
      <c r="J36" s="232">
        <v>1</v>
      </c>
      <c r="K36" s="474">
        <f t="shared" si="3"/>
        <v>15771869.870000001</v>
      </c>
      <c r="L36" s="291"/>
      <c r="N36" s="195" t="s">
        <v>798</v>
      </c>
      <c r="O36" s="426">
        <f>ROUND($K36*'[5]II-F Alloc_Factor'!E$40,2)</f>
        <v>7321813.71</v>
      </c>
      <c r="P36" s="426">
        <f>ROUND($K36*'[5]II-F Alloc_Factor'!F$40,2)</f>
        <v>0</v>
      </c>
      <c r="Q36" s="426">
        <f>ROUND($K36*'[5]II-F Alloc_Factor'!G$40,2)</f>
        <v>9341.0400000000009</v>
      </c>
      <c r="R36" s="474">
        <f t="shared" si="5"/>
        <v>7331154.75</v>
      </c>
      <c r="S36" s="426">
        <f>ROUND($K36*'[5]II-F Alloc_Factor'!I$40,2)</f>
        <v>7940393.3700000001</v>
      </c>
      <c r="T36" s="426">
        <f>ROUND($K36*'[5]II-F Alloc_Factor'!J$40,2)</f>
        <v>0</v>
      </c>
      <c r="U36" s="474">
        <f t="shared" si="6"/>
        <v>7940393.3700000001</v>
      </c>
      <c r="V36" s="426">
        <f>ROUND($K36*'[5]II-F Alloc_Factor'!L$40,2)</f>
        <v>270042.88</v>
      </c>
      <c r="W36" s="426">
        <f t="shared" si="15"/>
        <v>230278.87000000093</v>
      </c>
      <c r="X36" s="475">
        <f t="shared" si="7"/>
        <v>15771869.870000003</v>
      </c>
      <c r="Y36" s="202" t="b">
        <f t="shared" si="8"/>
        <v>1</v>
      </c>
      <c r="Z36" s="651">
        <f t="shared" si="9"/>
        <v>0</v>
      </c>
      <c r="AA36" s="197"/>
      <c r="AC36" s="328"/>
    </row>
    <row r="37" spans="1:29" ht="12.75">
      <c r="A37" s="195">
        <f t="shared" si="11"/>
        <v>23</v>
      </c>
      <c r="B37" s="336"/>
      <c r="C37" s="660" t="s">
        <v>27</v>
      </c>
      <c r="E37" s="473">
        <v>16872658.050000001</v>
      </c>
      <c r="F37" s="473">
        <v>0</v>
      </c>
      <c r="G37" s="473">
        <f t="shared" si="1"/>
        <v>16872658.050000001</v>
      </c>
      <c r="H37" s="473">
        <v>0</v>
      </c>
      <c r="I37" s="473">
        <f t="shared" si="10"/>
        <v>16872658.050000001</v>
      </c>
      <c r="J37" s="232">
        <v>1</v>
      </c>
      <c r="K37" s="474">
        <f t="shared" si="3"/>
        <v>16872658.050000001</v>
      </c>
      <c r="L37" s="291"/>
      <c r="N37" s="195" t="s">
        <v>798</v>
      </c>
      <c r="O37" s="426">
        <f>ROUND($K37*'[5]II-F Alloc_Factor'!E$40,2)</f>
        <v>7832835.2999999998</v>
      </c>
      <c r="P37" s="426">
        <f>ROUND($K37*'[5]II-F Alloc_Factor'!F$40,2)</f>
        <v>0</v>
      </c>
      <c r="Q37" s="426">
        <f>ROUND($K37*'[5]II-F Alloc_Factor'!G$40,2)</f>
        <v>9992.9899999999998</v>
      </c>
      <c r="R37" s="474">
        <f t="shared" si="5"/>
        <v>7842828.29</v>
      </c>
      <c r="S37" s="426">
        <f>ROUND($K37*'[5]II-F Alloc_Factor'!I$40,2)</f>
        <v>8494588.3499999996</v>
      </c>
      <c r="T37" s="426">
        <f>ROUND($K37*'[5]II-F Alloc_Factor'!J$40,2)</f>
        <v>0</v>
      </c>
      <c r="U37" s="474">
        <f t="shared" si="6"/>
        <v>8494588.3499999996</v>
      </c>
      <c r="V37" s="426">
        <f>ROUND($K37*'[5]II-F Alloc_Factor'!L$40,2)</f>
        <v>288890.35999999999</v>
      </c>
      <c r="W37" s="426">
        <f t="shared" si="15"/>
        <v>246351.05000000203</v>
      </c>
      <c r="X37" s="475">
        <f t="shared" si="7"/>
        <v>16872658.050000001</v>
      </c>
      <c r="Y37" s="202" t="b">
        <f t="shared" si="8"/>
        <v>1</v>
      </c>
      <c r="Z37" s="651">
        <f t="shared" si="9"/>
        <v>0</v>
      </c>
      <c r="AA37" s="197"/>
      <c r="AC37" s="328"/>
    </row>
    <row r="38" spans="1:29" ht="12.75">
      <c r="A38" s="195">
        <f t="shared" si="11"/>
        <v>24</v>
      </c>
      <c r="B38" s="336"/>
      <c r="C38" s="338"/>
      <c r="E38" s="328"/>
      <c r="F38" s="328"/>
      <c r="G38" s="328"/>
      <c r="H38" s="328"/>
      <c r="I38" s="328"/>
      <c r="J38" s="226"/>
      <c r="K38" s="474"/>
      <c r="L38" s="291"/>
      <c r="N38" s="334"/>
      <c r="O38" s="291"/>
      <c r="P38" s="291"/>
      <c r="Q38" s="291"/>
      <c r="R38" s="474"/>
      <c r="S38" s="291"/>
      <c r="T38" s="291"/>
      <c r="U38" s="474"/>
      <c r="V38" s="291"/>
      <c r="W38" s="291"/>
      <c r="X38" s="475"/>
      <c r="Z38" s="651"/>
      <c r="AA38" s="197"/>
      <c r="AC38" s="328"/>
    </row>
    <row r="39" spans="1:29" ht="12.75">
      <c r="A39" s="195">
        <f t="shared" si="11"/>
        <v>25</v>
      </c>
      <c r="B39" s="329" t="s">
        <v>296</v>
      </c>
      <c r="C39" s="199" t="s">
        <v>1254</v>
      </c>
      <c r="E39" s="328"/>
      <c r="F39" s="328"/>
      <c r="G39" s="328"/>
      <c r="H39" s="328"/>
      <c r="I39" s="328"/>
      <c r="J39" s="226"/>
      <c r="K39" s="291"/>
      <c r="L39" s="291"/>
      <c r="N39" s="334"/>
      <c r="O39" s="291"/>
      <c r="P39" s="291"/>
      <c r="Q39" s="291"/>
      <c r="R39" s="474"/>
      <c r="S39" s="291"/>
      <c r="T39" s="291"/>
      <c r="U39" s="474"/>
      <c r="V39" s="291"/>
      <c r="W39" s="291"/>
      <c r="X39" s="475"/>
      <c r="Z39" s="651"/>
      <c r="AA39" s="197"/>
      <c r="AC39" s="328"/>
    </row>
    <row r="40" spans="1:29" ht="12.75">
      <c r="A40" s="195">
        <f t="shared" si="11"/>
        <v>26</v>
      </c>
      <c r="B40" s="336"/>
      <c r="C40" s="660" t="s">
        <v>369</v>
      </c>
      <c r="E40" s="472">
        <v>2139615.4199999999</v>
      </c>
      <c r="F40" s="472">
        <v>0</v>
      </c>
      <c r="G40" s="472">
        <f t="shared" si="1"/>
        <v>2139615.4199999999</v>
      </c>
      <c r="H40" s="472">
        <v>0</v>
      </c>
      <c r="I40" s="472">
        <f t="shared" si="2"/>
        <v>2139615.4199999999</v>
      </c>
      <c r="J40" s="232">
        <v>1</v>
      </c>
      <c r="K40" s="472">
        <f t="shared" si="16" ref="K40:K61">+I40*J40</f>
        <v>2139615.4199999999</v>
      </c>
      <c r="L40" s="291"/>
      <c r="N40" s="333" t="s">
        <v>406</v>
      </c>
      <c r="O40" s="472">
        <f>ROUND($K40*'[5]II-F Alloc_Factor'!E$32,2)</f>
        <v>196521.51999999999</v>
      </c>
      <c r="P40" s="472">
        <f>ROUND($K40*'[5]II-F Alloc_Factor'!F$32,2)</f>
        <v>0</v>
      </c>
      <c r="Q40" s="472">
        <f>ROUND($K40*'[5]II-F Alloc_Factor'!G$32,2)</f>
        <v>0</v>
      </c>
      <c r="R40" s="474">
        <f t="shared" si="5"/>
        <v>196521.51999999999</v>
      </c>
      <c r="S40" s="472">
        <f>ROUND($K40*'[5]II-F Alloc_Factor'!I$32,2)</f>
        <v>1860317.46</v>
      </c>
      <c r="T40" s="472">
        <f>ROUND($K40*'[5]II-F Alloc_Factor'!J$32,2)</f>
        <v>0</v>
      </c>
      <c r="U40" s="474">
        <f t="shared" si="6"/>
        <v>1860317.46</v>
      </c>
      <c r="V40" s="472">
        <f>ROUND($K40*'[5]II-F Alloc_Factor'!L$32,2)</f>
        <v>65492.949999999997</v>
      </c>
      <c r="W40" s="472">
        <f>ROUND($K40*'[5]II-F Alloc_Factor'!M$32,2)</f>
        <v>17283.490000000002</v>
      </c>
      <c r="X40" s="475">
        <f t="shared" si="7"/>
        <v>2139615.4200000004</v>
      </c>
      <c r="Y40" s="202" t="b">
        <f t="shared" si="8"/>
        <v>1</v>
      </c>
      <c r="Z40" s="651">
        <f t="shared" si="9"/>
        <v>0</v>
      </c>
      <c r="AA40" s="197"/>
      <c r="AC40" s="328"/>
    </row>
    <row r="41" spans="1:29" ht="12.75">
      <c r="A41" s="195">
        <f t="shared" si="11"/>
        <v>27</v>
      </c>
      <c r="B41" s="329"/>
      <c r="C41" s="660" t="s">
        <v>445</v>
      </c>
      <c r="E41" s="473">
        <v>1115619.71</v>
      </c>
      <c r="F41" s="473">
        <v>0</v>
      </c>
      <c r="G41" s="473">
        <f>+E41+F41</f>
        <v>1115619.71</v>
      </c>
      <c r="H41" s="473">
        <f>ROUND(+SUM('[6]II-B-12'!$H$29:$H$37)*0.21,2)</f>
        <v>683531.31000000006</v>
      </c>
      <c r="I41" s="473">
        <f>+G41+H41</f>
        <v>1799151.02</v>
      </c>
      <c r="J41" s="232">
        <v>1</v>
      </c>
      <c r="K41" s="474">
        <f t="shared" si="16"/>
        <v>1799151.02</v>
      </c>
      <c r="L41" s="291"/>
      <c r="N41" s="333" t="s">
        <v>408</v>
      </c>
      <c r="O41" s="426">
        <f>+ROUND(SUM('[6]II-B-12'!N29:N37)*0.21,2)</f>
        <v>0</v>
      </c>
      <c r="P41" s="426">
        <f>+ROUND(SUM('[6]II-B-12'!O29:O37)*0.21,2)</f>
        <v>0</v>
      </c>
      <c r="Q41" s="426">
        <f>+ROUND(SUM('[6]II-B-12'!P29:P37)*0.21,2)</f>
        <v>0</v>
      </c>
      <c r="R41" s="426">
        <f>+ROUND(SUM('[6]II-B-12'!Q29:Q37)*0.21,2)</f>
        <v>0</v>
      </c>
      <c r="S41" s="426">
        <f>+ROUND(SUM('[6]II-B-12'!R29:R37)*0.21,2)</f>
        <v>1782334.3000000001</v>
      </c>
      <c r="T41" s="426">
        <f>+ROUND(SUM('[6]II-B-12'!S29:S37)*0.21,2)</f>
        <v>0</v>
      </c>
      <c r="U41" s="426">
        <f>+ROUND(SUM('[6]II-B-12'!T29:T37)*0.21,2)</f>
        <v>1782334.3000000001</v>
      </c>
      <c r="V41" s="426">
        <f>+ROUND(SUM('[6]II-B-12'!U29:U37)*0.21,2)</f>
        <v>16816.73</v>
      </c>
      <c r="W41" s="426">
        <f>+K41-R41-U41-V41</f>
        <v>-0.01000000002750312</v>
      </c>
      <c r="X41" s="475">
        <f t="shared" si="7"/>
        <v>1799151.02</v>
      </c>
      <c r="Y41" s="202" t="b">
        <f t="shared" si="8"/>
        <v>1</v>
      </c>
      <c r="Z41" s="651">
        <f t="shared" si="9"/>
        <v>0</v>
      </c>
      <c r="AA41" s="197"/>
      <c r="AC41" s="328"/>
    </row>
    <row r="42" spans="1:29" ht="12.75">
      <c r="A42" s="195">
        <f t="shared" si="11"/>
        <v>28</v>
      </c>
      <c r="B42" s="329"/>
      <c r="C42" s="660" t="s">
        <v>423</v>
      </c>
      <c r="E42" s="473">
        <v>123594587.95999999</v>
      </c>
      <c r="F42" s="473">
        <v>0</v>
      </c>
      <c r="G42" s="473">
        <f t="shared" si="17" ref="G42:G61">+E42+F42</f>
        <v>123594587.95999999</v>
      </c>
      <c r="H42" s="473">
        <v>0</v>
      </c>
      <c r="I42" s="473">
        <f t="shared" si="18" ref="I42:I61">+G42+H42</f>
        <v>123594587.95999999</v>
      </c>
      <c r="J42" s="232">
        <v>1</v>
      </c>
      <c r="K42" s="474">
        <f t="shared" si="16"/>
        <v>123594587.95999999</v>
      </c>
      <c r="L42" s="291"/>
      <c r="N42" s="333" t="s">
        <v>408</v>
      </c>
      <c r="O42" s="474">
        <v>4648138.0800000001</v>
      </c>
      <c r="P42" s="474">
        <v>767238.04000000004</v>
      </c>
      <c r="Q42" s="474">
        <v>0</v>
      </c>
      <c r="R42" s="474">
        <f t="shared" si="5"/>
        <v>5415376.1200000001</v>
      </c>
      <c r="S42" s="474">
        <v>118179211.84</v>
      </c>
      <c r="T42" s="474">
        <v>0</v>
      </c>
      <c r="U42" s="474">
        <f t="shared" si="6"/>
        <v>118179211.84</v>
      </c>
      <c r="V42" s="474">
        <v>0</v>
      </c>
      <c r="W42" s="474">
        <v>0</v>
      </c>
      <c r="X42" s="475">
        <f t="shared" si="7"/>
        <v>123594587.96000001</v>
      </c>
      <c r="Y42" s="202" t="b">
        <f t="shared" si="8"/>
        <v>1</v>
      </c>
      <c r="Z42" s="651">
        <f t="shared" si="9"/>
        <v>0</v>
      </c>
      <c r="AA42" s="197"/>
      <c r="AC42" s="328"/>
    </row>
    <row r="43" spans="1:29" ht="12.75">
      <c r="A43" s="195">
        <f t="shared" si="11"/>
        <v>29</v>
      </c>
      <c r="B43" s="336"/>
      <c r="C43" s="660" t="s">
        <v>666</v>
      </c>
      <c r="E43" s="473">
        <v>5526274.8399999999</v>
      </c>
      <c r="F43" s="473">
        <v>0</v>
      </c>
      <c r="G43" s="473">
        <f t="shared" si="17"/>
        <v>5526274.8399999999</v>
      </c>
      <c r="H43" s="473">
        <v>0</v>
      </c>
      <c r="I43" s="473">
        <f t="shared" si="18"/>
        <v>5526274.8399999999</v>
      </c>
      <c r="J43" s="232">
        <v>1</v>
      </c>
      <c r="K43" s="474">
        <f t="shared" si="16"/>
        <v>5526274.8399999999</v>
      </c>
      <c r="L43" s="291"/>
      <c r="N43" s="333" t="s">
        <v>775</v>
      </c>
      <c r="O43" s="426">
        <f>ROUND($K43*'[5]II-F Alloc_Factor'!E$35,2)</f>
        <v>2472548.9100000001</v>
      </c>
      <c r="P43" s="426">
        <f>ROUND($K43*'[5]II-F Alloc_Factor'!F$35,2)</f>
        <v>0</v>
      </c>
      <c r="Q43" s="426">
        <f>ROUND($K43*'[5]II-F Alloc_Factor'!G$35,2)</f>
        <v>0</v>
      </c>
      <c r="R43" s="474">
        <f t="shared" si="5"/>
        <v>2472548.9100000001</v>
      </c>
      <c r="S43" s="426">
        <f>ROUND($K43*'[5]II-F Alloc_Factor'!I$35,2)</f>
        <v>2885761.3700000001</v>
      </c>
      <c r="T43" s="426">
        <f>ROUND($K43*'[5]II-F Alloc_Factor'!J$35,2)</f>
        <v>0</v>
      </c>
      <c r="U43" s="474">
        <f t="shared" si="6"/>
        <v>2885761.3700000001</v>
      </c>
      <c r="V43" s="426">
        <f>ROUND($K43*'[5]II-F Alloc_Factor'!L$35,2)</f>
        <v>134174.42999999999</v>
      </c>
      <c r="W43" s="426">
        <f>+K43-R43-U43-V43</f>
        <v>33790.129999999597</v>
      </c>
      <c r="X43" s="475">
        <f t="shared" si="7"/>
        <v>5526274.8399999999</v>
      </c>
      <c r="Y43" s="202" t="b">
        <f t="shared" si="8"/>
        <v>1</v>
      </c>
      <c r="Z43" s="651">
        <f t="shared" si="9"/>
        <v>0</v>
      </c>
      <c r="AA43" s="197"/>
      <c r="AC43" s="328"/>
    </row>
    <row r="44" spans="1:29" ht="12.75">
      <c r="A44" s="195">
        <f t="shared" si="11"/>
        <v>30</v>
      </c>
      <c r="B44" s="329"/>
      <c r="C44" s="660" t="s">
        <v>387</v>
      </c>
      <c r="E44" s="473">
        <v>26732956.09</v>
      </c>
      <c r="F44" s="473">
        <v>0</v>
      </c>
      <c r="G44" s="473">
        <f t="shared" si="17"/>
        <v>26732956.09</v>
      </c>
      <c r="H44" s="473">
        <v>0</v>
      </c>
      <c r="I44" s="473">
        <f t="shared" si="18"/>
        <v>26732956.09</v>
      </c>
      <c r="J44" s="232">
        <v>1</v>
      </c>
      <c r="K44" s="474">
        <f t="shared" si="16"/>
        <v>26732956.09</v>
      </c>
      <c r="L44" s="291"/>
      <c r="N44" s="333" t="s">
        <v>408</v>
      </c>
      <c r="O44" s="474">
        <v>0</v>
      </c>
      <c r="P44" s="474">
        <v>0</v>
      </c>
      <c r="Q44" s="474">
        <v>0</v>
      </c>
      <c r="R44" s="474">
        <f t="shared" si="5"/>
        <v>0</v>
      </c>
      <c r="S44" s="474">
        <v>0</v>
      </c>
      <c r="T44" s="474">
        <v>0</v>
      </c>
      <c r="U44" s="474">
        <f t="shared" si="6"/>
        <v>0</v>
      </c>
      <c r="V44" s="474">
        <f>+K44</f>
        <v>26732956.09</v>
      </c>
      <c r="W44" s="474">
        <v>0</v>
      </c>
      <c r="X44" s="475">
        <f t="shared" si="7"/>
        <v>26732956.09</v>
      </c>
      <c r="Y44" s="202" t="b">
        <f t="shared" si="8"/>
        <v>1</v>
      </c>
      <c r="Z44" s="651">
        <f t="shared" si="9"/>
        <v>0</v>
      </c>
      <c r="AA44" s="197"/>
      <c r="AC44" s="328"/>
    </row>
    <row r="45" spans="1:29" ht="12.75">
      <c r="A45" s="195">
        <f t="shared" si="11"/>
        <v>31</v>
      </c>
      <c r="B45" s="336"/>
      <c r="C45" s="660" t="s">
        <v>1202</v>
      </c>
      <c r="E45" s="473">
        <v>36614252.640000001</v>
      </c>
      <c r="F45" s="473">
        <v>0</v>
      </c>
      <c r="G45" s="473">
        <f t="shared" si="17"/>
        <v>36614252.640000001</v>
      </c>
      <c r="H45" s="473">
        <v>0</v>
      </c>
      <c r="I45" s="473">
        <f t="shared" si="18"/>
        <v>36614252.640000001</v>
      </c>
      <c r="J45" s="232">
        <v>1</v>
      </c>
      <c r="K45" s="474">
        <f t="shared" si="16"/>
        <v>36614252.640000001</v>
      </c>
      <c r="L45" s="291"/>
      <c r="N45" s="333" t="s">
        <v>407</v>
      </c>
      <c r="O45" s="473">
        <f>ROUND($K45*'[5]II-F Alloc_Factor'!E$27,2)</f>
        <v>10509653.41</v>
      </c>
      <c r="P45" s="473">
        <f>ROUND($K45*'[5]II-F Alloc_Factor'!F$27,2)</f>
        <v>0</v>
      </c>
      <c r="Q45" s="473">
        <f>ROUND($K45*'[5]II-F Alloc_Factor'!G$27,2)</f>
        <v>0</v>
      </c>
      <c r="R45" s="474">
        <f t="shared" si="5"/>
        <v>10509653.41</v>
      </c>
      <c r="S45" s="473">
        <f>ROUND($K45*'[5]II-F Alloc_Factor'!I$27,2)</f>
        <v>18127561.690000001</v>
      </c>
      <c r="T45" s="473">
        <f>ROUND($K45*'[5]II-F Alloc_Factor'!J$27,2)</f>
        <v>0</v>
      </c>
      <c r="U45" s="474">
        <f t="shared" si="6"/>
        <v>18127561.690000001</v>
      </c>
      <c r="V45" s="473">
        <f>ROUND($K45*'[5]II-F Alloc_Factor'!L$27,2)</f>
        <v>6004643.6200000001</v>
      </c>
      <c r="W45" s="473">
        <f>ROUND($K45*'[5]II-F Alloc_Factor'!M$27,2)</f>
        <v>1972393.9199999999</v>
      </c>
      <c r="X45" s="475">
        <f t="shared" si="7"/>
        <v>36614252.640000001</v>
      </c>
      <c r="Y45" s="202" t="b">
        <f t="shared" si="8"/>
        <v>1</v>
      </c>
      <c r="Z45" s="651">
        <f t="shared" si="9"/>
        <v>0</v>
      </c>
      <c r="AA45" s="197"/>
      <c r="AC45" s="328"/>
    </row>
    <row r="46" spans="1:29" ht="12.75">
      <c r="A46" s="195">
        <f t="shared" si="11"/>
        <v>32</v>
      </c>
      <c r="B46" s="336"/>
      <c r="C46" s="660" t="s">
        <v>1203</v>
      </c>
      <c r="E46" s="473">
        <v>122654.62</v>
      </c>
      <c r="F46" s="473">
        <v>0</v>
      </c>
      <c r="G46" s="473">
        <f t="shared" si="17"/>
        <v>122654.62</v>
      </c>
      <c r="H46" s="473">
        <v>0</v>
      </c>
      <c r="I46" s="473">
        <f t="shared" si="18"/>
        <v>122654.62</v>
      </c>
      <c r="J46" s="232">
        <v>1</v>
      </c>
      <c r="K46" s="474">
        <f t="shared" si="16"/>
        <v>122654.62</v>
      </c>
      <c r="L46" s="291"/>
      <c r="N46" s="333" t="s">
        <v>408</v>
      </c>
      <c r="O46" s="474">
        <v>0</v>
      </c>
      <c r="P46" s="474">
        <v>0</v>
      </c>
      <c r="Q46" s="474">
        <v>0</v>
      </c>
      <c r="R46" s="474">
        <f t="shared" si="5"/>
        <v>0</v>
      </c>
      <c r="S46" s="474">
        <v>0</v>
      </c>
      <c r="T46" s="474">
        <v>0</v>
      </c>
      <c r="U46" s="474">
        <f t="shared" si="6"/>
        <v>0</v>
      </c>
      <c r="V46" s="474">
        <f>+K46</f>
        <v>122654.62</v>
      </c>
      <c r="W46" s="474">
        <v>0</v>
      </c>
      <c r="X46" s="475">
        <f t="shared" si="7"/>
        <v>122654.62</v>
      </c>
      <c r="Y46" s="202" t="b">
        <f t="shared" si="8"/>
        <v>1</v>
      </c>
      <c r="Z46" s="651">
        <f t="shared" si="9"/>
        <v>0</v>
      </c>
      <c r="AA46" s="197"/>
      <c r="AC46" s="328"/>
    </row>
    <row r="47" spans="1:29" ht="12.75">
      <c r="A47" s="195">
        <f t="shared" si="11"/>
        <v>33</v>
      </c>
      <c r="B47" s="336"/>
      <c r="C47" s="660" t="s">
        <v>706</v>
      </c>
      <c r="E47" s="473">
        <v>6467262.6900000004</v>
      </c>
      <c r="F47" s="473">
        <v>0</v>
      </c>
      <c r="G47" s="473">
        <f t="shared" si="17"/>
        <v>6467262.6900000004</v>
      </c>
      <c r="H47" s="484">
        <f>-G47</f>
        <v>-6467262.6900000004</v>
      </c>
      <c r="I47" s="473">
        <f t="shared" si="18"/>
        <v>0</v>
      </c>
      <c r="J47" s="232">
        <v>1</v>
      </c>
      <c r="K47" s="474">
        <f t="shared" si="16"/>
        <v>0</v>
      </c>
      <c r="L47" s="291"/>
      <c r="N47" s="333"/>
      <c r="O47" s="474">
        <v>0</v>
      </c>
      <c r="P47" s="474">
        <v>0</v>
      </c>
      <c r="Q47" s="474">
        <v>0</v>
      </c>
      <c r="R47" s="474">
        <f t="shared" si="5"/>
        <v>0</v>
      </c>
      <c r="S47" s="474">
        <v>0</v>
      </c>
      <c r="T47" s="474">
        <v>0</v>
      </c>
      <c r="U47" s="474">
        <f t="shared" si="6"/>
        <v>0</v>
      </c>
      <c r="V47" s="474">
        <f>+$K$47*'[5]II-F Alloc_Factor'!L35</f>
        <v>0</v>
      </c>
      <c r="W47" s="474">
        <f>+$K$47*'[5]II-F Alloc_Factor'!M35</f>
        <v>0</v>
      </c>
      <c r="X47" s="475">
        <f t="shared" si="7"/>
        <v>0</v>
      </c>
      <c r="Y47" s="202" t="b">
        <f t="shared" si="8"/>
        <v>1</v>
      </c>
      <c r="Z47" s="651">
        <f t="shared" si="9"/>
        <v>0</v>
      </c>
      <c r="AA47" s="197"/>
      <c r="AC47" s="328"/>
    </row>
    <row r="48" spans="1:29" ht="12.75">
      <c r="A48" s="195">
        <f t="shared" si="11"/>
        <v>34</v>
      </c>
      <c r="B48" s="336"/>
      <c r="C48" s="660" t="s">
        <v>1204</v>
      </c>
      <c r="E48" s="473">
        <v>5478.4799999999996</v>
      </c>
      <c r="F48" s="473">
        <v>0</v>
      </c>
      <c r="G48" s="473">
        <f t="shared" si="17"/>
        <v>5478.4799999999996</v>
      </c>
      <c r="H48" s="484">
        <v>0</v>
      </c>
      <c r="I48" s="473">
        <f t="shared" si="18"/>
        <v>5478.4799999999996</v>
      </c>
      <c r="J48" s="232">
        <v>1</v>
      </c>
      <c r="K48" s="474">
        <f t="shared" si="19" ref="K48">+I48*J48</f>
        <v>5478.4799999999996</v>
      </c>
      <c r="L48" s="291"/>
      <c r="N48" s="333" t="s">
        <v>408</v>
      </c>
      <c r="O48" s="474">
        <v>0</v>
      </c>
      <c r="P48" s="474">
        <v>0</v>
      </c>
      <c r="Q48" s="474">
        <v>0</v>
      </c>
      <c r="R48" s="474">
        <f t="shared" si="5"/>
        <v>0</v>
      </c>
      <c r="S48" s="474">
        <f>+K48</f>
        <v>5478.4799999999996</v>
      </c>
      <c r="T48" s="474">
        <v>0</v>
      </c>
      <c r="U48" s="474">
        <f t="shared" si="6"/>
        <v>5478.4799999999996</v>
      </c>
      <c r="V48" s="474">
        <f>+$K$47*'[5]II-F Alloc_Factor'!L36</f>
        <v>0</v>
      </c>
      <c r="W48" s="474">
        <f>+$K$47*'[5]II-F Alloc_Factor'!M36</f>
        <v>0</v>
      </c>
      <c r="X48" s="475">
        <f t="shared" si="7"/>
        <v>5478.4799999999996</v>
      </c>
      <c r="Y48" s="202" t="b">
        <f t="shared" si="20" ref="Y48">+K48=X48</f>
        <v>1</v>
      </c>
      <c r="Z48" s="651">
        <f t="shared" si="21" ref="Z48">+K48-X48</f>
        <v>0</v>
      </c>
      <c r="AA48" s="197"/>
      <c r="AC48" s="328"/>
    </row>
    <row r="49" spans="1:29" ht="12.75">
      <c r="A49" s="195">
        <f t="shared" si="11"/>
        <v>35</v>
      </c>
      <c r="B49" s="336"/>
      <c r="C49" s="660" t="s">
        <v>176</v>
      </c>
      <c r="E49" s="473">
        <v>-1392840.95</v>
      </c>
      <c r="F49" s="473">
        <v>0</v>
      </c>
      <c r="G49" s="473">
        <f t="shared" si="17"/>
        <v>-1392840.95</v>
      </c>
      <c r="H49" s="473">
        <v>0</v>
      </c>
      <c r="I49" s="473">
        <f t="shared" si="18"/>
        <v>-1392840.95</v>
      </c>
      <c r="J49" s="232">
        <v>1</v>
      </c>
      <c r="K49" s="474">
        <f t="shared" si="16"/>
        <v>-1392840.95</v>
      </c>
      <c r="L49" s="291"/>
      <c r="N49" s="333" t="s">
        <v>775</v>
      </c>
      <c r="O49" s="426">
        <f>ROUND($K49*'[5]II-F Alloc_Factor'!E$35,2)</f>
        <v>-623180.62</v>
      </c>
      <c r="P49" s="426">
        <f>ROUND($K49*'[5]II-F Alloc_Factor'!F$35,2)</f>
        <v>0</v>
      </c>
      <c r="Q49" s="426">
        <f>ROUND($K49*'[5]II-F Alloc_Factor'!G$35,2)</f>
        <v>0</v>
      </c>
      <c r="R49" s="474">
        <f t="shared" si="5"/>
        <v>-623180.62</v>
      </c>
      <c r="S49" s="426">
        <f>ROUND($K49*'[5]II-F Alloc_Factor'!I$35,2)</f>
        <v>-727326.57999999996</v>
      </c>
      <c r="T49" s="426">
        <f>ROUND($K49*'[5]II-F Alloc_Factor'!J$35,2)</f>
        <v>0</v>
      </c>
      <c r="U49" s="474">
        <f t="shared" si="6"/>
        <v>-727326.57999999996</v>
      </c>
      <c r="V49" s="426">
        <f>ROUND($K49*'[5]II-F Alloc_Factor'!L$35,2)</f>
        <v>-33817.290000000001</v>
      </c>
      <c r="W49" s="426">
        <f>+K49-R49-U49-V49</f>
        <v>-8516.4599999999991</v>
      </c>
      <c r="X49" s="475">
        <f t="shared" si="7"/>
        <v>-1392840.95</v>
      </c>
      <c r="Y49" s="202" t="b">
        <f t="shared" si="8"/>
        <v>1</v>
      </c>
      <c r="Z49" s="651">
        <f t="shared" si="9"/>
        <v>0</v>
      </c>
      <c r="AA49" s="197"/>
      <c r="AC49" s="328"/>
    </row>
    <row r="50" spans="1:29" ht="12.75">
      <c r="A50" s="195">
        <f t="shared" si="11"/>
        <v>36</v>
      </c>
      <c r="B50" s="336"/>
      <c r="C50" s="660" t="s">
        <v>558</v>
      </c>
      <c r="E50" s="473">
        <v>5638248.5499999998</v>
      </c>
      <c r="F50" s="473">
        <v>0</v>
      </c>
      <c r="G50" s="473">
        <f t="shared" si="17"/>
        <v>5638248.5499999998</v>
      </c>
      <c r="H50" s="473">
        <v>0</v>
      </c>
      <c r="I50" s="473">
        <f t="shared" si="18"/>
        <v>5638248.5499999998</v>
      </c>
      <c r="J50" s="232">
        <v>1</v>
      </c>
      <c r="K50" s="474">
        <f t="shared" si="16"/>
        <v>5638248.5499999998</v>
      </c>
      <c r="L50" s="291"/>
      <c r="N50" s="333" t="s">
        <v>775</v>
      </c>
      <c r="O50" s="426">
        <f>ROUND($K50*'[5]II-F Alloc_Factor'!E$35,2)</f>
        <v>2522647.8399999999</v>
      </c>
      <c r="P50" s="426">
        <f>ROUND($K50*'[5]II-F Alloc_Factor'!F$35,2)</f>
        <v>0</v>
      </c>
      <c r="Q50" s="426">
        <f>ROUND($K50*'[5]II-F Alloc_Factor'!G$35,2)</f>
        <v>0</v>
      </c>
      <c r="R50" s="474">
        <f t="shared" si="5"/>
        <v>2522647.8399999999</v>
      </c>
      <c r="S50" s="426">
        <f>ROUND($K50*'[5]II-F Alloc_Factor'!I$35,2)</f>
        <v>2944232.8399999999</v>
      </c>
      <c r="T50" s="426">
        <f>ROUND($K50*'[5]II-F Alloc_Factor'!J$35,2)</f>
        <v>0</v>
      </c>
      <c r="U50" s="474">
        <f t="shared" si="6"/>
        <v>2944232.8399999999</v>
      </c>
      <c r="V50" s="426">
        <f>ROUND($K50*'[5]II-F Alloc_Factor'!L$35,2)</f>
        <v>136893.07999999999</v>
      </c>
      <c r="W50" s="426">
        <f>+K50-R50-U50-V50</f>
        <v>34474.790000000125</v>
      </c>
      <c r="X50" s="475">
        <f t="shared" si="7"/>
        <v>5638248.5499999998</v>
      </c>
      <c r="Y50" s="202" t="b">
        <f t="shared" si="8"/>
        <v>1</v>
      </c>
      <c r="Z50" s="651">
        <f t="shared" si="9"/>
        <v>0</v>
      </c>
      <c r="AA50" s="197"/>
      <c r="AC50" s="328"/>
    </row>
    <row r="51" spans="1:29" ht="12.75">
      <c r="A51" s="195">
        <f t="shared" si="11"/>
        <v>37</v>
      </c>
      <c r="B51" s="336"/>
      <c r="C51" s="660" t="s">
        <v>441</v>
      </c>
      <c r="E51" s="473">
        <v>12246045.890000001</v>
      </c>
      <c r="F51" s="473">
        <v>0</v>
      </c>
      <c r="G51" s="473">
        <f t="shared" si="17"/>
        <v>12246045.890000001</v>
      </c>
      <c r="H51" s="473">
        <v>0</v>
      </c>
      <c r="I51" s="473">
        <f t="shared" si="18"/>
        <v>12246045.890000001</v>
      </c>
      <c r="J51" s="232">
        <v>1</v>
      </c>
      <c r="K51" s="474">
        <f t="shared" si="16"/>
        <v>12246045.890000001</v>
      </c>
      <c r="L51" s="291"/>
      <c r="N51" s="333" t="s">
        <v>408</v>
      </c>
      <c r="O51" s="474">
        <v>0</v>
      </c>
      <c r="P51" s="474">
        <v>0</v>
      </c>
      <c r="Q51" s="474">
        <v>0</v>
      </c>
      <c r="R51" s="474">
        <f t="shared" si="5"/>
        <v>0</v>
      </c>
      <c r="S51" s="474">
        <f>+K51</f>
        <v>12246045.890000001</v>
      </c>
      <c r="T51" s="474">
        <v>0</v>
      </c>
      <c r="U51" s="474">
        <f t="shared" si="6"/>
        <v>12246045.890000001</v>
      </c>
      <c r="V51" s="474">
        <v>0</v>
      </c>
      <c r="W51" s="474">
        <v>0</v>
      </c>
      <c r="X51" s="475">
        <f t="shared" si="7"/>
        <v>12246045.890000001</v>
      </c>
      <c r="Y51" s="202" t="b">
        <f t="shared" si="8"/>
        <v>1</v>
      </c>
      <c r="Z51" s="651">
        <f t="shared" si="9"/>
        <v>0</v>
      </c>
      <c r="AA51" s="197"/>
      <c r="AC51" s="328"/>
    </row>
    <row r="52" spans="1:29" ht="12.75">
      <c r="A52" s="195">
        <f t="shared" si="11"/>
        <v>38</v>
      </c>
      <c r="B52" s="336"/>
      <c r="C52" s="660" t="s">
        <v>442</v>
      </c>
      <c r="E52" s="473">
        <v>1866771.27</v>
      </c>
      <c r="F52" s="473">
        <v>0</v>
      </c>
      <c r="G52" s="473">
        <f t="shared" si="17"/>
        <v>1866771.27</v>
      </c>
      <c r="H52" s="473">
        <f>ROUND(+'[6]II-B-12'!$H$42*0.21,2)</f>
        <v>-111432.92999999999</v>
      </c>
      <c r="I52" s="473">
        <f t="shared" si="18"/>
        <v>1755338.3400000001</v>
      </c>
      <c r="J52" s="232">
        <v>1</v>
      </c>
      <c r="K52" s="474">
        <f t="shared" si="16"/>
        <v>1755338.3400000001</v>
      </c>
      <c r="L52" s="291"/>
      <c r="N52" s="195" t="s">
        <v>408</v>
      </c>
      <c r="O52" s="474">
        <v>0</v>
      </c>
      <c r="P52" s="474">
        <v>0</v>
      </c>
      <c r="Q52" s="474">
        <v>0</v>
      </c>
      <c r="R52" s="474">
        <f t="shared" si="5"/>
        <v>0</v>
      </c>
      <c r="S52" s="474">
        <v>0</v>
      </c>
      <c r="T52" s="474">
        <v>0</v>
      </c>
      <c r="U52" s="474">
        <f t="shared" si="6"/>
        <v>0</v>
      </c>
      <c r="V52" s="474">
        <v>0</v>
      </c>
      <c r="W52" s="474">
        <f>+K52</f>
        <v>1755338.3400000001</v>
      </c>
      <c r="X52" s="475">
        <f t="shared" si="7"/>
        <v>1755338.3400000001</v>
      </c>
      <c r="Y52" s="202" t="b">
        <f t="shared" si="8"/>
        <v>1</v>
      </c>
      <c r="Z52" s="651">
        <f t="shared" si="9"/>
        <v>0</v>
      </c>
      <c r="AA52" s="197"/>
      <c r="AC52" s="328"/>
    </row>
    <row r="53" spans="1:29" ht="12.75">
      <c r="A53" s="195">
        <f t="shared" si="11"/>
        <v>39</v>
      </c>
      <c r="B53" s="336"/>
      <c r="C53" s="660" t="s">
        <v>1205</v>
      </c>
      <c r="E53" s="473">
        <v>15806084.57</v>
      </c>
      <c r="F53" s="473">
        <v>0</v>
      </c>
      <c r="G53" s="473">
        <f t="shared" si="17"/>
        <v>15806084.57</v>
      </c>
      <c r="H53" s="473">
        <v>0</v>
      </c>
      <c r="I53" s="473">
        <f t="shared" si="18"/>
        <v>15806084.57</v>
      </c>
      <c r="J53" s="232">
        <v>1</v>
      </c>
      <c r="K53" s="474">
        <f t="shared" si="16"/>
        <v>15806084.57</v>
      </c>
      <c r="L53" s="291"/>
      <c r="N53" s="333" t="s">
        <v>408</v>
      </c>
      <c r="O53" s="474">
        <v>0</v>
      </c>
      <c r="P53" s="474">
        <v>0</v>
      </c>
      <c r="Q53" s="474">
        <v>0</v>
      </c>
      <c r="R53" s="474">
        <f t="shared" si="5"/>
        <v>0</v>
      </c>
      <c r="S53" s="474">
        <f>+K53</f>
        <v>15806084.57</v>
      </c>
      <c r="T53" s="474">
        <v>0</v>
      </c>
      <c r="U53" s="474">
        <f t="shared" si="6"/>
        <v>15806084.57</v>
      </c>
      <c r="V53" s="474">
        <v>0</v>
      </c>
      <c r="W53" s="474">
        <v>0</v>
      </c>
      <c r="X53" s="475">
        <f t="shared" si="7"/>
        <v>15806084.57</v>
      </c>
      <c r="Y53" s="202" t="b">
        <f t="shared" si="8"/>
        <v>1</v>
      </c>
      <c r="Z53" s="651">
        <f t="shared" si="9"/>
        <v>0</v>
      </c>
      <c r="AA53" s="197"/>
      <c r="AC53" s="328"/>
    </row>
    <row r="54" spans="1:29" ht="12.75">
      <c r="A54" s="195">
        <f t="shared" si="11"/>
        <v>40</v>
      </c>
      <c r="B54" s="336"/>
      <c r="C54" s="660" t="s">
        <v>668</v>
      </c>
      <c r="E54" s="473">
        <v>131746.23000000001</v>
      </c>
      <c r="F54" s="473">
        <v>0</v>
      </c>
      <c r="G54" s="473">
        <f t="shared" si="17"/>
        <v>131746.23000000001</v>
      </c>
      <c r="H54" s="484">
        <v>0</v>
      </c>
      <c r="I54" s="473">
        <f t="shared" si="18"/>
        <v>131746.23000000001</v>
      </c>
      <c r="J54" s="232">
        <v>1</v>
      </c>
      <c r="K54" s="474">
        <f t="shared" si="16"/>
        <v>131746.23000000001</v>
      </c>
      <c r="L54" s="291"/>
      <c r="N54" s="333" t="s">
        <v>408</v>
      </c>
      <c r="O54" s="474">
        <v>0</v>
      </c>
      <c r="P54" s="474">
        <v>0</v>
      </c>
      <c r="Q54" s="474">
        <v>0</v>
      </c>
      <c r="R54" s="474">
        <f t="shared" si="5"/>
        <v>0</v>
      </c>
      <c r="S54" s="474">
        <f>+K54</f>
        <v>131746.23000000001</v>
      </c>
      <c r="T54" s="474">
        <v>0</v>
      </c>
      <c r="U54" s="474">
        <f t="shared" si="6"/>
        <v>131746.23000000001</v>
      </c>
      <c r="V54" s="474">
        <v>0</v>
      </c>
      <c r="W54" s="474">
        <v>0</v>
      </c>
      <c r="X54" s="475">
        <f t="shared" si="7"/>
        <v>131746.23000000001</v>
      </c>
      <c r="Y54" s="202" t="b">
        <f t="shared" si="8"/>
        <v>1</v>
      </c>
      <c r="Z54" s="651">
        <f t="shared" si="9"/>
        <v>0</v>
      </c>
      <c r="AA54" s="197"/>
      <c r="AC54" s="328"/>
    </row>
    <row r="55" spans="1:29" ht="12.75">
      <c r="A55" s="195">
        <f t="shared" si="11"/>
        <v>41</v>
      </c>
      <c r="B55" s="336"/>
      <c r="C55" s="660" t="s">
        <v>669</v>
      </c>
      <c r="E55" s="473">
        <v>318968.52000000002</v>
      </c>
      <c r="F55" s="473">
        <v>0</v>
      </c>
      <c r="G55" s="473">
        <f t="shared" si="17"/>
        <v>318968.52000000002</v>
      </c>
      <c r="H55" s="473">
        <v>0</v>
      </c>
      <c r="I55" s="473">
        <f t="shared" si="18"/>
        <v>318968.52000000002</v>
      </c>
      <c r="J55" s="232">
        <v>1</v>
      </c>
      <c r="K55" s="474">
        <f t="shared" si="16"/>
        <v>318968.52000000002</v>
      </c>
      <c r="L55" s="291"/>
      <c r="N55" s="333" t="s">
        <v>408</v>
      </c>
      <c r="O55" s="474">
        <f>+K55</f>
        <v>318968.52000000002</v>
      </c>
      <c r="P55" s="474">
        <v>0</v>
      </c>
      <c r="Q55" s="474">
        <v>0</v>
      </c>
      <c r="R55" s="474">
        <f t="shared" si="5"/>
        <v>318968.52000000002</v>
      </c>
      <c r="S55" s="474">
        <v>0</v>
      </c>
      <c r="T55" s="474">
        <v>0</v>
      </c>
      <c r="U55" s="474">
        <f t="shared" si="6"/>
        <v>0</v>
      </c>
      <c r="V55" s="474">
        <v>0</v>
      </c>
      <c r="W55" s="474">
        <v>0</v>
      </c>
      <c r="X55" s="475">
        <f t="shared" si="7"/>
        <v>318968.52000000002</v>
      </c>
      <c r="Y55" s="202" t="b">
        <f t="shared" si="8"/>
        <v>1</v>
      </c>
      <c r="Z55" s="651">
        <f t="shared" si="9"/>
        <v>0</v>
      </c>
      <c r="AA55" s="197"/>
      <c r="AC55" s="328"/>
    </row>
    <row r="56" spans="1:29" ht="12.75">
      <c r="A56" s="195">
        <f t="shared" si="11"/>
        <v>42</v>
      </c>
      <c r="B56" s="336"/>
      <c r="C56" s="660" t="s">
        <v>670</v>
      </c>
      <c r="E56" s="473">
        <v>1584988.6799999999</v>
      </c>
      <c r="F56" s="473">
        <v>0</v>
      </c>
      <c r="G56" s="473">
        <f t="shared" si="17"/>
        <v>1584988.6799999999</v>
      </c>
      <c r="H56" s="473">
        <f>ROUND(+'[6]II-B-12'!$H$41*0.21,2)</f>
        <v>-7174.6400000000003</v>
      </c>
      <c r="I56" s="473">
        <f t="shared" si="18"/>
        <v>1577814.04</v>
      </c>
      <c r="J56" s="232">
        <v>1</v>
      </c>
      <c r="K56" s="474">
        <f t="shared" si="16"/>
        <v>1577814.04</v>
      </c>
      <c r="L56" s="291"/>
      <c r="N56" s="333" t="s">
        <v>408</v>
      </c>
      <c r="O56" s="474">
        <f>ROUND(+'[6]II-B-12'!N41*0.21,2)</f>
        <v>1332237.78</v>
      </c>
      <c r="P56" s="474">
        <f>ROUND(+'[6]II-B-12'!O41*0.21,2)</f>
        <v>116802.63000000001</v>
      </c>
      <c r="Q56" s="474">
        <f>ROUND(+'[6]II-B-12'!P41*0.21,2)</f>
        <v>0</v>
      </c>
      <c r="R56" s="474">
        <f t="shared" si="5"/>
        <v>1449040.4100000002</v>
      </c>
      <c r="S56" s="474">
        <f>ROUND(+'[6]II-B-12'!R41*0.21,2)</f>
        <v>128773.63000000001</v>
      </c>
      <c r="T56" s="474">
        <f>ROUND(+'[6]II-B-12'!S41*0.21,2)</f>
        <v>0</v>
      </c>
      <c r="U56" s="474">
        <f t="shared" si="6"/>
        <v>128773.63000000001</v>
      </c>
      <c r="V56" s="474">
        <f>ROUND(+'[6]II-B-12'!U41*0.21,2)</f>
        <v>0</v>
      </c>
      <c r="W56" s="474">
        <f>ROUND(+'[6]II-B-12'!V41*0.21,2)</f>
        <v>0</v>
      </c>
      <c r="X56" s="475">
        <f t="shared" si="7"/>
        <v>1577814.04</v>
      </c>
      <c r="Y56" s="202" t="b">
        <f t="shared" si="8"/>
        <v>1</v>
      </c>
      <c r="Z56" s="651">
        <f t="shared" si="9"/>
        <v>0</v>
      </c>
      <c r="AA56" s="197"/>
      <c r="AC56" s="328"/>
    </row>
    <row r="57" spans="1:29" ht="12.75">
      <c r="A57" s="195">
        <f t="shared" si="11"/>
        <v>43</v>
      </c>
      <c r="B57" s="336"/>
      <c r="C57" s="660" t="s">
        <v>672</v>
      </c>
      <c r="E57" s="473">
        <v>7278558.5700000003</v>
      </c>
      <c r="F57" s="473">
        <v>0</v>
      </c>
      <c r="G57" s="473">
        <f t="shared" si="17"/>
        <v>7278558.5700000003</v>
      </c>
      <c r="H57" s="485">
        <f>ROUND(+'[6]II-B-12'!$H$22*0.21,2)</f>
        <v>-8647.0400000000009</v>
      </c>
      <c r="I57" s="473">
        <f t="shared" si="18"/>
        <v>7269911.5300000003</v>
      </c>
      <c r="J57" s="232">
        <v>1</v>
      </c>
      <c r="K57" s="474">
        <f t="shared" si="16"/>
        <v>7269911.5300000003</v>
      </c>
      <c r="L57" s="291"/>
      <c r="N57" s="333" t="s">
        <v>408</v>
      </c>
      <c r="O57" s="474">
        <f>ROUND(+'[6]II-B-12'!N22*0.21,2)</f>
        <v>631388.69999999995</v>
      </c>
      <c r="P57" s="474">
        <f>ROUND(+'[6]II-B-12'!O22*0.21,2)</f>
        <v>0</v>
      </c>
      <c r="Q57" s="474">
        <f>ROUND(+'[6]II-B-12'!P22*0.21,2)</f>
        <v>0</v>
      </c>
      <c r="R57" s="474">
        <f t="shared" si="5"/>
        <v>631388.69999999995</v>
      </c>
      <c r="S57" s="474">
        <f>ROUND(+'[6]II-B-12'!R22*0.21,2)</f>
        <v>6037932.9500000002</v>
      </c>
      <c r="T57" s="474">
        <f>ROUND(+'[6]II-B-12'!S22*0.21,2)</f>
        <v>0</v>
      </c>
      <c r="U57" s="474">
        <f t="shared" si="6"/>
        <v>6037932.9500000002</v>
      </c>
      <c r="V57" s="474">
        <f>ROUND(+'[6]II-B-12'!U22*0.21,2)</f>
        <v>331632.82000000001</v>
      </c>
      <c r="W57" s="426">
        <f>+K57-R57-U57-V57</f>
        <v>268957.05999999988</v>
      </c>
      <c r="X57" s="475">
        <f t="shared" si="7"/>
        <v>7269911.5300000003</v>
      </c>
      <c r="Y57" s="202" t="b">
        <f t="shared" si="8"/>
        <v>1</v>
      </c>
      <c r="Z57" s="651">
        <f t="shared" si="9"/>
        <v>0</v>
      </c>
      <c r="AA57" s="197"/>
      <c r="AC57" s="328"/>
    </row>
    <row r="58" spans="1:29" ht="12.75">
      <c r="A58" s="195">
        <f t="shared" si="11"/>
        <v>44</v>
      </c>
      <c r="B58" s="336"/>
      <c r="C58" s="660" t="s">
        <v>1111</v>
      </c>
      <c r="E58" s="473">
        <v>1700729.45</v>
      </c>
      <c r="F58" s="473">
        <v>0</v>
      </c>
      <c r="G58" s="473">
        <f t="shared" si="17"/>
        <v>1700729.45</v>
      </c>
      <c r="H58" s="485">
        <f>-G58</f>
        <v>-1700729.45</v>
      </c>
      <c r="I58" s="473">
        <f t="shared" si="18"/>
        <v>0</v>
      </c>
      <c r="J58" s="232">
        <v>1</v>
      </c>
      <c r="K58" s="474">
        <f t="shared" si="16"/>
        <v>0</v>
      </c>
      <c r="L58" s="291"/>
      <c r="N58" s="333"/>
      <c r="O58" s="473"/>
      <c r="P58" s="473"/>
      <c r="Q58" s="473"/>
      <c r="R58" s="474"/>
      <c r="S58" s="473"/>
      <c r="T58" s="473"/>
      <c r="U58" s="474"/>
      <c r="V58" s="473"/>
      <c r="W58" s="473"/>
      <c r="X58" s="475">
        <f t="shared" si="7"/>
        <v>0</v>
      </c>
      <c r="Y58" s="202" t="b">
        <f t="shared" si="8"/>
        <v>1</v>
      </c>
      <c r="Z58" s="651">
        <f t="shared" si="9"/>
        <v>0</v>
      </c>
      <c r="AA58" s="197"/>
      <c r="AC58" s="328"/>
    </row>
    <row r="59" spans="1:29" ht="12.75">
      <c r="A59" s="195">
        <f t="shared" si="11"/>
        <v>45</v>
      </c>
      <c r="B59" s="336"/>
      <c r="C59" s="660" t="s">
        <v>623</v>
      </c>
      <c r="E59" s="473">
        <v>28782943.850000001</v>
      </c>
      <c r="F59" s="473">
        <v>0</v>
      </c>
      <c r="G59" s="473">
        <f t="shared" si="17"/>
        <v>28782943.850000001</v>
      </c>
      <c r="H59" s="484">
        <f>-G59</f>
        <v>-28782943.850000001</v>
      </c>
      <c r="I59" s="473">
        <f t="shared" si="18"/>
        <v>0</v>
      </c>
      <c r="J59" s="232">
        <v>1</v>
      </c>
      <c r="K59" s="474">
        <f t="shared" si="16"/>
        <v>0</v>
      </c>
      <c r="L59" s="291"/>
      <c r="N59" s="334"/>
      <c r="O59" s="474">
        <v>0</v>
      </c>
      <c r="P59" s="474">
        <v>0</v>
      </c>
      <c r="Q59" s="474">
        <v>0</v>
      </c>
      <c r="R59" s="474">
        <f t="shared" si="5"/>
        <v>0</v>
      </c>
      <c r="S59" s="474">
        <v>0</v>
      </c>
      <c r="T59" s="474">
        <v>0</v>
      </c>
      <c r="U59" s="474">
        <f t="shared" si="6"/>
        <v>0</v>
      </c>
      <c r="V59" s="474">
        <v>0</v>
      </c>
      <c r="W59" s="474">
        <v>0</v>
      </c>
      <c r="X59" s="475">
        <f t="shared" si="7"/>
        <v>0</v>
      </c>
      <c r="Y59" s="202" t="b">
        <f t="shared" si="8"/>
        <v>1</v>
      </c>
      <c r="Z59" s="651">
        <f t="shared" si="9"/>
        <v>0</v>
      </c>
      <c r="AA59" s="197"/>
      <c r="AC59" s="328"/>
    </row>
    <row r="60" spans="1:29" ht="12.75">
      <c r="A60" s="195">
        <f t="shared" si="11"/>
        <v>46</v>
      </c>
      <c r="B60" s="336"/>
      <c r="C60" s="352" t="s">
        <v>1228</v>
      </c>
      <c r="E60" s="473">
        <v>-9624785.5299999993</v>
      </c>
      <c r="F60" s="473">
        <v>0</v>
      </c>
      <c r="G60" s="473">
        <f t="shared" si="17"/>
        <v>-9624785.5299999993</v>
      </c>
      <c r="H60" s="484">
        <v>0</v>
      </c>
      <c r="I60" s="473">
        <f t="shared" si="18"/>
        <v>-9624785.5299999993</v>
      </c>
      <c r="J60" s="232">
        <v>1</v>
      </c>
      <c r="K60" s="474">
        <f t="shared" si="16"/>
        <v>-9624785.5299999993</v>
      </c>
      <c r="L60" s="291"/>
      <c r="N60" s="333" t="s">
        <v>775</v>
      </c>
      <c r="O60" s="426">
        <f>ROUND($K60*'[5]II-F Alloc_Factor'!E$35,2)</f>
        <v>-4306291.96</v>
      </c>
      <c r="P60" s="426">
        <f>ROUND($K60*'[5]II-F Alloc_Factor'!F$35,2)</f>
        <v>0</v>
      </c>
      <c r="Q60" s="426">
        <f>ROUND($K60*'[5]II-F Alloc_Factor'!G$35,2)</f>
        <v>0</v>
      </c>
      <c r="R60" s="474">
        <f t="shared" si="5"/>
        <v>-4306291.96</v>
      </c>
      <c r="S60" s="426">
        <f>ROUND($K60*'[5]II-F Alloc_Factor'!I$35,2)</f>
        <v>-5025959.6299999999</v>
      </c>
      <c r="T60" s="426">
        <f>ROUND($K60*'[5]II-F Alloc_Factor'!J$35,2)</f>
        <v>0</v>
      </c>
      <c r="U60" s="474">
        <f t="shared" si="6"/>
        <v>-5025959.6299999999</v>
      </c>
      <c r="V60" s="426">
        <f>ROUND($K60*'[5]II-F Alloc_Factor'!L$35,2)</f>
        <v>-233683.66</v>
      </c>
      <c r="W60" s="426">
        <f>+K60-R60-U60-V60</f>
        <v>-58850.279999999475</v>
      </c>
      <c r="X60" s="475">
        <f t="shared" si="7"/>
        <v>-9624785.5299999993</v>
      </c>
      <c r="Y60" s="202" t="b">
        <f t="shared" si="8"/>
        <v>1</v>
      </c>
      <c r="Z60" s="651">
        <f t="shared" si="9"/>
        <v>0</v>
      </c>
      <c r="AA60" s="197"/>
      <c r="AC60" s="328"/>
    </row>
    <row r="61" spans="1:29" ht="12.75">
      <c r="A61" s="195">
        <f t="shared" si="11"/>
        <v>47</v>
      </c>
      <c r="B61" s="336"/>
      <c r="C61" s="660" t="s">
        <v>1206</v>
      </c>
      <c r="E61" s="473">
        <v>87433028.959999993</v>
      </c>
      <c r="F61" s="473">
        <v>0</v>
      </c>
      <c r="G61" s="473">
        <f t="shared" si="17"/>
        <v>87433028.959999993</v>
      </c>
      <c r="H61" s="484">
        <f>-G61</f>
        <v>-87433028.959999993</v>
      </c>
      <c r="I61" s="473">
        <f t="shared" si="18"/>
        <v>0</v>
      </c>
      <c r="J61" s="232">
        <v>1</v>
      </c>
      <c r="K61" s="474">
        <f t="shared" si="16"/>
        <v>0</v>
      </c>
      <c r="L61" s="291"/>
      <c r="O61" s="604">
        <v>0</v>
      </c>
      <c r="P61" s="604">
        <v>0</v>
      </c>
      <c r="Q61" s="604">
        <v>0</v>
      </c>
      <c r="R61" s="474">
        <f t="shared" si="5"/>
        <v>0</v>
      </c>
      <c r="S61" s="604">
        <v>0</v>
      </c>
      <c r="T61" s="604">
        <v>0</v>
      </c>
      <c r="U61" s="474">
        <f t="shared" si="6"/>
        <v>0</v>
      </c>
      <c r="V61" s="604">
        <f>ROUND(+$K61*'[5]II-F Alloc_Factor'!L$35,0)</f>
        <v>0</v>
      </c>
      <c r="W61" s="474">
        <f>+K61-O61-P61-Q61-S61-T61-V61</f>
        <v>0</v>
      </c>
      <c r="X61" s="475">
        <f t="shared" si="7"/>
        <v>0</v>
      </c>
      <c r="Y61" s="202" t="b">
        <f t="shared" si="8"/>
        <v>1</v>
      </c>
      <c r="Z61" s="651">
        <f t="shared" si="9"/>
        <v>0</v>
      </c>
      <c r="AA61" s="197"/>
      <c r="AC61" s="328"/>
    </row>
    <row r="62" spans="1:27" ht="12.75">
      <c r="A62" s="195">
        <f t="shared" si="11"/>
        <v>48</v>
      </c>
      <c r="B62" s="195"/>
      <c r="C62" s="199" t="s">
        <v>1258</v>
      </c>
      <c r="E62" s="476">
        <f>SUM(E18:E61)</f>
        <v>2790865457.1399999</v>
      </c>
      <c r="F62" s="476">
        <f>SUM(F18:F61)</f>
        <v>0</v>
      </c>
      <c r="G62" s="476">
        <f>SUM(G18:G61)</f>
        <v>2790865457.1399999</v>
      </c>
      <c r="H62" s="476">
        <f>SUM(H18:H61)</f>
        <v>-140108228.05000001</v>
      </c>
      <c r="I62" s="476">
        <f>SUM(I18:I61)</f>
        <v>2650757229.0900002</v>
      </c>
      <c r="J62" s="476"/>
      <c r="K62" s="476">
        <f>SUM(K18:K61)</f>
        <v>2650757229.0900002</v>
      </c>
      <c r="L62" s="339"/>
      <c r="M62" s="339"/>
      <c r="N62" s="476">
        <f>SUM(N18:N60)</f>
        <v>0</v>
      </c>
      <c r="O62" s="476">
        <f t="shared" si="22" ref="O62:X62">SUM(O18:O61)</f>
        <v>1036451799.1999998</v>
      </c>
      <c r="P62" s="476">
        <f t="shared" si="22"/>
        <v>130330290.7</v>
      </c>
      <c r="Q62" s="476">
        <f t="shared" si="22"/>
        <v>1244650.9999999998</v>
      </c>
      <c r="R62" s="476">
        <f t="shared" si="22"/>
        <v>1168026740.9000003</v>
      </c>
      <c r="S62" s="476">
        <f t="shared" si="22"/>
        <v>1293413794.9199996</v>
      </c>
      <c r="T62" s="476">
        <f t="shared" si="22"/>
        <v>10585547.99</v>
      </c>
      <c r="U62" s="476">
        <f t="shared" si="22"/>
        <v>1303999342.9099996</v>
      </c>
      <c r="V62" s="476">
        <f t="shared" si="22"/>
        <v>78049324.160000011</v>
      </c>
      <c r="W62" s="476">
        <f t="shared" si="22"/>
        <v>100681821.11999971</v>
      </c>
      <c r="X62" s="476">
        <f t="shared" si="22"/>
        <v>2650757229.0900006</v>
      </c>
      <c r="Y62" s="202" t="b">
        <f t="shared" si="23" ref="Y62">+K62=X62</f>
        <v>1</v>
      </c>
      <c r="Z62" s="651">
        <f t="shared" si="24" ref="Z62">+K62-X62</f>
        <v>0</v>
      </c>
      <c r="AA62" s="197"/>
    </row>
    <row r="63" spans="1:27" ht="12.75">
      <c r="A63" s="195">
        <f t="shared" si="11"/>
        <v>49</v>
      </c>
      <c r="B63" s="195"/>
      <c r="E63" s="328"/>
      <c r="F63" s="328"/>
      <c r="G63" s="328"/>
      <c r="H63" s="328"/>
      <c r="I63" s="328"/>
      <c r="J63" s="226"/>
      <c r="K63" s="291"/>
      <c r="L63" s="291"/>
      <c r="N63" s="334"/>
      <c r="O63" s="291"/>
      <c r="P63" s="291"/>
      <c r="Q63" s="291"/>
      <c r="R63" s="291"/>
      <c r="S63" s="291"/>
      <c r="T63" s="291"/>
      <c r="U63" s="291"/>
      <c r="V63" s="291"/>
      <c r="W63" s="291"/>
      <c r="X63" s="291"/>
      <c r="AA63" s="197"/>
    </row>
    <row r="64" spans="1:27" ht="12.75">
      <c r="A64" s="195">
        <f t="shared" si="11"/>
        <v>50</v>
      </c>
      <c r="B64" s="333">
        <v>190</v>
      </c>
      <c r="C64" s="199" t="s">
        <v>1255</v>
      </c>
      <c r="E64" s="328"/>
      <c r="F64" s="328"/>
      <c r="G64" s="328"/>
      <c r="H64" s="328"/>
      <c r="I64" s="328"/>
      <c r="J64" s="226"/>
      <c r="K64" s="291"/>
      <c r="L64" s="291"/>
      <c r="N64" s="334"/>
      <c r="O64" s="291"/>
      <c r="P64" s="291"/>
      <c r="Q64" s="291"/>
      <c r="R64" s="291"/>
      <c r="S64" s="291"/>
      <c r="T64" s="291"/>
      <c r="U64" s="291"/>
      <c r="V64" s="291"/>
      <c r="W64" s="291"/>
      <c r="X64" s="291"/>
      <c r="AA64" s="197"/>
    </row>
    <row r="65" spans="1:27" ht="15">
      <c r="A65" s="195">
        <f t="shared" si="11"/>
        <v>51</v>
      </c>
      <c r="B65" s="333"/>
      <c r="C65" s="660" t="s">
        <v>1206</v>
      </c>
      <c r="E65" s="743">
        <v>87433028.959999993</v>
      </c>
      <c r="F65" s="472">
        <v>0</v>
      </c>
      <c r="G65" s="472">
        <f t="shared" si="25" ref="G65:G92">SUM(E65:F65)</f>
        <v>87433028.959999993</v>
      </c>
      <c r="H65" s="472">
        <f>-G65</f>
        <v>-87433028.959999993</v>
      </c>
      <c r="I65" s="472">
        <f t="shared" si="26" ref="I65:I92">+G65+H65</f>
        <v>0</v>
      </c>
      <c r="J65" s="232">
        <v>1</v>
      </c>
      <c r="K65" s="472">
        <f t="shared" si="27" ref="K65:K92">+I65*J65</f>
        <v>0</v>
      </c>
      <c r="L65" s="291"/>
      <c r="N65" s="334"/>
      <c r="O65" s="472">
        <v>0</v>
      </c>
      <c r="P65" s="472">
        <v>0</v>
      </c>
      <c r="Q65" s="472">
        <v>0</v>
      </c>
      <c r="R65" s="472">
        <f t="shared" si="28" ref="R65">SUM(O65:Q65)</f>
        <v>0</v>
      </c>
      <c r="S65" s="472">
        <v>0</v>
      </c>
      <c r="T65" s="472">
        <v>0</v>
      </c>
      <c r="U65" s="472">
        <f t="shared" si="29" ref="U65:U92">SUM(S65:T65)</f>
        <v>0</v>
      </c>
      <c r="V65" s="472">
        <v>0</v>
      </c>
      <c r="W65" s="472">
        <v>0</v>
      </c>
      <c r="X65" s="476">
        <f t="shared" si="30" ref="X65:X92">+R65+U65+V65+W65</f>
        <v>0</v>
      </c>
      <c r="Y65" s="202" t="b">
        <f t="shared" si="31" ref="Y65:Y92">+K65=X65</f>
        <v>1</v>
      </c>
      <c r="Z65" s="651">
        <f t="shared" si="32" ref="Z65:Z93">+K65-X65</f>
        <v>0</v>
      </c>
      <c r="AA65" s="197"/>
    </row>
    <row r="66" spans="1:27" ht="12.75">
      <c r="A66" s="195">
        <f t="shared" si="11"/>
        <v>52</v>
      </c>
      <c r="B66" s="333"/>
      <c r="C66" s="660" t="s">
        <v>1117</v>
      </c>
      <c r="E66" s="473">
        <v>29212843.5</v>
      </c>
      <c r="F66" s="473">
        <v>0</v>
      </c>
      <c r="G66" s="473">
        <f t="shared" si="25"/>
        <v>29212843.5</v>
      </c>
      <c r="H66" s="473"/>
      <c r="I66" s="473">
        <f t="shared" si="26"/>
        <v>29212843.5</v>
      </c>
      <c r="J66" s="232">
        <v>1</v>
      </c>
      <c r="K66" s="474">
        <f t="shared" si="27"/>
        <v>29212843.5</v>
      </c>
      <c r="L66" s="291"/>
      <c r="N66" s="195" t="s">
        <v>798</v>
      </c>
      <c r="O66" s="426">
        <f>ROUND($K66*'[5]II-F Alloc_Factor'!E$40,2)</f>
        <v>13561549.76</v>
      </c>
      <c r="P66" s="426">
        <f>ROUND($K66*'[5]II-F Alloc_Factor'!F$40,2)</f>
        <v>0</v>
      </c>
      <c r="Q66" s="426">
        <f>ROUND($K66*'[5]II-F Alloc_Factor'!G$40,2)</f>
        <v>17301.59</v>
      </c>
      <c r="R66" s="426">
        <f>ROUND($K66*'[5]II-F Alloc_Factor'!H$40,2)</f>
        <v>13578851.35</v>
      </c>
      <c r="S66" s="426">
        <f>ROUND($K66*'[5]II-F Alloc_Factor'!I$40,2)</f>
        <v>14707290.310000001</v>
      </c>
      <c r="T66" s="426">
        <f>ROUND($K66*'[5]II-F Alloc_Factor'!J$40,2)</f>
        <v>0</v>
      </c>
      <c r="U66" s="426">
        <f>ROUND($K66*'[5]II-F Alloc_Factor'!K$40,2)</f>
        <v>14707290.310000001</v>
      </c>
      <c r="V66" s="426">
        <f>ROUND($K66*'[5]II-F Alloc_Factor'!L$40,2)</f>
        <v>500176.59999999998</v>
      </c>
      <c r="W66" s="426">
        <f>ROUND($K66*'[5]II-F Alloc_Factor'!M$40,2)</f>
        <v>426525.23999999999</v>
      </c>
      <c r="X66" s="475">
        <f t="shared" si="30"/>
        <v>29212843.5</v>
      </c>
      <c r="Y66" s="202" t="b">
        <f t="shared" si="31"/>
        <v>1</v>
      </c>
      <c r="Z66" s="651">
        <f t="shared" si="32"/>
        <v>0</v>
      </c>
      <c r="AA66" s="197"/>
    </row>
    <row r="67" spans="1:27" ht="12.75">
      <c r="A67" s="195">
        <f t="shared" si="11"/>
        <v>53</v>
      </c>
      <c r="B67" s="329"/>
      <c r="C67" s="660" t="s">
        <v>26</v>
      </c>
      <c r="E67" s="473">
        <v>2467144.1499999999</v>
      </c>
      <c r="F67" s="473">
        <v>0</v>
      </c>
      <c r="G67" s="473">
        <f t="shared" si="25"/>
        <v>2467144.1499999999</v>
      </c>
      <c r="H67" s="484">
        <v>0</v>
      </c>
      <c r="I67" s="473">
        <f t="shared" si="26"/>
        <v>2467144.1499999999</v>
      </c>
      <c r="J67" s="232">
        <v>1</v>
      </c>
      <c r="K67" s="474">
        <f t="shared" si="27"/>
        <v>2467144.1499999999</v>
      </c>
      <c r="L67" s="291"/>
      <c r="N67" s="333" t="s">
        <v>408</v>
      </c>
      <c r="O67" s="474">
        <v>168181.76000000001</v>
      </c>
      <c r="P67" s="605">
        <v>0</v>
      </c>
      <c r="Q67" s="474">
        <v>0</v>
      </c>
      <c r="R67" s="474">
        <f t="shared" si="33" ref="R67:R92">SUM(O67:Q67)</f>
        <v>168181.76000000001</v>
      </c>
      <c r="S67" s="474">
        <v>2298962.3900000001</v>
      </c>
      <c r="T67" s="474">
        <v>0</v>
      </c>
      <c r="U67" s="474">
        <f t="shared" si="29"/>
        <v>2298962.3900000001</v>
      </c>
      <c r="V67" s="474">
        <v>0</v>
      </c>
      <c r="W67" s="474">
        <v>0</v>
      </c>
      <c r="X67" s="475">
        <f t="shared" si="30"/>
        <v>2467144.1500000004</v>
      </c>
      <c r="Y67" s="202" t="b">
        <f t="shared" si="31"/>
        <v>1</v>
      </c>
      <c r="Z67" s="651">
        <f t="shared" si="32"/>
        <v>0</v>
      </c>
      <c r="AA67" s="197"/>
    </row>
    <row r="68" spans="1:27" ht="12.75">
      <c r="A68" s="195">
        <f t="shared" si="11"/>
        <v>54</v>
      </c>
      <c r="B68" s="336"/>
      <c r="C68" s="660" t="s">
        <v>622</v>
      </c>
      <c r="E68" s="473">
        <v>140348.01999999999</v>
      </c>
      <c r="F68" s="473">
        <v>0</v>
      </c>
      <c r="G68" s="473">
        <f t="shared" si="25"/>
        <v>140348.01999999999</v>
      </c>
      <c r="H68" s="484">
        <v>0</v>
      </c>
      <c r="I68" s="473">
        <f t="shared" si="26"/>
        <v>140348.01999999999</v>
      </c>
      <c r="J68" s="232">
        <v>1</v>
      </c>
      <c r="K68" s="474">
        <f t="shared" si="27"/>
        <v>140348.01999999999</v>
      </c>
      <c r="L68" s="291"/>
      <c r="N68" s="333" t="s">
        <v>408</v>
      </c>
      <c r="O68" s="474">
        <v>0</v>
      </c>
      <c r="P68" s="474">
        <v>0</v>
      </c>
      <c r="Q68" s="474">
        <v>0</v>
      </c>
      <c r="R68" s="474">
        <f t="shared" si="33"/>
        <v>0</v>
      </c>
      <c r="S68" s="474">
        <v>0</v>
      </c>
      <c r="T68" s="474">
        <v>0</v>
      </c>
      <c r="U68" s="474">
        <f t="shared" si="29"/>
        <v>0</v>
      </c>
      <c r="V68" s="474">
        <f>+K68</f>
        <v>140348.01999999999</v>
      </c>
      <c r="W68" s="474">
        <v>0</v>
      </c>
      <c r="X68" s="475">
        <f t="shared" si="30"/>
        <v>140348.01999999999</v>
      </c>
      <c r="Y68" s="202" t="b">
        <f t="shared" si="31"/>
        <v>1</v>
      </c>
      <c r="Z68" s="651">
        <f t="shared" si="32"/>
        <v>0</v>
      </c>
      <c r="AA68" s="197"/>
    </row>
    <row r="69" spans="1:27" ht="12.75">
      <c r="A69" s="195">
        <f t="shared" si="11"/>
        <v>55</v>
      </c>
      <c r="B69" s="336"/>
      <c r="C69" s="660" t="s">
        <v>189</v>
      </c>
      <c r="E69" s="473">
        <v>776266.43999999994</v>
      </c>
      <c r="F69" s="473">
        <v>0</v>
      </c>
      <c r="G69" s="473">
        <f t="shared" si="25"/>
        <v>776266.43999999994</v>
      </c>
      <c r="H69" s="484">
        <v>0</v>
      </c>
      <c r="I69" s="473">
        <f t="shared" si="26"/>
        <v>776266.43999999994</v>
      </c>
      <c r="J69" s="232">
        <v>1</v>
      </c>
      <c r="K69" s="474">
        <f t="shared" si="27"/>
        <v>776266.43999999994</v>
      </c>
      <c r="L69" s="291"/>
      <c r="N69" s="333" t="s">
        <v>13</v>
      </c>
      <c r="O69" s="426">
        <f>ROUND($K69*'[5]II-F Alloc_Factor'!E$17,2)</f>
        <v>170935.07999999999</v>
      </c>
      <c r="P69" s="426">
        <f>ROUND($K69*'[5]II-F Alloc_Factor'!F$17,2)</f>
        <v>0</v>
      </c>
      <c r="Q69" s="426">
        <f>ROUND($K69*'[5]II-F Alloc_Factor'!G$17,2)</f>
        <v>0</v>
      </c>
      <c r="R69" s="426">
        <f>ROUND($K69*'[5]II-F Alloc_Factor'!H$17,2)</f>
        <v>170935.07999999999</v>
      </c>
      <c r="S69" s="426">
        <f>ROUND($K69*'[5]II-F Alloc_Factor'!I$17,2)</f>
        <v>471581.47999999998</v>
      </c>
      <c r="T69" s="426">
        <f>ROUND($K69*'[5]II-F Alloc_Factor'!J$17,2)</f>
        <v>0</v>
      </c>
      <c r="U69" s="426">
        <f>ROUND($K69*'[5]II-F Alloc_Factor'!K$17,2)</f>
        <v>471581.47999999998</v>
      </c>
      <c r="V69" s="426">
        <f>ROUND($K69*'[5]II-F Alloc_Factor'!L$17,2)</f>
        <v>128575.81</v>
      </c>
      <c r="W69" s="426">
        <f>+K69-R69-U69-V69</f>
        <v>5174.070000000007</v>
      </c>
      <c r="X69" s="475">
        <f t="shared" si="30"/>
        <v>776266.43999999994</v>
      </c>
      <c r="Y69" s="202" t="b">
        <f t="shared" si="31"/>
        <v>1</v>
      </c>
      <c r="Z69" s="651">
        <f t="shared" si="32"/>
        <v>0</v>
      </c>
      <c r="AA69" s="197"/>
    </row>
    <row r="70" spans="1:27" ht="12.75">
      <c r="A70" s="195">
        <f t="shared" si="11"/>
        <v>56</v>
      </c>
      <c r="B70" s="333"/>
      <c r="C70" s="660" t="s">
        <v>444</v>
      </c>
      <c r="E70" s="473">
        <v>9798136.3200000003</v>
      </c>
      <c r="F70" s="473">
        <v>0</v>
      </c>
      <c r="G70" s="473">
        <f t="shared" si="25"/>
        <v>9798136.3200000003</v>
      </c>
      <c r="H70" s="484">
        <v>0</v>
      </c>
      <c r="I70" s="473">
        <f t="shared" si="26"/>
        <v>9798136.3200000003</v>
      </c>
      <c r="J70" s="232">
        <v>1</v>
      </c>
      <c r="K70" s="474">
        <f t="shared" si="27"/>
        <v>9798136.3200000003</v>
      </c>
      <c r="L70" s="291"/>
      <c r="N70" s="333" t="s">
        <v>13</v>
      </c>
      <c r="O70" s="426">
        <f>ROUND($K70*'[5]II-F Alloc_Factor'!E$17,2)</f>
        <v>2157564.9500000002</v>
      </c>
      <c r="P70" s="426">
        <f>ROUND($K70*'[5]II-F Alloc_Factor'!F$17,2)</f>
        <v>0</v>
      </c>
      <c r="Q70" s="426">
        <f>ROUND($K70*'[5]II-F Alloc_Factor'!G$17,2)</f>
        <v>0</v>
      </c>
      <c r="R70" s="426">
        <f>ROUND($K70*'[5]II-F Alloc_Factor'!H$17,2)</f>
        <v>2157564.9500000002</v>
      </c>
      <c r="S70" s="426">
        <f>ROUND($K70*'[5]II-F Alloc_Factor'!I$17,2)</f>
        <v>5952363.0199999996</v>
      </c>
      <c r="T70" s="426">
        <f>ROUND($K70*'[5]II-F Alloc_Factor'!J$17,2)</f>
        <v>0</v>
      </c>
      <c r="U70" s="426">
        <f>ROUND($K70*'[5]II-F Alloc_Factor'!K$17,2)</f>
        <v>5952363.0199999996</v>
      </c>
      <c r="V70" s="426">
        <f>ROUND($K70*'[5]II-F Alloc_Factor'!L$17,2)</f>
        <v>1622900.6899999999</v>
      </c>
      <c r="W70" s="426">
        <f>ROUND($K70*'[5]II-F Alloc_Factor'!M$17,2)</f>
        <v>65307.660000000003</v>
      </c>
      <c r="X70" s="475">
        <f t="shared" si="30"/>
        <v>9798136.3200000003</v>
      </c>
      <c r="Y70" s="202" t="b">
        <f t="shared" si="31"/>
        <v>1</v>
      </c>
      <c r="Z70" s="651">
        <f t="shared" si="32"/>
        <v>0</v>
      </c>
      <c r="AA70" s="197"/>
    </row>
    <row r="71" spans="1:27" ht="15">
      <c r="A71" s="195">
        <f t="shared" si="11"/>
        <v>57</v>
      </c>
      <c r="B71" s="336"/>
      <c r="C71" s="660" t="s">
        <v>673</v>
      </c>
      <c r="E71" s="728">
        <v>14031341.869999999</v>
      </c>
      <c r="F71" s="473">
        <v>0</v>
      </c>
      <c r="G71" s="473">
        <f t="shared" si="25"/>
        <v>14031341.869999999</v>
      </c>
      <c r="H71" s="484">
        <v>0</v>
      </c>
      <c r="I71" s="473">
        <f t="shared" si="26"/>
        <v>14031341.869999999</v>
      </c>
      <c r="J71" s="232">
        <v>1</v>
      </c>
      <c r="K71" s="474">
        <f t="shared" si="27"/>
        <v>14031341.869999999</v>
      </c>
      <c r="L71" s="291"/>
      <c r="N71" s="333" t="s">
        <v>408</v>
      </c>
      <c r="O71" s="474">
        <v>0</v>
      </c>
      <c r="P71" s="474">
        <v>0</v>
      </c>
      <c r="Q71" s="474">
        <v>0</v>
      </c>
      <c r="R71" s="474">
        <f t="shared" si="33"/>
        <v>0</v>
      </c>
      <c r="S71" s="474">
        <f>+K71</f>
        <v>14031341.869999999</v>
      </c>
      <c r="T71" s="474">
        <v>0</v>
      </c>
      <c r="U71" s="474">
        <f t="shared" si="29"/>
        <v>14031341.869999999</v>
      </c>
      <c r="V71" s="474">
        <v>0</v>
      </c>
      <c r="W71" s="474">
        <v>0</v>
      </c>
      <c r="X71" s="475">
        <f t="shared" si="30"/>
        <v>14031341.869999999</v>
      </c>
      <c r="Y71" s="202" t="b">
        <f t="shared" si="31"/>
        <v>1</v>
      </c>
      <c r="Z71" s="651">
        <f t="shared" si="32"/>
        <v>0</v>
      </c>
      <c r="AA71" s="197"/>
    </row>
    <row r="72" spans="1:27" ht="15">
      <c r="A72" s="195">
        <f t="shared" si="11"/>
        <v>58</v>
      </c>
      <c r="B72" s="336"/>
      <c r="C72" s="660" t="s">
        <v>674</v>
      </c>
      <c r="E72" s="728">
        <v>-17145.34</v>
      </c>
      <c r="F72" s="473">
        <v>0</v>
      </c>
      <c r="G72" s="473">
        <f t="shared" si="25"/>
        <v>-17145.34</v>
      </c>
      <c r="H72" s="484">
        <v>0</v>
      </c>
      <c r="I72" s="473">
        <f t="shared" si="26"/>
        <v>-17145.34</v>
      </c>
      <c r="J72" s="232">
        <v>1</v>
      </c>
      <c r="K72" s="474">
        <f t="shared" si="27"/>
        <v>-17145.34</v>
      </c>
      <c r="L72" s="291"/>
      <c r="N72" s="333" t="s">
        <v>408</v>
      </c>
      <c r="O72" s="474">
        <v>0</v>
      </c>
      <c r="P72" s="474">
        <v>0</v>
      </c>
      <c r="Q72" s="474">
        <v>0</v>
      </c>
      <c r="R72" s="474">
        <f t="shared" si="33"/>
        <v>0</v>
      </c>
      <c r="S72" s="474">
        <f>+K72</f>
        <v>-17145.34</v>
      </c>
      <c r="T72" s="474">
        <v>0</v>
      </c>
      <c r="U72" s="474">
        <f t="shared" si="29"/>
        <v>-17145.34</v>
      </c>
      <c r="V72" s="474">
        <v>0</v>
      </c>
      <c r="W72" s="474">
        <v>0</v>
      </c>
      <c r="X72" s="475">
        <f t="shared" si="30"/>
        <v>-17145.34</v>
      </c>
      <c r="Y72" s="202" t="b">
        <f t="shared" si="31"/>
        <v>1</v>
      </c>
      <c r="Z72" s="651">
        <f t="shared" si="32"/>
        <v>0</v>
      </c>
      <c r="AA72" s="197"/>
    </row>
    <row r="73" spans="1:27" ht="15">
      <c r="A73" s="195">
        <f t="shared" si="11"/>
        <v>59</v>
      </c>
      <c r="B73" s="336"/>
      <c r="C73" s="660" t="s">
        <v>675</v>
      </c>
      <c r="E73" s="728">
        <v>-497343.69</v>
      </c>
      <c r="F73" s="473">
        <v>0</v>
      </c>
      <c r="G73" s="473">
        <f t="shared" si="25"/>
        <v>-497343.69</v>
      </c>
      <c r="H73" s="484">
        <v>0</v>
      </c>
      <c r="I73" s="473">
        <f t="shared" si="26"/>
        <v>-497343.69</v>
      </c>
      <c r="J73" s="232">
        <v>1</v>
      </c>
      <c r="K73" s="474">
        <f t="shared" si="27"/>
        <v>-497343.69</v>
      </c>
      <c r="L73" s="291"/>
      <c r="N73" s="333" t="s">
        <v>408</v>
      </c>
      <c r="O73" s="474">
        <v>0</v>
      </c>
      <c r="P73" s="474">
        <v>0</v>
      </c>
      <c r="Q73" s="474">
        <v>0</v>
      </c>
      <c r="R73" s="474">
        <f t="shared" si="33"/>
        <v>0</v>
      </c>
      <c r="S73" s="474">
        <f>+K73</f>
        <v>-497343.69</v>
      </c>
      <c r="T73" s="474">
        <v>0</v>
      </c>
      <c r="U73" s="474">
        <f t="shared" si="29"/>
        <v>-497343.69</v>
      </c>
      <c r="V73" s="474">
        <v>0</v>
      </c>
      <c r="W73" s="474">
        <v>0</v>
      </c>
      <c r="X73" s="475">
        <f t="shared" si="30"/>
        <v>-497343.69</v>
      </c>
      <c r="Y73" s="202" t="b">
        <f t="shared" si="31"/>
        <v>1</v>
      </c>
      <c r="Z73" s="651">
        <f t="shared" si="32"/>
        <v>0</v>
      </c>
      <c r="AA73" s="197"/>
    </row>
    <row r="74" spans="1:27" ht="15">
      <c r="A74" s="195">
        <f t="shared" si="11"/>
        <v>60</v>
      </c>
      <c r="B74" s="333"/>
      <c r="C74" s="660" t="s">
        <v>676</v>
      </c>
      <c r="E74" s="728">
        <v>689666.82999999996</v>
      </c>
      <c r="F74" s="473">
        <v>0</v>
      </c>
      <c r="G74" s="473">
        <f t="shared" si="25"/>
        <v>689666.82999999996</v>
      </c>
      <c r="H74" s="484">
        <f>-G74</f>
        <v>-689666.82999999996</v>
      </c>
      <c r="I74" s="473">
        <f t="shared" si="26"/>
        <v>0</v>
      </c>
      <c r="J74" s="232">
        <v>1</v>
      </c>
      <c r="K74" s="474">
        <f t="shared" si="27"/>
        <v>0</v>
      </c>
      <c r="L74" s="291"/>
      <c r="N74" s="333"/>
      <c r="O74" s="474">
        <v>0</v>
      </c>
      <c r="P74" s="474">
        <v>0</v>
      </c>
      <c r="Q74" s="474">
        <v>0</v>
      </c>
      <c r="R74" s="474">
        <f t="shared" si="33"/>
        <v>0</v>
      </c>
      <c r="S74" s="474">
        <v>0</v>
      </c>
      <c r="T74" s="474">
        <v>0</v>
      </c>
      <c r="U74" s="474">
        <f t="shared" si="29"/>
        <v>0</v>
      </c>
      <c r="V74" s="474">
        <v>0</v>
      </c>
      <c r="W74" s="474">
        <v>0</v>
      </c>
      <c r="X74" s="475">
        <f t="shared" si="30"/>
        <v>0</v>
      </c>
      <c r="Y74" s="202" t="b">
        <f t="shared" si="31"/>
        <v>1</v>
      </c>
      <c r="Z74" s="651">
        <f t="shared" si="32"/>
        <v>0</v>
      </c>
      <c r="AA74" s="197"/>
    </row>
    <row r="75" spans="1:27" ht="15">
      <c r="A75" s="195">
        <f t="shared" si="11"/>
        <v>61</v>
      </c>
      <c r="B75" s="333"/>
      <c r="C75" s="660" t="s">
        <v>677</v>
      </c>
      <c r="E75" s="728">
        <v>408841.15000000002</v>
      </c>
      <c r="F75" s="473">
        <v>0</v>
      </c>
      <c r="G75" s="473">
        <f t="shared" si="25"/>
        <v>408841.15000000002</v>
      </c>
      <c r="H75" s="474">
        <f>-G75</f>
        <v>-408841.15000000002</v>
      </c>
      <c r="I75" s="473">
        <f t="shared" si="26"/>
        <v>0</v>
      </c>
      <c r="J75" s="232">
        <v>1</v>
      </c>
      <c r="K75" s="474">
        <f t="shared" si="27"/>
        <v>0</v>
      </c>
      <c r="L75" s="291"/>
      <c r="N75" s="333"/>
      <c r="O75" s="474">
        <v>0</v>
      </c>
      <c r="P75" s="474">
        <v>0</v>
      </c>
      <c r="Q75" s="474">
        <v>0</v>
      </c>
      <c r="R75" s="474">
        <f t="shared" si="33"/>
        <v>0</v>
      </c>
      <c r="S75" s="474">
        <v>0</v>
      </c>
      <c r="T75" s="474">
        <v>0</v>
      </c>
      <c r="U75" s="474">
        <f t="shared" si="29"/>
        <v>0</v>
      </c>
      <c r="V75" s="474">
        <v>0</v>
      </c>
      <c r="W75" s="474">
        <v>0</v>
      </c>
      <c r="X75" s="475">
        <f t="shared" si="30"/>
        <v>0</v>
      </c>
      <c r="Y75" s="202" t="b">
        <f t="shared" si="31"/>
        <v>1</v>
      </c>
      <c r="Z75" s="651">
        <f t="shared" si="32"/>
        <v>0</v>
      </c>
      <c r="AA75" s="197"/>
    </row>
    <row r="76" spans="1:27" ht="15">
      <c r="A76" s="195">
        <f t="shared" si="11"/>
        <v>62</v>
      </c>
      <c r="B76" s="333"/>
      <c r="C76" s="660" t="s">
        <v>1007</v>
      </c>
      <c r="E76" s="728">
        <v>8250720.1699999999</v>
      </c>
      <c r="F76" s="473"/>
      <c r="G76" s="473">
        <f t="shared" si="25"/>
        <v>8250720.1699999999</v>
      </c>
      <c r="H76" s="474"/>
      <c r="I76" s="473">
        <f t="shared" si="26"/>
        <v>8250720.1699999999</v>
      </c>
      <c r="J76" s="232">
        <v>1</v>
      </c>
      <c r="K76" s="474">
        <f t="shared" si="27"/>
        <v>8250720.1699999999</v>
      </c>
      <c r="L76" s="291"/>
      <c r="N76" s="333" t="s">
        <v>407</v>
      </c>
      <c r="O76" s="473">
        <f>ROUND($K76*'[5]II-F Alloc_Factor'!E$27,2)</f>
        <v>2368263.8100000001</v>
      </c>
      <c r="P76" s="473">
        <f>ROUND($K76*'[5]II-F Alloc_Factor'!F$27,2)</f>
        <v>0</v>
      </c>
      <c r="Q76" s="473">
        <f>ROUND($K76*'[5]II-F Alloc_Factor'!G$27,2)</f>
        <v>0</v>
      </c>
      <c r="R76" s="473">
        <f>ROUND($K76*'[5]II-F Alloc_Factor'!H$27,2)</f>
        <v>2368263.8100000001</v>
      </c>
      <c r="S76" s="473">
        <f>ROUND($K76*'[5]II-F Alloc_Factor'!I$27,2)</f>
        <v>4084896.6699999999</v>
      </c>
      <c r="T76" s="473">
        <f>ROUND($K76*'[5]II-F Alloc_Factor'!J$27,2)</f>
        <v>0</v>
      </c>
      <c r="U76" s="473">
        <f>ROUND($K76*'[5]II-F Alloc_Factor'!K$27,2)</f>
        <v>4084896.6699999999</v>
      </c>
      <c r="V76" s="473">
        <f>ROUND($K76*'[5]II-F Alloc_Factor'!L$27,2)</f>
        <v>1353096.97</v>
      </c>
      <c r="W76" s="473">
        <f>ROUND($K76*'[5]II-F Alloc_Factor'!M$27,2)</f>
        <v>444462.71999999997</v>
      </c>
      <c r="X76" s="475">
        <f t="shared" si="30"/>
        <v>8250720.1699999999</v>
      </c>
      <c r="Y76" s="202" t="b">
        <f t="shared" si="34" ref="Y76:Y77">+K76=X76</f>
        <v>1</v>
      </c>
      <c r="Z76" s="651">
        <f t="shared" si="35" ref="Z76:Z77">+K76-X76</f>
        <v>0</v>
      </c>
      <c r="AA76" s="197"/>
    </row>
    <row r="77" spans="1:27" ht="15">
      <c r="A77" s="195">
        <f t="shared" si="11"/>
        <v>63</v>
      </c>
      <c r="B77" s="333"/>
      <c r="C77" s="660" t="s">
        <v>1008</v>
      </c>
      <c r="E77" s="728">
        <v>2842758.02</v>
      </c>
      <c r="F77" s="473"/>
      <c r="G77" s="473">
        <f t="shared" si="25"/>
        <v>2842758.02</v>
      </c>
      <c r="H77" s="474"/>
      <c r="I77" s="473">
        <f t="shared" si="26"/>
        <v>2842758.02</v>
      </c>
      <c r="J77" s="232">
        <v>1</v>
      </c>
      <c r="K77" s="474">
        <f t="shared" si="27"/>
        <v>2842758.02</v>
      </c>
      <c r="L77" s="291"/>
      <c r="N77" s="333" t="s">
        <v>408</v>
      </c>
      <c r="O77" s="474">
        <v>34254.809999999998</v>
      </c>
      <c r="P77" s="474"/>
      <c r="Q77" s="474"/>
      <c r="R77" s="473">
        <f>SUM(O77:Q77)</f>
        <v>34254.809999999998</v>
      </c>
      <c r="S77" s="474">
        <v>2808503.21</v>
      </c>
      <c r="T77" s="474"/>
      <c r="U77" s="473">
        <f>SUM(S77:T77)</f>
        <v>2808503.21</v>
      </c>
      <c r="V77" s="474"/>
      <c r="W77" s="474"/>
      <c r="X77" s="475">
        <f t="shared" si="30"/>
        <v>2842758.02</v>
      </c>
      <c r="Y77" s="202" t="b">
        <f t="shared" si="34"/>
        <v>1</v>
      </c>
      <c r="Z77" s="651">
        <f t="shared" si="35"/>
        <v>0</v>
      </c>
      <c r="AA77" s="197"/>
    </row>
    <row r="78" spans="1:27" ht="15">
      <c r="A78" s="195">
        <f t="shared" si="36" ref="A78:A95">+A77+1</f>
        <v>64</v>
      </c>
      <c r="B78" s="333"/>
      <c r="C78" s="660" t="s">
        <v>446</v>
      </c>
      <c r="E78" s="728">
        <v>3053114.3999999999</v>
      </c>
      <c r="F78" s="473">
        <v>0</v>
      </c>
      <c r="G78" s="473">
        <f t="shared" si="25"/>
        <v>3053114.3999999999</v>
      </c>
      <c r="H78" s="484">
        <v>0</v>
      </c>
      <c r="I78" s="473">
        <f t="shared" si="26"/>
        <v>3053114.3999999999</v>
      </c>
      <c r="J78" s="232">
        <v>1</v>
      </c>
      <c r="K78" s="474">
        <f t="shared" si="27"/>
        <v>3053114.3999999999</v>
      </c>
      <c r="L78" s="291"/>
      <c r="N78" s="333" t="s">
        <v>468</v>
      </c>
      <c r="O78" s="473">
        <f>ROUND($K78*'[5]II-F Alloc_Factor'!E$26,2)</f>
        <v>659970.64000000001</v>
      </c>
      <c r="P78" s="473">
        <f>ROUND($K78*'[5]II-F Alloc_Factor'!F$26,2)</f>
        <v>0</v>
      </c>
      <c r="Q78" s="473">
        <f>ROUND($K78*'[5]II-F Alloc_Factor'!G$26,2)</f>
        <v>0</v>
      </c>
      <c r="R78" s="473">
        <f>ROUND($K78*'[5]II-F Alloc_Factor'!H$26,2)</f>
        <v>659970.64000000001</v>
      </c>
      <c r="S78" s="473">
        <f>ROUND($K78*'[5]II-F Alloc_Factor'!I$26,2)</f>
        <v>2393143.7599999998</v>
      </c>
      <c r="T78" s="473">
        <f>ROUND($K78*'[5]II-F Alloc_Factor'!J$26,2)</f>
        <v>0</v>
      </c>
      <c r="U78" s="473">
        <f>ROUND($K78*'[5]II-F Alloc_Factor'!K$26,2)</f>
        <v>2393143.7599999998</v>
      </c>
      <c r="V78" s="473">
        <f>ROUND($K78*'[5]II-F Alloc_Factor'!L$26,2)</f>
        <v>0</v>
      </c>
      <c r="W78" s="473">
        <f>ROUND($K78*'[5]II-F Alloc_Factor'!M$26,2)</f>
        <v>0</v>
      </c>
      <c r="X78" s="475">
        <f t="shared" si="30"/>
        <v>3053114.3999999999</v>
      </c>
      <c r="Y78" s="202" t="b">
        <f t="shared" si="31"/>
        <v>1</v>
      </c>
      <c r="Z78" s="651">
        <f t="shared" si="32"/>
        <v>0</v>
      </c>
      <c r="AA78" s="197"/>
    </row>
    <row r="79" spans="1:27" ht="15">
      <c r="A79" s="195">
        <f t="shared" si="36"/>
        <v>65</v>
      </c>
      <c r="B79" s="333"/>
      <c r="C79" s="660" t="s">
        <v>361</v>
      </c>
      <c r="E79" s="728">
        <v>10002622.039999999</v>
      </c>
      <c r="F79" s="473">
        <v>0</v>
      </c>
      <c r="G79" s="473">
        <f t="shared" si="25"/>
        <v>10002622.039999999</v>
      </c>
      <c r="H79" s="484">
        <v>0</v>
      </c>
      <c r="I79" s="473">
        <f t="shared" si="26"/>
        <v>10002622.039999999</v>
      </c>
      <c r="J79" s="232">
        <v>1</v>
      </c>
      <c r="K79" s="474">
        <f t="shared" si="27"/>
        <v>10002622.039999999</v>
      </c>
      <c r="L79" s="291"/>
      <c r="N79" s="333" t="s">
        <v>407</v>
      </c>
      <c r="O79" s="473">
        <f>ROUND($K79*'[5]II-F Alloc_Factor'!E$27,2)</f>
        <v>2871124.8599999999</v>
      </c>
      <c r="P79" s="473">
        <f>ROUND($K79*'[5]II-F Alloc_Factor'!F$27,2)</f>
        <v>0</v>
      </c>
      <c r="Q79" s="473">
        <f>ROUND($K79*'[5]II-F Alloc_Factor'!G$27,2)</f>
        <v>0</v>
      </c>
      <c r="R79" s="473">
        <f>ROUND($K79*'[5]II-F Alloc_Factor'!H$27,2)</f>
        <v>2871124.8599999999</v>
      </c>
      <c r="S79" s="473">
        <f>ROUND($K79*'[5]II-F Alloc_Factor'!I$27,2)</f>
        <v>4952255.8799999999</v>
      </c>
      <c r="T79" s="473">
        <f>ROUND($K79*'[5]II-F Alloc_Factor'!J$27,2)</f>
        <v>0</v>
      </c>
      <c r="U79" s="473">
        <f>ROUND($K79*'[5]II-F Alloc_Factor'!K$27,2)</f>
        <v>4952255.8799999999</v>
      </c>
      <c r="V79" s="473">
        <f>ROUND($K79*'[5]II-F Alloc_Factor'!L$27,2)</f>
        <v>1640404.3899999999</v>
      </c>
      <c r="W79" s="473">
        <f>ROUND($K79*'[5]II-F Alloc_Factor'!M$27,2)</f>
        <v>538836.91000000003</v>
      </c>
      <c r="X79" s="475">
        <f t="shared" si="30"/>
        <v>10002622.040000001</v>
      </c>
      <c r="Y79" s="202" t="b">
        <f t="shared" si="31"/>
        <v>1</v>
      </c>
      <c r="Z79" s="651">
        <f t="shared" si="32"/>
        <v>0</v>
      </c>
      <c r="AA79" s="197"/>
    </row>
    <row r="80" spans="1:27" ht="15">
      <c r="A80" s="195">
        <f t="shared" si="36"/>
        <v>66</v>
      </c>
      <c r="B80" s="336"/>
      <c r="C80" s="660" t="s">
        <v>420</v>
      </c>
      <c r="E80" s="728">
        <v>7316787.0899999999</v>
      </c>
      <c r="F80" s="473">
        <v>0</v>
      </c>
      <c r="G80" s="473">
        <f t="shared" si="25"/>
        <v>7316787.0899999999</v>
      </c>
      <c r="H80" s="484">
        <v>0</v>
      </c>
      <c r="I80" s="473">
        <f t="shared" si="26"/>
        <v>7316787.0899999999</v>
      </c>
      <c r="J80" s="232">
        <v>1</v>
      </c>
      <c r="K80" s="474">
        <f t="shared" si="27"/>
        <v>7316787.0899999999</v>
      </c>
      <c r="L80" s="291"/>
      <c r="N80" s="333" t="s">
        <v>407</v>
      </c>
      <c r="O80" s="473">
        <f>ROUND($K80*'[5]II-F Alloc_Factor'!E$27,2)</f>
        <v>2100190.25</v>
      </c>
      <c r="P80" s="473">
        <f>ROUND($K80*'[5]II-F Alloc_Factor'!F$27,2)</f>
        <v>0</v>
      </c>
      <c r="Q80" s="473">
        <f>ROUND($K80*'[5]II-F Alloc_Factor'!G$27,2)</f>
        <v>0</v>
      </c>
      <c r="R80" s="473">
        <f>ROUND($K80*'[5]II-F Alloc_Factor'!H$27,2)</f>
        <v>2100190.25</v>
      </c>
      <c r="S80" s="473">
        <f>ROUND($K80*'[5]II-F Alloc_Factor'!I$27,2)</f>
        <v>3622510.3599999999</v>
      </c>
      <c r="T80" s="473">
        <f>ROUND($K80*'[5]II-F Alloc_Factor'!J$27,2)</f>
        <v>0</v>
      </c>
      <c r="U80" s="473">
        <f>ROUND($K80*'[5]II-F Alloc_Factor'!K$27,2)</f>
        <v>3622510.3599999999</v>
      </c>
      <c r="V80" s="473">
        <f>ROUND($K80*'[5]II-F Alloc_Factor'!L$27,2)</f>
        <v>1199934.3400000001</v>
      </c>
      <c r="W80" s="426">
        <f>+K80-R80-U80-V80</f>
        <v>394152.1399999999</v>
      </c>
      <c r="X80" s="475">
        <f t="shared" si="30"/>
        <v>7316787.0899999989</v>
      </c>
      <c r="Y80" s="202" t="b">
        <f t="shared" si="31"/>
        <v>1</v>
      </c>
      <c r="Z80" s="651">
        <f t="shared" si="32"/>
        <v>0</v>
      </c>
      <c r="AA80" s="197"/>
    </row>
    <row r="81" spans="1:27" ht="15">
      <c r="A81" s="195">
        <f t="shared" si="36"/>
        <v>67</v>
      </c>
      <c r="B81" s="333"/>
      <c r="C81" s="660" t="s">
        <v>447</v>
      </c>
      <c r="E81" s="728">
        <v>153678920.84999999</v>
      </c>
      <c r="F81" s="473">
        <v>0</v>
      </c>
      <c r="G81" s="473">
        <f t="shared" si="25"/>
        <v>153678920.84999999</v>
      </c>
      <c r="H81" s="484">
        <v>0</v>
      </c>
      <c r="I81" s="473">
        <f t="shared" si="26"/>
        <v>153678920.84999999</v>
      </c>
      <c r="J81" s="232">
        <v>1</v>
      </c>
      <c r="K81" s="474">
        <f t="shared" si="27"/>
        <v>153678920.84999999</v>
      </c>
      <c r="L81" s="291"/>
      <c r="N81" s="333" t="s">
        <v>407</v>
      </c>
      <c r="O81" s="473">
        <f>ROUND($K81*'[5]II-F Alloc_Factor'!E$27,2)</f>
        <v>44111570.729999997</v>
      </c>
      <c r="P81" s="473">
        <f>ROUND($K81*'[5]II-F Alloc_Factor'!F$27,2)</f>
        <v>0</v>
      </c>
      <c r="Q81" s="473">
        <f>ROUND($K81*'[5]II-F Alloc_Factor'!G$27,2)</f>
        <v>0</v>
      </c>
      <c r="R81" s="473">
        <f>ROUND($K81*'[5]II-F Alloc_Factor'!H$27,2)</f>
        <v>44111570.729999997</v>
      </c>
      <c r="S81" s="473">
        <f>ROUND($K81*'[5]II-F Alloc_Factor'!I$27,2)</f>
        <v>76085784.010000005</v>
      </c>
      <c r="T81" s="473">
        <f>ROUND($K81*'[5]II-F Alloc_Factor'!J$27,2)</f>
        <v>0</v>
      </c>
      <c r="U81" s="473">
        <f>ROUND($K81*'[5]II-F Alloc_Factor'!K$27,2)</f>
        <v>76085784.010000005</v>
      </c>
      <c r="V81" s="473">
        <f>ROUND($K81*'[5]II-F Alloc_Factor'!L$27,2)</f>
        <v>25202949.260000002</v>
      </c>
      <c r="W81" s="473">
        <f>ROUND($K81*'[5]II-F Alloc_Factor'!M$27,2)</f>
        <v>8278616.8499999996</v>
      </c>
      <c r="X81" s="475">
        <f t="shared" si="30"/>
        <v>153678920.84999999</v>
      </c>
      <c r="Y81" s="202" t="b">
        <f t="shared" si="31"/>
        <v>1</v>
      </c>
      <c r="Z81" s="651">
        <f t="shared" si="32"/>
        <v>0</v>
      </c>
      <c r="AA81" s="197"/>
    </row>
    <row r="82" spans="1:27" ht="15">
      <c r="A82" s="195">
        <f t="shared" si="36"/>
        <v>68</v>
      </c>
      <c r="B82" s="333"/>
      <c r="C82" s="660" t="s">
        <v>448</v>
      </c>
      <c r="E82" s="728">
        <v>4386443.4400000004</v>
      </c>
      <c r="F82" s="473">
        <v>0</v>
      </c>
      <c r="G82" s="473">
        <f t="shared" si="25"/>
        <v>4386443.4400000004</v>
      </c>
      <c r="H82" s="15">
        <f>+H58</f>
        <v>-1700729.45</v>
      </c>
      <c r="I82" s="473">
        <f t="shared" si="26"/>
        <v>2685713.9900000002</v>
      </c>
      <c r="J82" s="232">
        <v>1</v>
      </c>
      <c r="K82" s="474">
        <f t="shared" si="27"/>
        <v>2685713.9900000002</v>
      </c>
      <c r="L82" s="291"/>
      <c r="N82" s="333" t="s">
        <v>407</v>
      </c>
      <c r="O82" s="473">
        <f>ROUND($K82*'[5]II-F Alloc_Factor'!E$27,2)</f>
        <v>770899.89000000001</v>
      </c>
      <c r="P82" s="473">
        <f>ROUND($K82*'[5]II-F Alloc_Factor'!F$27,2)</f>
        <v>0</v>
      </c>
      <c r="Q82" s="473">
        <f>ROUND($K82*'[5]II-F Alloc_Factor'!G$27,2)</f>
        <v>0</v>
      </c>
      <c r="R82" s="473">
        <f>ROUND($K82*'[5]II-F Alloc_Factor'!H$27,2)</f>
        <v>770899.89000000001</v>
      </c>
      <c r="S82" s="473">
        <f>ROUND($K82*'[5]II-F Alloc_Factor'!I$27,2)</f>
        <v>1329685.6399999999</v>
      </c>
      <c r="T82" s="473">
        <f>ROUND($K82*'[5]II-F Alloc_Factor'!J$27,2)</f>
        <v>0</v>
      </c>
      <c r="U82" s="473">
        <f>ROUND($K82*'[5]II-F Alloc_Factor'!K$27,2)</f>
        <v>1329685.6399999999</v>
      </c>
      <c r="V82" s="473">
        <f>ROUND($K82*'[5]II-F Alloc_Factor'!L$27,2)</f>
        <v>440450.21000000002</v>
      </c>
      <c r="W82" s="426">
        <f>+K82-R82-U82-V82</f>
        <v>144678.25000000018</v>
      </c>
      <c r="X82" s="475">
        <f t="shared" si="30"/>
        <v>2685713.9899999998</v>
      </c>
      <c r="Y82" s="202" t="b">
        <f t="shared" si="31"/>
        <v>1</v>
      </c>
      <c r="Z82" s="651">
        <f t="shared" si="32"/>
        <v>0</v>
      </c>
      <c r="AA82" s="197"/>
    </row>
    <row r="83" spans="1:27" ht="15">
      <c r="A83" s="195">
        <f t="shared" si="36"/>
        <v>69</v>
      </c>
      <c r="B83" s="333"/>
      <c r="C83" s="660" t="s">
        <v>421</v>
      </c>
      <c r="E83" s="728">
        <v>10881673.800000001</v>
      </c>
      <c r="F83" s="473">
        <v>0</v>
      </c>
      <c r="G83" s="473">
        <f t="shared" si="25"/>
        <v>10881673.800000001</v>
      </c>
      <c r="H83" s="484">
        <v>0</v>
      </c>
      <c r="I83" s="473">
        <f t="shared" si="26"/>
        <v>10881673.800000001</v>
      </c>
      <c r="J83" s="232">
        <v>1</v>
      </c>
      <c r="K83" s="474">
        <f t="shared" si="27"/>
        <v>10881673.800000001</v>
      </c>
      <c r="L83" s="291"/>
      <c r="N83" s="333" t="s">
        <v>464</v>
      </c>
      <c r="O83" s="473">
        <f>ROUND($K83*'[5]II-F Alloc_Factor'!E$30,2)</f>
        <v>2146352.4100000001</v>
      </c>
      <c r="P83" s="473">
        <f>ROUND($K83*'[5]II-F Alloc_Factor'!F$30,2)</f>
        <v>0</v>
      </c>
      <c r="Q83" s="473">
        <f>ROUND($K83*'[5]II-F Alloc_Factor'!G$30,2)</f>
        <v>0</v>
      </c>
      <c r="R83" s="473">
        <f>ROUND($K83*'[5]II-F Alloc_Factor'!H$30,2)</f>
        <v>2146352.4100000001</v>
      </c>
      <c r="S83" s="473">
        <f>ROUND($K83*'[5]II-F Alloc_Factor'!I$30,2)</f>
        <v>5207366.6799999997</v>
      </c>
      <c r="T83" s="473">
        <f>ROUND($K83*'[5]II-F Alloc_Factor'!J$30,2)</f>
        <v>0</v>
      </c>
      <c r="U83" s="473">
        <f>ROUND($K83*'[5]II-F Alloc_Factor'!K$30,2)</f>
        <v>5207366.6799999997</v>
      </c>
      <c r="V83" s="473">
        <f>ROUND($K83*'[5]II-F Alloc_Factor'!L$30,2)</f>
        <v>1407699.5800000001</v>
      </c>
      <c r="W83" s="426">
        <f>+K83-R83-U83-V83</f>
        <v>2120255.1300000008</v>
      </c>
      <c r="X83" s="475">
        <f t="shared" si="30"/>
        <v>10881673.800000001</v>
      </c>
      <c r="Y83" s="202" t="b">
        <f t="shared" si="31"/>
        <v>1</v>
      </c>
      <c r="Z83" s="651">
        <f t="shared" si="32"/>
        <v>0</v>
      </c>
      <c r="AA83" s="197"/>
    </row>
    <row r="84" spans="1:27" ht="15">
      <c r="A84" s="195">
        <f t="shared" si="36"/>
        <v>70</v>
      </c>
      <c r="B84" s="333"/>
      <c r="C84" s="660" t="s">
        <v>1207</v>
      </c>
      <c r="E84" s="728">
        <v>45117330</v>
      </c>
      <c r="F84" s="473">
        <v>0</v>
      </c>
      <c r="G84" s="473">
        <f t="shared" si="25"/>
        <v>45117330</v>
      </c>
      <c r="H84" s="484">
        <v>0</v>
      </c>
      <c r="I84" s="473">
        <f t="shared" si="26"/>
        <v>45117330</v>
      </c>
      <c r="J84" s="232">
        <v>1</v>
      </c>
      <c r="K84" s="474">
        <f t="shared" si="27"/>
        <v>45117330</v>
      </c>
      <c r="L84" s="291"/>
      <c r="N84" s="333" t="s">
        <v>407</v>
      </c>
      <c r="O84" s="473">
        <f>ROUND($K84*'[5]II-F Alloc_Factor'!E$27,2)</f>
        <v>12950353.130000001</v>
      </c>
      <c r="P84" s="473">
        <f>ROUND($K84*'[5]II-F Alloc_Factor'!F$27,2)</f>
        <v>0</v>
      </c>
      <c r="Q84" s="473">
        <f>ROUND($K84*'[5]II-F Alloc_Factor'!G$27,2)</f>
        <v>0</v>
      </c>
      <c r="R84" s="473">
        <f>ROUND($K84*'[5]II-F Alloc_Factor'!H$27,2)</f>
        <v>12950353.130000001</v>
      </c>
      <c r="S84" s="473">
        <f>ROUND($K84*'[5]II-F Alloc_Factor'!I$27,2)</f>
        <v>22337399.34</v>
      </c>
      <c r="T84" s="473">
        <f>ROUND($K84*'[5]II-F Alloc_Factor'!J$27,2)</f>
        <v>0</v>
      </c>
      <c r="U84" s="473">
        <f>ROUND($K84*'[5]II-F Alloc_Factor'!K$27,2)</f>
        <v>22337399.34</v>
      </c>
      <c r="V84" s="473">
        <f>ROUND($K84*'[5]II-F Alloc_Factor'!L$27,2)</f>
        <v>7399126.5199999996</v>
      </c>
      <c r="W84" s="473">
        <f>ROUND($K84*'[5]II-F Alloc_Factor'!M$27,2)</f>
        <v>2430451.0099999998</v>
      </c>
      <c r="X84" s="475">
        <f t="shared" si="30"/>
        <v>45117329.999999993</v>
      </c>
      <c r="Y84" s="202" t="b">
        <f t="shared" si="31"/>
        <v>1</v>
      </c>
      <c r="Z84" s="651">
        <f t="shared" si="32"/>
        <v>0</v>
      </c>
      <c r="AA84" s="197"/>
    </row>
    <row r="85" spans="1:27" ht="15">
      <c r="A85" s="195">
        <f t="shared" si="36"/>
        <v>71</v>
      </c>
      <c r="B85" s="333"/>
      <c r="C85" s="660" t="s">
        <v>386</v>
      </c>
      <c r="E85" s="728">
        <v>11158.77</v>
      </c>
      <c r="F85" s="473">
        <v>0</v>
      </c>
      <c r="G85" s="473">
        <f t="shared" si="25"/>
        <v>11158.77</v>
      </c>
      <c r="H85" s="484">
        <v>0</v>
      </c>
      <c r="I85" s="473">
        <f t="shared" si="26"/>
        <v>11158.77</v>
      </c>
      <c r="J85" s="232">
        <v>1</v>
      </c>
      <c r="K85" s="474">
        <f t="shared" si="27"/>
        <v>11158.77</v>
      </c>
      <c r="L85" s="291"/>
      <c r="N85" s="259" t="s">
        <v>805</v>
      </c>
      <c r="O85" s="426">
        <f>ROUND($K85*'[5]II-F Alloc_Factor'!E$42,2)</f>
        <v>2599.3499999999999</v>
      </c>
      <c r="P85" s="426">
        <f>ROUND($K85*'[5]II-F Alloc_Factor'!F$42,2)</f>
        <v>0</v>
      </c>
      <c r="Q85" s="426">
        <f>ROUND($K85*'[5]II-F Alloc_Factor'!G$42,2)</f>
        <v>0</v>
      </c>
      <c r="R85" s="426">
        <f>ROUND($K85*'[5]II-F Alloc_Factor'!H$42,2)</f>
        <v>2599.3499999999999</v>
      </c>
      <c r="S85" s="426">
        <f>ROUND($K85*'[5]II-F Alloc_Factor'!I$42,2)</f>
        <v>7945.5299999999997</v>
      </c>
      <c r="T85" s="426">
        <f>ROUND($K85*'[5]II-F Alloc_Factor'!J$42,2)</f>
        <v>0</v>
      </c>
      <c r="U85" s="426">
        <f>ROUND($K85*'[5]II-F Alloc_Factor'!K$42,2)</f>
        <v>7945.5299999999997</v>
      </c>
      <c r="V85" s="426">
        <f>ROUND($K85*'[5]II-F Alloc_Factor'!L$42,2)</f>
        <v>406.80000000000001</v>
      </c>
      <c r="W85" s="426">
        <f>+K85-R85-U85-V85</f>
        <v>207.09000000000032</v>
      </c>
      <c r="X85" s="475">
        <f t="shared" si="30"/>
        <v>11158.769999999999</v>
      </c>
      <c r="Y85" s="202" t="b">
        <f t="shared" si="31"/>
        <v>1</v>
      </c>
      <c r="Z85" s="651">
        <f t="shared" si="32"/>
        <v>0</v>
      </c>
      <c r="AA85" s="197"/>
    </row>
    <row r="86" spans="1:27" ht="15">
      <c r="A86" s="195">
        <f t="shared" si="36"/>
        <v>72</v>
      </c>
      <c r="B86" s="333"/>
      <c r="C86" s="660" t="s">
        <v>678</v>
      </c>
      <c r="E86" s="728">
        <v>2090819.1799999999</v>
      </c>
      <c r="F86" s="473">
        <v>0</v>
      </c>
      <c r="G86" s="473">
        <f t="shared" si="25"/>
        <v>2090819.1799999999</v>
      </c>
      <c r="H86" s="484">
        <v>0</v>
      </c>
      <c r="I86" s="473">
        <f t="shared" si="26"/>
        <v>2090819.1799999999</v>
      </c>
      <c r="J86" s="232">
        <v>1</v>
      </c>
      <c r="K86" s="474">
        <f t="shared" si="27"/>
        <v>2090819.1799999999</v>
      </c>
      <c r="L86" s="291"/>
      <c r="N86" s="333" t="s">
        <v>13</v>
      </c>
      <c r="O86" s="426">
        <f>ROUND($K86*'[5]II-F Alloc_Factor'!E$17,2)</f>
        <v>460401.65000000002</v>
      </c>
      <c r="P86" s="426">
        <f>ROUND($K86*'[5]II-F Alloc_Factor'!F$17,2)</f>
        <v>0</v>
      </c>
      <c r="Q86" s="426">
        <f>ROUND($K86*'[5]II-F Alloc_Factor'!G$17,2)</f>
        <v>0</v>
      </c>
      <c r="R86" s="426">
        <f>ROUND($K86*'[5]II-F Alloc_Factor'!H$17,2)</f>
        <v>460401.65000000002</v>
      </c>
      <c r="S86" s="426">
        <f>ROUND($K86*'[5]II-F Alloc_Factor'!I$17,2)</f>
        <v>1270171.6299999999</v>
      </c>
      <c r="T86" s="426">
        <f>ROUND($K86*'[5]II-F Alloc_Factor'!J$17,2)</f>
        <v>0</v>
      </c>
      <c r="U86" s="426">
        <f>ROUND($K86*'[5]II-F Alloc_Factor'!K$17,2)</f>
        <v>1270171.6299999999</v>
      </c>
      <c r="V86" s="426">
        <f>ROUND($K86*'[5]II-F Alloc_Factor'!L$17,2)</f>
        <v>346309.92999999999</v>
      </c>
      <c r="W86" s="426">
        <f>ROUND($K86*'[5]II-F Alloc_Factor'!M$17,2)</f>
        <v>13935.969999999999</v>
      </c>
      <c r="X86" s="475">
        <f t="shared" si="30"/>
        <v>2090819.1799999997</v>
      </c>
      <c r="Y86" s="202" t="b">
        <f t="shared" si="31"/>
        <v>1</v>
      </c>
      <c r="Z86" s="651">
        <f t="shared" si="32"/>
        <v>0</v>
      </c>
      <c r="AA86" s="197"/>
    </row>
    <row r="87" spans="1:26" s="199" customFormat="1" ht="15">
      <c r="A87" s="195">
        <f t="shared" si="36"/>
        <v>73</v>
      </c>
      <c r="B87" s="333"/>
      <c r="C87" s="660" t="s">
        <v>679</v>
      </c>
      <c r="D87" s="191"/>
      <c r="E87" s="728">
        <v>1761067.03</v>
      </c>
      <c r="F87" s="473">
        <v>0</v>
      </c>
      <c r="G87" s="473">
        <f t="shared" si="25"/>
        <v>1761067.03</v>
      </c>
      <c r="H87" s="484">
        <f>-G87</f>
        <v>-1761067.03</v>
      </c>
      <c r="I87" s="473">
        <f t="shared" si="26"/>
        <v>0</v>
      </c>
      <c r="J87" s="232">
        <v>1</v>
      </c>
      <c r="K87" s="474">
        <f t="shared" si="27"/>
        <v>0</v>
      </c>
      <c r="L87" s="291"/>
      <c r="N87" s="333"/>
      <c r="O87" s="474">
        <v>0</v>
      </c>
      <c r="P87" s="474">
        <v>0</v>
      </c>
      <c r="Q87" s="474">
        <v>0</v>
      </c>
      <c r="R87" s="474">
        <f t="shared" si="33"/>
        <v>0</v>
      </c>
      <c r="S87" s="474">
        <v>0</v>
      </c>
      <c r="T87" s="474">
        <v>0</v>
      </c>
      <c r="U87" s="474">
        <f t="shared" si="29"/>
        <v>0</v>
      </c>
      <c r="V87" s="474">
        <v>0</v>
      </c>
      <c r="W87" s="474">
        <v>0</v>
      </c>
      <c r="X87" s="475">
        <f t="shared" si="30"/>
        <v>0</v>
      </c>
      <c r="Y87" s="202" t="b">
        <f t="shared" si="31"/>
        <v>1</v>
      </c>
      <c r="Z87" s="651">
        <f t="shared" si="32"/>
        <v>0</v>
      </c>
    </row>
    <row r="88" spans="1:27" ht="15">
      <c r="A88" s="195">
        <f t="shared" si="36"/>
        <v>74</v>
      </c>
      <c r="B88" s="333"/>
      <c r="C88" s="660" t="s">
        <v>449</v>
      </c>
      <c r="E88" s="728">
        <v>-989355.96999999997</v>
      </c>
      <c r="F88" s="473">
        <v>0</v>
      </c>
      <c r="G88" s="473">
        <f t="shared" si="25"/>
        <v>-989355.96999999997</v>
      </c>
      <c r="H88" s="484">
        <f>-G88</f>
        <v>989355.96999999997</v>
      </c>
      <c r="I88" s="473">
        <f t="shared" si="26"/>
        <v>0</v>
      </c>
      <c r="J88" s="232">
        <v>1</v>
      </c>
      <c r="K88" s="474">
        <f t="shared" si="27"/>
        <v>0</v>
      </c>
      <c r="L88" s="291"/>
      <c r="N88" s="333"/>
      <c r="O88" s="474">
        <v>0</v>
      </c>
      <c r="P88" s="474">
        <v>0</v>
      </c>
      <c r="Q88" s="474">
        <v>0</v>
      </c>
      <c r="R88" s="474">
        <f t="shared" si="33"/>
        <v>0</v>
      </c>
      <c r="S88" s="474">
        <v>0</v>
      </c>
      <c r="T88" s="474">
        <v>0</v>
      </c>
      <c r="U88" s="474">
        <f t="shared" si="29"/>
        <v>0</v>
      </c>
      <c r="V88" s="474">
        <v>0</v>
      </c>
      <c r="W88" s="474">
        <v>0</v>
      </c>
      <c r="X88" s="475">
        <f t="shared" si="30"/>
        <v>0</v>
      </c>
      <c r="Y88" s="202" t="b">
        <f t="shared" si="31"/>
        <v>1</v>
      </c>
      <c r="Z88" s="651">
        <f t="shared" si="32"/>
        <v>0</v>
      </c>
      <c r="AA88" s="197"/>
    </row>
    <row r="89" spans="1:27" ht="15">
      <c r="A89" s="195">
        <f t="shared" si="36"/>
        <v>75</v>
      </c>
      <c r="B89" s="336"/>
      <c r="C89" s="660" t="s">
        <v>680</v>
      </c>
      <c r="E89" s="728">
        <v>408698.28000000003</v>
      </c>
      <c r="F89" s="473">
        <v>0</v>
      </c>
      <c r="G89" s="473">
        <f t="shared" si="25"/>
        <v>408698.28000000003</v>
      </c>
      <c r="H89" s="484">
        <v>0</v>
      </c>
      <c r="I89" s="473">
        <f t="shared" si="26"/>
        <v>408698.28000000003</v>
      </c>
      <c r="J89" s="232">
        <v>1</v>
      </c>
      <c r="K89" s="474">
        <f t="shared" si="27"/>
        <v>408698.28000000003</v>
      </c>
      <c r="L89" s="291"/>
      <c r="N89" s="333" t="s">
        <v>408</v>
      </c>
      <c r="O89" s="474">
        <v>0</v>
      </c>
      <c r="P89" s="474">
        <f>+K89</f>
        <v>408698.28000000003</v>
      </c>
      <c r="Q89" s="474">
        <v>0</v>
      </c>
      <c r="R89" s="474">
        <f t="shared" si="33"/>
        <v>408698.28000000003</v>
      </c>
      <c r="S89" s="474">
        <v>0</v>
      </c>
      <c r="T89" s="474">
        <v>0</v>
      </c>
      <c r="U89" s="474">
        <f t="shared" si="29"/>
        <v>0</v>
      </c>
      <c r="V89" s="474">
        <v>0</v>
      </c>
      <c r="W89" s="474">
        <v>0</v>
      </c>
      <c r="X89" s="475">
        <f t="shared" si="30"/>
        <v>408698.28000000003</v>
      </c>
      <c r="Y89" s="202" t="b">
        <f t="shared" si="31"/>
        <v>1</v>
      </c>
      <c r="Z89" s="651">
        <f t="shared" si="32"/>
        <v>0</v>
      </c>
      <c r="AA89" s="197"/>
    </row>
    <row r="90" spans="1:27" ht="15">
      <c r="A90" s="195">
        <f t="shared" si="36"/>
        <v>76</v>
      </c>
      <c r="B90" s="336"/>
      <c r="C90" s="660" t="s">
        <v>1009</v>
      </c>
      <c r="E90" s="728">
        <v>611549.78000000003</v>
      </c>
      <c r="F90" s="473"/>
      <c r="G90" s="473">
        <f t="shared" si="25"/>
        <v>611549.78000000003</v>
      </c>
      <c r="H90" s="484"/>
      <c r="I90" s="473">
        <f t="shared" si="26"/>
        <v>611549.78000000003</v>
      </c>
      <c r="J90" s="232">
        <v>1</v>
      </c>
      <c r="K90" s="474">
        <f t="shared" si="27"/>
        <v>611549.78000000003</v>
      </c>
      <c r="L90" s="291"/>
      <c r="N90" s="195" t="s">
        <v>798</v>
      </c>
      <c r="O90" s="426">
        <f>ROUND($K90*'[5]II-F Alloc_Factor'!E$40,2)</f>
        <v>283901.25</v>
      </c>
      <c r="P90" s="426">
        <f>ROUND($K90*'[5]II-F Alloc_Factor'!F$40,2)</f>
        <v>0</v>
      </c>
      <c r="Q90" s="426">
        <f>ROUND($K90*'[5]II-F Alloc_Factor'!G$40,2)</f>
        <v>362.19999999999999</v>
      </c>
      <c r="R90" s="426">
        <f>ROUND($K90*'[5]II-F Alloc_Factor'!H$40,2)</f>
        <v>284263.45000000001</v>
      </c>
      <c r="S90" s="426">
        <f>ROUND($K90*'[5]II-F Alloc_Factor'!I$40,2)</f>
        <v>307886.5</v>
      </c>
      <c r="T90" s="426">
        <f>ROUND($K90*'[5]II-F Alloc_Factor'!J$40,2)</f>
        <v>0</v>
      </c>
      <c r="U90" s="426">
        <f>ROUND($K90*'[5]II-F Alloc_Factor'!K$40,2)</f>
        <v>307886.5</v>
      </c>
      <c r="V90" s="426">
        <f>ROUND($K90*'[5]II-F Alloc_Factor'!L$40,2)</f>
        <v>10470.84</v>
      </c>
      <c r="W90" s="426">
        <f>+K90-R90-U90-V90</f>
        <v>8928.9900000000162</v>
      </c>
      <c r="X90" s="475">
        <f t="shared" si="30"/>
        <v>611549.77999999991</v>
      </c>
      <c r="Y90" s="202" t="b">
        <f t="shared" si="37" ref="Y90">+K90=X90</f>
        <v>1</v>
      </c>
      <c r="Z90" s="651">
        <f t="shared" si="38" ref="Z90">+K90-X90</f>
        <v>0</v>
      </c>
      <c r="AA90" s="197"/>
    </row>
    <row r="91" spans="1:27" ht="15">
      <c r="A91" s="195">
        <f t="shared" si="36"/>
        <v>77</v>
      </c>
      <c r="B91" s="333"/>
      <c r="C91" s="660" t="s">
        <v>623</v>
      </c>
      <c r="E91" s="728">
        <v>331502134.89000005</v>
      </c>
      <c r="F91" s="473">
        <v>0</v>
      </c>
      <c r="G91" s="473">
        <f t="shared" si="25"/>
        <v>331502134.89000005</v>
      </c>
      <c r="H91" s="484">
        <f>-G91</f>
        <v>-331502134.89000005</v>
      </c>
      <c r="I91" s="473">
        <f t="shared" si="26"/>
        <v>0</v>
      </c>
      <c r="J91" s="232">
        <v>1</v>
      </c>
      <c r="K91" s="474">
        <f t="shared" si="27"/>
        <v>0</v>
      </c>
      <c r="L91" s="291"/>
      <c r="N91" s="333"/>
      <c r="O91" s="474">
        <v>0</v>
      </c>
      <c r="P91" s="474">
        <v>0</v>
      </c>
      <c r="Q91" s="474">
        <v>0</v>
      </c>
      <c r="R91" s="474">
        <f t="shared" si="33"/>
        <v>0</v>
      </c>
      <c r="S91" s="474">
        <v>0</v>
      </c>
      <c r="T91" s="474">
        <v>0</v>
      </c>
      <c r="U91" s="474">
        <f t="shared" si="29"/>
        <v>0</v>
      </c>
      <c r="V91" s="474">
        <v>0</v>
      </c>
      <c r="W91" s="474">
        <v>0</v>
      </c>
      <c r="X91" s="475">
        <f t="shared" si="30"/>
        <v>0</v>
      </c>
      <c r="Y91" s="202" t="b">
        <f t="shared" si="31"/>
        <v>1</v>
      </c>
      <c r="Z91" s="651">
        <f t="shared" si="32"/>
        <v>0</v>
      </c>
      <c r="AA91" s="197"/>
    </row>
    <row r="92" spans="1:27" ht="15">
      <c r="A92" s="195">
        <f t="shared" si="36"/>
        <v>78</v>
      </c>
      <c r="B92" s="333"/>
      <c r="C92" s="660" t="s">
        <v>624</v>
      </c>
      <c r="E92" s="728">
        <v>1002140.6</v>
      </c>
      <c r="F92" s="473">
        <v>0</v>
      </c>
      <c r="G92" s="473">
        <f t="shared" si="25"/>
        <v>1002140.6</v>
      </c>
      <c r="H92" s="474">
        <f>-G92</f>
        <v>-1002140.6</v>
      </c>
      <c r="I92" s="473">
        <f t="shared" si="26"/>
        <v>0</v>
      </c>
      <c r="J92" s="232">
        <v>1</v>
      </c>
      <c r="K92" s="474">
        <f t="shared" si="27"/>
        <v>0</v>
      </c>
      <c r="L92" s="291"/>
      <c r="N92" s="334"/>
      <c r="O92" s="474">
        <v>0</v>
      </c>
      <c r="P92" s="474">
        <v>0</v>
      </c>
      <c r="Q92" s="474">
        <v>0</v>
      </c>
      <c r="R92" s="474">
        <f t="shared" si="33"/>
        <v>0</v>
      </c>
      <c r="S92" s="474">
        <v>0</v>
      </c>
      <c r="T92" s="474">
        <v>0</v>
      </c>
      <c r="U92" s="474">
        <f t="shared" si="29"/>
        <v>0</v>
      </c>
      <c r="V92" s="474">
        <v>0</v>
      </c>
      <c r="W92" s="474">
        <v>0</v>
      </c>
      <c r="X92" s="475">
        <f t="shared" si="30"/>
        <v>0</v>
      </c>
      <c r="Y92" s="202" t="b">
        <f t="shared" si="31"/>
        <v>1</v>
      </c>
      <c r="Z92" s="651">
        <f t="shared" si="32"/>
        <v>0</v>
      </c>
      <c r="AA92" s="197"/>
    </row>
    <row r="93" spans="1:27" ht="12.75">
      <c r="A93" s="195">
        <f t="shared" si="36"/>
        <v>79</v>
      </c>
      <c r="B93" s="191"/>
      <c r="C93" s="199" t="s">
        <v>1259</v>
      </c>
      <c r="E93" s="476">
        <f>SUM(E65:E92)</f>
        <v>726371710.57999992</v>
      </c>
      <c r="F93" s="476">
        <f>SUM(F65:F92)</f>
        <v>0</v>
      </c>
      <c r="G93" s="476">
        <f>SUM(G65:G92)</f>
        <v>726371710.57999992</v>
      </c>
      <c r="H93" s="476">
        <f>SUM(H65:H92)</f>
        <v>-423508252.94000006</v>
      </c>
      <c r="I93" s="476">
        <f>SUM(I65:I92)</f>
        <v>302863457.63999993</v>
      </c>
      <c r="J93" s="340"/>
      <c r="K93" s="476">
        <f>SUM(K65:K92)</f>
        <v>302863457.63999993</v>
      </c>
      <c r="L93" s="335"/>
      <c r="N93" s="334"/>
      <c r="O93" s="476">
        <f t="shared" si="39" ref="O93:X93">SUM(O65:O92)</f>
        <v>84818114.329999983</v>
      </c>
      <c r="P93" s="476">
        <f t="shared" si="39"/>
        <v>408698.28000000003</v>
      </c>
      <c r="Q93" s="476">
        <f t="shared" si="39"/>
        <v>17663.790000000001</v>
      </c>
      <c r="R93" s="476">
        <f t="shared" si="39"/>
        <v>85244476.399999991</v>
      </c>
      <c r="S93" s="476">
        <f t="shared" si="39"/>
        <v>161354599.25</v>
      </c>
      <c r="T93" s="476">
        <f t="shared" si="39"/>
        <v>0</v>
      </c>
      <c r="U93" s="476">
        <f t="shared" si="39"/>
        <v>161354599.25</v>
      </c>
      <c r="V93" s="476">
        <f t="shared" si="39"/>
        <v>41392849.960000001</v>
      </c>
      <c r="W93" s="476">
        <f t="shared" si="39"/>
        <v>14871532.030000001</v>
      </c>
      <c r="X93" s="476">
        <f t="shared" si="39"/>
        <v>302863457.63999993</v>
      </c>
      <c r="Y93" s="202" t="b">
        <f t="shared" si="40" ref="Y93">+K93=X93</f>
        <v>1</v>
      </c>
      <c r="Z93" s="651">
        <f t="shared" si="32"/>
        <v>0</v>
      </c>
      <c r="AA93" s="197"/>
    </row>
    <row r="94" spans="1:27" ht="12.75">
      <c r="A94" s="195">
        <f t="shared" si="36"/>
        <v>80</v>
      </c>
      <c r="F94" s="291"/>
      <c r="H94" s="291"/>
      <c r="N94" s="334"/>
      <c r="AA94" s="197"/>
    </row>
    <row r="95" spans="1:27" ht="12.75">
      <c r="A95" s="195">
        <f t="shared" si="36"/>
        <v>81</v>
      </c>
      <c r="B95" s="191"/>
      <c r="C95" s="199" t="s">
        <v>1256</v>
      </c>
      <c r="E95" s="476">
        <f>-E93+E62</f>
        <v>2064493746.5599999</v>
      </c>
      <c r="F95" s="476">
        <f>-F93+F62</f>
        <v>0</v>
      </c>
      <c r="G95" s="476">
        <f>-G93+G62</f>
        <v>2064493746.5599999</v>
      </c>
      <c r="H95" s="476">
        <f>-H93+H62</f>
        <v>283400024.89000005</v>
      </c>
      <c r="I95" s="476">
        <f>-I93+I62</f>
        <v>2347893771.4500003</v>
      </c>
      <c r="J95" s="340"/>
      <c r="K95" s="476">
        <f>-K93+K62</f>
        <v>2347893771.4500003</v>
      </c>
      <c r="L95" s="335"/>
      <c r="O95" s="476">
        <f t="shared" si="41" ref="O95:X95">-O93+O62</f>
        <v>951633684.86999989</v>
      </c>
      <c r="P95" s="476">
        <f t="shared" si="41"/>
        <v>129921592.42</v>
      </c>
      <c r="Q95" s="476">
        <f t="shared" si="41"/>
        <v>1226987.2099999997</v>
      </c>
      <c r="R95" s="476">
        <f t="shared" si="41"/>
        <v>1082782264.5000002</v>
      </c>
      <c r="S95" s="476">
        <f t="shared" si="41"/>
        <v>1132059195.6699996</v>
      </c>
      <c r="T95" s="476">
        <f t="shared" si="41"/>
        <v>10585547.99</v>
      </c>
      <c r="U95" s="476">
        <f t="shared" si="41"/>
        <v>1142644743.6599996</v>
      </c>
      <c r="V95" s="476">
        <f t="shared" si="41"/>
        <v>36656474.20000001</v>
      </c>
      <c r="W95" s="476">
        <f t="shared" si="41"/>
        <v>85810289.089999706</v>
      </c>
      <c r="X95" s="476">
        <f t="shared" si="41"/>
        <v>2347893771.4500008</v>
      </c>
      <c r="Y95" s="202" t="b">
        <f t="shared" si="42" ref="Y95">+K95=X95</f>
        <v>1</v>
      </c>
      <c r="Z95" s="651">
        <f t="shared" si="43" ref="Z95">+K95-X95</f>
        <v>0</v>
      </c>
      <c r="AA95" s="197"/>
    </row>
    <row r="96" spans="6:27" ht="12.75">
      <c r="F96" s="291"/>
      <c r="AA96" s="197"/>
    </row>
    <row r="97" spans="3:26" s="323" customFormat="1" ht="12.75">
      <c r="C97" s="323" t="s">
        <v>427</v>
      </c>
      <c r="E97" s="366">
        <f>-2064493746.57+E95</f>
        <v>-0.0099999904632568359</v>
      </c>
      <c r="F97" s="366"/>
      <c r="G97" s="366"/>
      <c r="H97" s="366"/>
      <c r="I97" s="366"/>
      <c r="Y97" s="364"/>
      <c r="Z97" s="364"/>
    </row>
    <row r="98" spans="25:26" s="323" customFormat="1" ht="12.75">
      <c r="Y98" s="364"/>
      <c r="Z98" s="364"/>
    </row>
    <row r="99" spans="25:26" s="323" customFormat="1" ht="12.75">
      <c r="Y99" s="364"/>
      <c r="Z99" s="364"/>
    </row>
    <row r="100" spans="3:26" s="323" customFormat="1" ht="12.75">
      <c r="C100" s="364" t="s">
        <v>469</v>
      </c>
      <c r="D100" s="364"/>
      <c r="E100" s="365"/>
      <c r="F100" s="365"/>
      <c r="G100" s="364"/>
      <c r="H100" s="366">
        <f>+H18+H19+H59+H61-(+H65+H91+H92)</f>
        <v>287756040.35000002</v>
      </c>
      <c r="I100" s="366"/>
      <c r="J100" s="364"/>
      <c r="K100" s="341"/>
      <c r="Y100" s="364"/>
      <c r="Z100" s="364"/>
    </row>
    <row r="101" spans="3:26" s="323" customFormat="1" ht="12.75">
      <c r="C101" s="364"/>
      <c r="D101" s="364"/>
      <c r="E101" s="365"/>
      <c r="F101" s="592"/>
      <c r="G101" s="365"/>
      <c r="H101" s="203"/>
      <c r="I101" s="366"/>
      <c r="J101" s="364"/>
      <c r="K101" s="342"/>
      <c r="Y101" s="364"/>
      <c r="Z101" s="364"/>
    </row>
    <row r="102" spans="3:26" s="323" customFormat="1" ht="12.75">
      <c r="C102" s="364">
        <v>1823001</v>
      </c>
      <c r="D102" s="364"/>
      <c r="E102" s="364"/>
      <c r="F102" s="593"/>
      <c r="G102" s="365"/>
      <c r="H102" s="365">
        <v>11634628.25</v>
      </c>
      <c r="I102" s="365"/>
      <c r="J102" s="375"/>
      <c r="Y102" s="364"/>
      <c r="Z102" s="364"/>
    </row>
    <row r="103" spans="3:26" s="323" customFormat="1" ht="12.75">
      <c r="C103" s="364">
        <v>1823002</v>
      </c>
      <c r="D103" s="364"/>
      <c r="E103" s="364"/>
      <c r="F103" s="364"/>
      <c r="G103" s="365"/>
      <c r="H103" s="365">
        <v>4330663.04</v>
      </c>
      <c r="I103" s="375"/>
      <c r="J103" s="375"/>
      <c r="Y103" s="364"/>
      <c r="Z103" s="364"/>
    </row>
    <row r="104" spans="3:26" s="323" customFormat="1" ht="12.75">
      <c r="C104" s="364">
        <v>1823006</v>
      </c>
      <c r="H104" s="365">
        <v>28782943.850000001</v>
      </c>
      <c r="I104" s="397"/>
      <c r="J104" s="364"/>
      <c r="Y104" s="364"/>
      <c r="Z104" s="364"/>
    </row>
    <row r="105" spans="3:26" s="323" customFormat="1" ht="12.75">
      <c r="C105" s="364">
        <v>2540001</v>
      </c>
      <c r="D105" s="364"/>
      <c r="E105" s="364"/>
      <c r="F105" s="364"/>
      <c r="G105" s="365"/>
      <c r="H105" s="365">
        <v>-1002140.6</v>
      </c>
      <c r="I105" s="367"/>
      <c r="J105" s="364"/>
      <c r="Y105" s="364"/>
      <c r="Z105" s="364"/>
    </row>
    <row r="106" spans="3:26" s="323" customFormat="1" ht="12.75">
      <c r="C106" s="364">
        <v>2540004</v>
      </c>
      <c r="H106" s="365">
        <v>-28142649.850000001</v>
      </c>
      <c r="I106" s="364"/>
      <c r="J106" s="364"/>
      <c r="Y106" s="364"/>
      <c r="Z106" s="364"/>
    </row>
    <row r="107" spans="3:26" s="323" customFormat="1" ht="12.75">
      <c r="C107" s="364">
        <v>2541002</v>
      </c>
      <c r="D107" s="364"/>
      <c r="E107" s="365"/>
      <c r="F107" s="364"/>
      <c r="G107" s="365"/>
      <c r="H107" s="365">
        <v>-303931600.60000002</v>
      </c>
      <c r="Y107" s="364"/>
      <c r="Z107" s="364"/>
    </row>
    <row r="108" spans="3:27" s="323" customFormat="1" ht="12.75">
      <c r="C108" s="364">
        <v>2541006</v>
      </c>
      <c r="H108" s="365">
        <v>572115.56999999995</v>
      </c>
      <c r="Y108" s="364"/>
      <c r="Z108" s="364"/>
      <c r="AA108" s="322"/>
    </row>
    <row r="109" spans="3:27" s="323" customFormat="1" ht="12.75">
      <c r="C109" s="364"/>
      <c r="D109" s="364"/>
      <c r="E109" s="365"/>
      <c r="F109" s="364"/>
      <c r="G109" s="365"/>
      <c r="H109" s="368">
        <f>SUM(H102:H108)</f>
        <v>-287756040.34000003</v>
      </c>
      <c r="Y109" s="364"/>
      <c r="Z109" s="364"/>
      <c r="AA109" s="322"/>
    </row>
    <row r="110" spans="5:27" s="323" customFormat="1" ht="12.75">
      <c r="E110" s="322"/>
      <c r="F110" s="322"/>
      <c r="G110" s="322"/>
      <c r="H110" s="198"/>
      <c r="Y110" s="364"/>
      <c r="Z110" s="364"/>
      <c r="AA110" s="322"/>
    </row>
    <row r="111" spans="5:27" s="323" customFormat="1" ht="12.75">
      <c r="E111" s="322"/>
      <c r="F111" s="322"/>
      <c r="G111" s="322"/>
      <c r="H111" s="198"/>
      <c r="Y111" s="364"/>
      <c r="Z111" s="364"/>
      <c r="AA111" s="197"/>
    </row>
    <row r="112" spans="1:27" ht="12.75">
      <c r="A112" s="197"/>
      <c r="D112" s="197"/>
      <c r="F112" s="197"/>
      <c r="G112" s="197" t="s">
        <v>1112</v>
      </c>
      <c r="H112" s="198">
        <f>+H95+H109</f>
        <v>-4356015.4499999881</v>
      </c>
      <c r="I112" s="291"/>
      <c r="J112" s="197"/>
      <c r="AA112" s="197"/>
    </row>
    <row r="113" spans="1:27" ht="12.75">
      <c r="A113" s="197"/>
      <c r="D113" s="197"/>
      <c r="E113" s="198"/>
      <c r="F113" s="197"/>
      <c r="G113" s="197"/>
      <c r="H113" s="198"/>
      <c r="I113" s="291"/>
      <c r="J113" s="197"/>
      <c r="AA113" s="197"/>
    </row>
    <row r="114" spans="1:27" ht="12.75">
      <c r="A114" s="197"/>
      <c r="D114" s="197"/>
      <c r="E114" s="291"/>
      <c r="F114" s="197"/>
      <c r="G114" s="197"/>
      <c r="H114" s="291"/>
      <c r="I114" s="291"/>
      <c r="J114" s="197"/>
      <c r="AA114" s="197"/>
    </row>
    <row r="115" spans="1:27" ht="12.75">
      <c r="A115" s="197"/>
      <c r="D115" s="197"/>
      <c r="E115" s="197"/>
      <c r="F115" s="197"/>
      <c r="G115" s="197"/>
      <c r="H115" s="198"/>
      <c r="I115" s="197"/>
      <c r="J115" s="197"/>
      <c r="AA115" s="197"/>
    </row>
    <row r="116" spans="1:27" ht="12.75">
      <c r="A116" s="197"/>
      <c r="D116" s="197"/>
      <c r="E116" s="197"/>
      <c r="F116" s="197"/>
      <c r="G116" s="197"/>
      <c r="H116" s="198"/>
      <c r="I116" s="197"/>
      <c r="J116" s="197"/>
      <c r="AA116" s="197"/>
    </row>
    <row r="117" spans="1:27" ht="12.75">
      <c r="A117" s="197"/>
      <c r="D117" s="197"/>
      <c r="E117" s="197"/>
      <c r="F117" s="197"/>
      <c r="G117" s="197"/>
      <c r="H117" s="198"/>
      <c r="I117" s="197"/>
      <c r="J117" s="197"/>
      <c r="AA117" s="197"/>
    </row>
    <row r="118" spans="1:27" ht="12.75">
      <c r="A118" s="197"/>
      <c r="D118" s="197"/>
      <c r="E118" s="197"/>
      <c r="F118" s="197"/>
      <c r="G118" s="197"/>
      <c r="H118" s="198"/>
      <c r="I118" s="197"/>
      <c r="J118" s="197"/>
      <c r="AA118" s="197"/>
    </row>
    <row r="119" spans="1:27" ht="12.75">
      <c r="A119" s="197"/>
      <c r="D119" s="197"/>
      <c r="E119" s="197"/>
      <c r="F119" s="197"/>
      <c r="G119" s="197"/>
      <c r="H119" s="198"/>
      <c r="I119" s="197"/>
      <c r="J119" s="197"/>
      <c r="AA119" s="197"/>
    </row>
    <row r="120" spans="1:27" ht="12.75">
      <c r="A120" s="197"/>
      <c r="D120" s="197"/>
      <c r="E120" s="197"/>
      <c r="F120" s="197"/>
      <c r="G120" s="197"/>
      <c r="H120" s="198"/>
      <c r="I120" s="197"/>
      <c r="J120" s="197"/>
      <c r="AA120" s="197"/>
    </row>
    <row r="121" spans="1:27" ht="12.75">
      <c r="A121" s="197"/>
      <c r="D121" s="197"/>
      <c r="E121" s="197"/>
      <c r="F121" s="197"/>
      <c r="G121" s="197"/>
      <c r="H121" s="198"/>
      <c r="I121" s="197"/>
      <c r="J121" s="197"/>
      <c r="AA121" s="197"/>
    </row>
    <row r="122" spans="1:27" ht="12.75">
      <c r="A122" s="197"/>
      <c r="D122" s="197"/>
      <c r="E122" s="197"/>
      <c r="F122" s="197"/>
      <c r="G122" s="197"/>
      <c r="H122" s="198"/>
      <c r="I122" s="197"/>
      <c r="J122" s="197"/>
      <c r="AA122" s="197"/>
    </row>
    <row r="123" spans="1:27" ht="12.75">
      <c r="A123" s="197"/>
      <c r="D123" s="197"/>
      <c r="E123" s="197"/>
      <c r="F123" s="197"/>
      <c r="G123" s="197"/>
      <c r="H123" s="198"/>
      <c r="I123" s="197"/>
      <c r="J123" s="197"/>
      <c r="AA123" s="197"/>
    </row>
    <row r="124" spans="1:27" ht="12.75">
      <c r="A124" s="197"/>
      <c r="D124" s="197"/>
      <c r="E124" s="197"/>
      <c r="F124" s="197"/>
      <c r="G124" s="197"/>
      <c r="H124" s="198"/>
      <c r="I124" s="197"/>
      <c r="J124" s="197"/>
      <c r="AA124" s="197"/>
    </row>
    <row r="125" spans="1:27" ht="12.75">
      <c r="A125" s="197"/>
      <c r="D125" s="197"/>
      <c r="E125" s="197"/>
      <c r="F125" s="197"/>
      <c r="G125" s="197"/>
      <c r="H125" s="198"/>
      <c r="I125" s="197"/>
      <c r="J125" s="197"/>
      <c r="AA125" s="197"/>
    </row>
    <row r="126" spans="1:27" ht="12.75">
      <c r="A126" s="197"/>
      <c r="D126" s="197"/>
      <c r="E126" s="197"/>
      <c r="F126" s="197"/>
      <c r="G126" s="197"/>
      <c r="H126" s="474"/>
      <c r="I126" s="197"/>
      <c r="J126" s="197"/>
      <c r="AA126" s="197"/>
    </row>
    <row r="127" spans="1:27" ht="12.75">
      <c r="A127" s="197"/>
      <c r="D127" s="197"/>
      <c r="E127" s="197"/>
      <c r="F127" s="197"/>
      <c r="G127" s="197"/>
      <c r="H127" s="474"/>
      <c r="I127" s="197"/>
      <c r="J127" s="197"/>
      <c r="AA127" s="197"/>
    </row>
  </sheetData>
  <printOptions horizontalCentered="1"/>
  <pageMargins left="0.5" right="0.5" top="3" bottom="0.5" header="1.5" footer="0.5"/>
  <pageSetup fitToHeight="0" fitToWidth="2" orientation="landscape" pageOrder="overThenDown" scale="46" r:id="rId1"/>
  <headerFooter alignWithMargins="0">
    <oddHeader>&amp;C&amp;B
2022 RATE CASE
ONCOR ELECTRIC DELIVERY COMPANY LLC
II-E-3.5  ADFIT
TEST YEAR ENDING DECEMBER 31, 2021
SPONSOR: B. L. CLUTTER&amp;R&amp;"Arial,Bold"Schedule &amp;A
Page &amp;P of &amp;N</oddHeader>
  </headerFooter>
  <rowBreaks count="2" manualBreakCount="2">
    <brk id="37" max="16383" man="1"/>
    <brk id="63" max="23" man="1"/>
  </rowBreaks>
  <colBreaks count="1" manualBreakCount="1">
    <brk id="10" min="9" max="94" man="1"/>
  </col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0">
    <tabColor rgb="FF92D050"/>
  </sheetPr>
  <dimension ref="A1:EH82"/>
  <sheetViews>
    <sheetView zoomScale="80" zoomScaleNormal="80" workbookViewId="0" topLeftCell="A1">
      <pane xSplit="3" ySplit="12" topLeftCell="D13" activePane="bottomRight" state="frozen"/>
      <selection pane="topLeft" activeCell="H16" sqref="H16"/>
      <selection pane="bottomLeft" activeCell="H16" sqref="H16"/>
      <selection pane="topRight" activeCell="H16" sqref="H16"/>
      <selection pane="bottomRight" activeCell="D13" sqref="D13"/>
    </sheetView>
  </sheetViews>
  <sheetFormatPr defaultRowHeight="12.75"/>
  <cols>
    <col min="1" max="1" width="7.85714285714286" customWidth="1"/>
    <col min="2" max="2" width="44.7142857142857" bestFit="1" customWidth="1"/>
    <col min="3" max="3" width="21.2857142857143" style="184" bestFit="1" customWidth="1"/>
    <col min="4" max="5" width="17" style="184" bestFit="1" customWidth="1"/>
    <col min="6" max="6" width="15.2857142857143" style="184" bestFit="1" customWidth="1"/>
    <col min="7" max="7" width="13" style="184" bestFit="1" customWidth="1"/>
    <col min="8" max="9" width="17" style="184" bestFit="1" customWidth="1"/>
    <col min="10" max="10" width="13" style="184" bestFit="1" customWidth="1"/>
    <col min="11" max="11" width="17" style="184" bestFit="1" customWidth="1"/>
    <col min="12" max="13" width="14.2857142857143" style="184" bestFit="1" customWidth="1"/>
    <col min="14" max="14" width="1.57142857142857" style="186" customWidth="1"/>
    <col min="15" max="16" width="17" style="184" bestFit="1" customWidth="1"/>
    <col min="17" max="17" width="15.2857142857143" style="184" bestFit="1" customWidth="1"/>
    <col min="18" max="18" width="13" style="184" bestFit="1" customWidth="1"/>
    <col min="19" max="20" width="17" style="184" bestFit="1" customWidth="1"/>
    <col min="21" max="21" width="14.2857142857143" style="184" bestFit="1" customWidth="1"/>
    <col min="22" max="22" width="17" style="184" bestFit="1" customWidth="1"/>
    <col min="23" max="24" width="14.2857142857143" style="184" bestFit="1" customWidth="1"/>
    <col min="25" max="25" width="1.57142857142857" style="184" customWidth="1"/>
    <col min="26" max="26" width="17" style="184" bestFit="1" customWidth="1"/>
    <col min="27" max="27" width="15.8571428571429" style="184" bestFit="1" customWidth="1"/>
    <col min="28" max="28" width="15.2857142857143" style="184" bestFit="1" customWidth="1"/>
    <col min="29" max="29" width="13" style="184" bestFit="1" customWidth="1"/>
    <col min="30" max="31" width="17" style="184" bestFit="1" customWidth="1"/>
    <col min="32" max="32" width="14.2857142857143" style="184" bestFit="1" customWidth="1"/>
    <col min="33" max="33" width="17" style="184" bestFit="1" customWidth="1"/>
    <col min="34" max="35" width="14.2857142857143" style="184" bestFit="1" customWidth="1"/>
    <col min="36" max="36" width="1.57142857142857" style="184" customWidth="1"/>
    <col min="37" max="37" width="17" style="184" bestFit="1" customWidth="1"/>
    <col min="38" max="38" width="15.8571428571429" style="184" bestFit="1" customWidth="1"/>
    <col min="39" max="39" width="15.2857142857143" style="184" bestFit="1" customWidth="1"/>
    <col min="40" max="40" width="13" style="184" bestFit="1" customWidth="1"/>
    <col min="41" max="42" width="17" style="184" bestFit="1" customWidth="1"/>
    <col min="43" max="43" width="14.2857142857143" style="184" bestFit="1" customWidth="1"/>
    <col min="44" max="44" width="17" style="184" bestFit="1" customWidth="1"/>
    <col min="45" max="46" width="14.2857142857143" style="184" bestFit="1" customWidth="1"/>
    <col min="47" max="47" width="1.57142857142857" style="184" customWidth="1"/>
    <col min="48" max="48" width="17" style="184" bestFit="1" customWidth="1"/>
    <col min="49" max="49" width="15.8571428571429" style="184" bestFit="1" customWidth="1"/>
    <col min="50" max="50" width="15.2857142857143" style="184" bestFit="1" customWidth="1"/>
    <col min="51" max="51" width="13" style="184" bestFit="1" customWidth="1"/>
    <col min="52" max="53" width="17" style="184" bestFit="1" customWidth="1"/>
    <col min="54" max="54" width="14.2857142857143" style="184" bestFit="1" customWidth="1"/>
    <col min="55" max="55" width="17" style="184" bestFit="1" customWidth="1"/>
    <col min="56" max="57" width="14.2857142857143" style="184" bestFit="1" customWidth="1"/>
    <col min="58" max="58" width="1.57142857142857" style="184" customWidth="1"/>
    <col min="59" max="60" width="17" style="184" bestFit="1" customWidth="1"/>
    <col min="61" max="61" width="15.2857142857143" style="184" bestFit="1" customWidth="1"/>
    <col min="62" max="62" width="13" style="184" bestFit="1" customWidth="1"/>
    <col min="63" max="64" width="17" style="184" bestFit="1" customWidth="1"/>
    <col min="65" max="65" width="14.2857142857143" style="184" bestFit="1" customWidth="1"/>
    <col min="66" max="66" width="17" style="184" bestFit="1" customWidth="1"/>
    <col min="67" max="68" width="14.2857142857143" style="184" bestFit="1" customWidth="1"/>
    <col min="69" max="69" width="1.57142857142857" style="184" customWidth="1"/>
    <col min="70" max="71" width="17" style="184" bestFit="1" customWidth="1"/>
    <col min="72" max="72" width="15.2857142857143" style="184" bestFit="1" customWidth="1"/>
    <col min="73" max="73" width="13" style="184" bestFit="1" customWidth="1"/>
    <col min="74" max="75" width="17" style="184" bestFit="1" customWidth="1"/>
    <col min="76" max="76" width="14.2857142857143" style="184" bestFit="1" customWidth="1"/>
    <col min="77" max="77" width="17" style="184" bestFit="1" customWidth="1"/>
    <col min="78" max="79" width="14.2857142857143" style="184" bestFit="1" customWidth="1"/>
    <col min="80" max="80" width="1.57142857142857" style="184" customWidth="1"/>
    <col min="81" max="82" width="17" style="184" bestFit="1" customWidth="1"/>
    <col min="83" max="83" width="15.2857142857143" style="184" bestFit="1" customWidth="1"/>
    <col min="84" max="84" width="13" style="184" bestFit="1" customWidth="1"/>
    <col min="85" max="86" width="17" style="184" bestFit="1" customWidth="1"/>
    <col min="87" max="87" width="14.2857142857143" style="184" bestFit="1" customWidth="1"/>
    <col min="88" max="88" width="17" style="184" bestFit="1" customWidth="1"/>
    <col min="89" max="90" width="14.2857142857143" style="184" bestFit="1" customWidth="1"/>
    <col min="91" max="91" width="1.57142857142857" style="184" customWidth="1"/>
    <col min="92" max="93" width="17" style="184" bestFit="1" customWidth="1"/>
    <col min="94" max="94" width="15.2857142857143" style="184" bestFit="1" customWidth="1"/>
    <col min="95" max="95" width="13" style="184" bestFit="1" customWidth="1"/>
    <col min="96" max="97" width="17" style="184" bestFit="1" customWidth="1"/>
    <col min="98" max="98" width="14.2857142857143" style="184" bestFit="1" customWidth="1"/>
    <col min="99" max="99" width="17" style="184" bestFit="1" customWidth="1"/>
    <col min="100" max="101" width="14.2857142857143" style="184" bestFit="1" customWidth="1"/>
    <col min="102" max="102" width="1.57142857142857" style="184" customWidth="1"/>
    <col min="103" max="104" width="17" style="184" bestFit="1" customWidth="1"/>
    <col min="105" max="105" width="15.2857142857143" style="184" bestFit="1" customWidth="1"/>
    <col min="106" max="106" width="13" style="184" bestFit="1" customWidth="1"/>
    <col min="107" max="108" width="17" style="184" bestFit="1" customWidth="1"/>
    <col min="109" max="109" width="14.2857142857143" style="184" bestFit="1" customWidth="1"/>
    <col min="110" max="110" width="17" style="184" bestFit="1" customWidth="1"/>
    <col min="111" max="112" width="14.2857142857143" style="184" bestFit="1" customWidth="1"/>
    <col min="113" max="113" width="1.57142857142857" style="184" customWidth="1"/>
    <col min="114" max="115" width="17" style="184" bestFit="1" customWidth="1"/>
    <col min="116" max="116" width="15.2857142857143" style="184" bestFit="1" customWidth="1"/>
    <col min="117" max="117" width="13" style="184" bestFit="1" customWidth="1"/>
    <col min="118" max="119" width="17" style="184" bestFit="1" customWidth="1"/>
    <col min="120" max="120" width="14.2857142857143" style="184" bestFit="1" customWidth="1"/>
    <col min="121" max="121" width="17" style="184" bestFit="1" customWidth="1"/>
    <col min="122" max="123" width="14.2857142857143" style="184" bestFit="1" customWidth="1"/>
    <col min="124" max="124" width="1.57142857142857" style="184" customWidth="1"/>
    <col min="125" max="126" width="17" style="184" bestFit="1" customWidth="1"/>
    <col min="127" max="127" width="15.2857142857143" style="184" bestFit="1" customWidth="1"/>
    <col min="128" max="128" width="13" style="184" bestFit="1" customWidth="1"/>
    <col min="129" max="130" width="17" style="184" bestFit="1" customWidth="1"/>
    <col min="131" max="131" width="14.2857142857143" style="184" bestFit="1" customWidth="1"/>
    <col min="132" max="132" width="17" style="184" bestFit="1" customWidth="1"/>
    <col min="133" max="134" width="14.2857142857143" style="184" bestFit="1" customWidth="1"/>
    <col min="135" max="136" width="8.71428571428571" bestFit="1" customWidth="1"/>
    <col min="138" max="138" width="16.4285714285714" style="374" bestFit="1" customWidth="1"/>
  </cols>
  <sheetData>
    <row r="1" spans="1:134" s="197" customFormat="1" ht="12.75">
      <c r="A1" s="201" t="str">
        <f>+'[3]Input Data'!$A$9</f>
        <v>2022 RATE CASE</v>
      </c>
      <c r="D1" s="195"/>
      <c r="E1" s="322"/>
      <c r="F1" s="322"/>
      <c r="G1" s="322"/>
      <c r="H1" s="322"/>
      <c r="I1" s="322"/>
      <c r="J1" s="322"/>
      <c r="K1" s="322"/>
      <c r="L1" s="322"/>
      <c r="M1" s="322"/>
      <c r="N1" s="661"/>
      <c r="O1" s="195"/>
      <c r="P1" s="322"/>
      <c r="Q1" s="322"/>
      <c r="R1" s="322"/>
      <c r="S1" s="322"/>
      <c r="T1" s="322"/>
      <c r="U1" s="322"/>
      <c r="V1" s="322"/>
      <c r="W1" s="322"/>
      <c r="X1" s="322"/>
      <c r="Z1" s="195"/>
      <c r="AA1" s="322"/>
      <c r="AB1" s="322"/>
      <c r="AC1" s="322"/>
      <c r="AD1" s="322"/>
      <c r="AE1" s="322"/>
      <c r="AF1" s="322"/>
      <c r="AG1" s="322"/>
      <c r="AH1" s="322"/>
      <c r="AI1" s="322"/>
      <c r="AK1" s="195"/>
      <c r="AL1" s="322"/>
      <c r="AM1" s="322"/>
      <c r="AN1" s="322"/>
      <c r="AO1" s="322"/>
      <c r="AP1" s="322"/>
      <c r="AQ1" s="322"/>
      <c r="AR1" s="322"/>
      <c r="AS1" s="322"/>
      <c r="AT1" s="322"/>
      <c r="AV1" s="195"/>
      <c r="AW1" s="322"/>
      <c r="AX1" s="322"/>
      <c r="AY1" s="322"/>
      <c r="AZ1" s="322"/>
      <c r="BA1" s="322"/>
      <c r="BB1" s="322"/>
      <c r="BC1" s="322"/>
      <c r="BD1" s="322"/>
      <c r="BE1" s="322"/>
      <c r="BG1" s="195"/>
      <c r="BH1" s="322"/>
      <c r="BI1" s="322"/>
      <c r="BJ1" s="322"/>
      <c r="BK1" s="322"/>
      <c r="BL1" s="322"/>
      <c r="BM1" s="322"/>
      <c r="BN1" s="322"/>
      <c r="BO1" s="322"/>
      <c r="BP1" s="322"/>
      <c r="BR1" s="195"/>
      <c r="BS1" s="322"/>
      <c r="BT1" s="322"/>
      <c r="BU1" s="322"/>
      <c r="BV1" s="322"/>
      <c r="BW1" s="322"/>
      <c r="BX1" s="322"/>
      <c r="BY1" s="322"/>
      <c r="BZ1" s="322"/>
      <c r="CA1" s="322"/>
      <c r="CC1" s="195"/>
      <c r="CD1" s="322"/>
      <c r="CE1" s="322"/>
      <c r="CF1" s="322"/>
      <c r="CG1" s="322"/>
      <c r="CH1" s="322"/>
      <c r="CI1" s="322"/>
      <c r="CJ1" s="322"/>
      <c r="CK1" s="322"/>
      <c r="CL1" s="322"/>
      <c r="CN1" s="195"/>
      <c r="CO1" s="322"/>
      <c r="CP1" s="322"/>
      <c r="CQ1" s="322"/>
      <c r="CR1" s="322"/>
      <c r="CS1" s="322"/>
      <c r="CT1" s="322"/>
      <c r="CU1" s="322"/>
      <c r="CV1" s="322"/>
      <c r="CW1" s="322"/>
      <c r="CY1" s="195"/>
      <c r="CZ1" s="322"/>
      <c r="DA1" s="322"/>
      <c r="DB1" s="322"/>
      <c r="DC1" s="322"/>
      <c r="DD1" s="322"/>
      <c r="DE1" s="322"/>
      <c r="DF1" s="322"/>
      <c r="DG1" s="322"/>
      <c r="DH1" s="322"/>
      <c r="DJ1" s="195"/>
      <c r="DK1" s="322"/>
      <c r="DL1" s="322"/>
      <c r="DM1" s="322"/>
      <c r="DN1" s="322"/>
      <c r="DO1" s="322"/>
      <c r="DP1" s="322"/>
      <c r="DQ1" s="322"/>
      <c r="DR1" s="322"/>
      <c r="DS1" s="322"/>
      <c r="DU1" s="195"/>
      <c r="DV1" s="322"/>
      <c r="DW1" s="322"/>
      <c r="DX1" s="322"/>
      <c r="DY1" s="322"/>
      <c r="DZ1" s="322"/>
      <c r="EA1" s="322"/>
      <c r="EB1" s="322"/>
      <c r="EC1" s="322"/>
      <c r="ED1" s="322"/>
    </row>
    <row r="2" spans="1:134" s="197" customFormat="1" ht="12.75">
      <c r="A2" s="193" t="str">
        <f>+'[3]Input Data'!$A$2</f>
        <v>ONCOR ELECTRIC DELIVERY COMPANY LLC</v>
      </c>
      <c r="D2" s="195"/>
      <c r="E2" s="322"/>
      <c r="F2" s="322"/>
      <c r="G2" s="322"/>
      <c r="H2" s="322"/>
      <c r="I2" s="322"/>
      <c r="J2" s="322"/>
      <c r="K2" s="322"/>
      <c r="L2" s="322"/>
      <c r="M2" s="322"/>
      <c r="N2" s="661"/>
      <c r="O2" s="195"/>
      <c r="P2" s="322"/>
      <c r="Q2" s="322"/>
      <c r="R2" s="322"/>
      <c r="S2" s="322"/>
      <c r="T2" s="322"/>
      <c r="U2" s="322"/>
      <c r="V2" s="322"/>
      <c r="W2" s="322"/>
      <c r="X2" s="322"/>
      <c r="Z2" s="195"/>
      <c r="AA2" s="322"/>
      <c r="AB2" s="322"/>
      <c r="AC2" s="322"/>
      <c r="AD2" s="322"/>
      <c r="AE2" s="322"/>
      <c r="AF2" s="322"/>
      <c r="AG2" s="322"/>
      <c r="AH2" s="322"/>
      <c r="AI2" s="322"/>
      <c r="AK2" s="195"/>
      <c r="AL2" s="322"/>
      <c r="AM2" s="322"/>
      <c r="AN2" s="322"/>
      <c r="AO2" s="322"/>
      <c r="AP2" s="322"/>
      <c r="AQ2" s="322"/>
      <c r="AR2" s="322"/>
      <c r="AS2" s="322"/>
      <c r="AT2" s="322"/>
      <c r="AV2" s="195"/>
      <c r="AW2" s="322"/>
      <c r="AX2" s="322"/>
      <c r="AY2" s="322"/>
      <c r="AZ2" s="322"/>
      <c r="BA2" s="322"/>
      <c r="BB2" s="322"/>
      <c r="BC2" s="322"/>
      <c r="BD2" s="322"/>
      <c r="BE2" s="322"/>
      <c r="BG2" s="195"/>
      <c r="BH2" s="322"/>
      <c r="BI2" s="322"/>
      <c r="BJ2" s="322"/>
      <c r="BK2" s="322"/>
      <c r="BL2" s="322"/>
      <c r="BM2" s="322"/>
      <c r="BN2" s="322"/>
      <c r="BO2" s="322"/>
      <c r="BP2" s="322"/>
      <c r="BR2" s="195"/>
      <c r="BS2" s="322"/>
      <c r="BT2" s="322"/>
      <c r="BU2" s="322"/>
      <c r="BV2" s="322"/>
      <c r="BW2" s="322"/>
      <c r="BX2" s="322"/>
      <c r="BY2" s="322"/>
      <c r="BZ2" s="322"/>
      <c r="CA2" s="322"/>
      <c r="CC2" s="195"/>
      <c r="CD2" s="322"/>
      <c r="CE2" s="322"/>
      <c r="CF2" s="322"/>
      <c r="CG2" s="322"/>
      <c r="CH2" s="322"/>
      <c r="CI2" s="322"/>
      <c r="CJ2" s="322"/>
      <c r="CK2" s="322"/>
      <c r="CL2" s="322"/>
      <c r="CN2" s="195"/>
      <c r="CO2" s="322"/>
      <c r="CP2" s="322"/>
      <c r="CQ2" s="322"/>
      <c r="CR2" s="322"/>
      <c r="CS2" s="322"/>
      <c r="CT2" s="322"/>
      <c r="CU2" s="322"/>
      <c r="CV2" s="322"/>
      <c r="CW2" s="322"/>
      <c r="CY2" s="195"/>
      <c r="CZ2" s="322"/>
      <c r="DA2" s="322"/>
      <c r="DB2" s="322"/>
      <c r="DC2" s="322"/>
      <c r="DD2" s="322"/>
      <c r="DE2" s="322"/>
      <c r="DF2" s="322"/>
      <c r="DG2" s="322"/>
      <c r="DH2" s="322"/>
      <c r="DJ2" s="195"/>
      <c r="DK2" s="322"/>
      <c r="DL2" s="322"/>
      <c r="DM2" s="322"/>
      <c r="DN2" s="322"/>
      <c r="DO2" s="322"/>
      <c r="DP2" s="322"/>
      <c r="DQ2" s="322"/>
      <c r="DR2" s="322"/>
      <c r="DS2" s="322"/>
      <c r="DU2" s="195"/>
      <c r="DV2" s="322"/>
      <c r="DW2" s="322"/>
      <c r="DX2" s="322"/>
      <c r="DY2" s="322"/>
      <c r="DZ2" s="322"/>
      <c r="EA2" s="322"/>
      <c r="EB2" s="322"/>
      <c r="EC2" s="322"/>
      <c r="ED2" s="322"/>
    </row>
    <row r="3" spans="1:134" s="197" customFormat="1" ht="12.75">
      <c r="A3" s="192" t="str">
        <f>CONCATENATE('[3]Schedule Sponsors'!$A$90,'[3]Schedule Sponsors'!$B$90," - MONTHLY")</f>
        <v>II-E-3.5  ADFIT - MONTHLY</v>
      </c>
      <c r="D3" s="195"/>
      <c r="E3" s="322"/>
      <c r="F3" s="322"/>
      <c r="G3" s="322"/>
      <c r="H3" s="322"/>
      <c r="I3" s="322"/>
      <c r="J3" s="322"/>
      <c r="K3" s="322"/>
      <c r="L3" s="322"/>
      <c r="M3" s="322"/>
      <c r="N3" s="661"/>
      <c r="O3" s="195"/>
      <c r="P3" s="322"/>
      <c r="Q3" s="322"/>
      <c r="R3" s="322"/>
      <c r="S3" s="322"/>
      <c r="T3" s="322"/>
      <c r="U3" s="322"/>
      <c r="V3" s="322"/>
      <c r="W3" s="322"/>
      <c r="X3" s="322"/>
      <c r="Z3" s="195"/>
      <c r="AA3" s="322"/>
      <c r="AB3" s="322"/>
      <c r="AC3" s="322"/>
      <c r="AD3" s="322"/>
      <c r="AE3" s="322"/>
      <c r="AF3" s="322"/>
      <c r="AG3" s="322"/>
      <c r="AH3" s="322"/>
      <c r="AI3" s="322"/>
      <c r="AK3" s="195"/>
      <c r="AL3" s="322"/>
      <c r="AM3" s="322"/>
      <c r="AN3" s="322"/>
      <c r="AO3" s="322"/>
      <c r="AP3" s="322"/>
      <c r="AQ3" s="322"/>
      <c r="AR3" s="322"/>
      <c r="AS3" s="322"/>
      <c r="AT3" s="322"/>
      <c r="AV3" s="195"/>
      <c r="AW3" s="322"/>
      <c r="AX3" s="322"/>
      <c r="AY3" s="322"/>
      <c r="AZ3" s="322"/>
      <c r="BA3" s="322"/>
      <c r="BB3" s="322"/>
      <c r="BC3" s="322"/>
      <c r="BD3" s="322"/>
      <c r="BE3" s="322"/>
      <c r="BG3" s="195"/>
      <c r="BH3" s="322"/>
      <c r="BI3" s="322"/>
      <c r="BJ3" s="322"/>
      <c r="BK3" s="322"/>
      <c r="BL3" s="322"/>
      <c r="BM3" s="322"/>
      <c r="BN3" s="322"/>
      <c r="BO3" s="322"/>
      <c r="BP3" s="322"/>
      <c r="BR3" s="195"/>
      <c r="BS3" s="322"/>
      <c r="BT3" s="322"/>
      <c r="BU3" s="322"/>
      <c r="BV3" s="322"/>
      <c r="BW3" s="322"/>
      <c r="BX3" s="322"/>
      <c r="BY3" s="322"/>
      <c r="BZ3" s="322"/>
      <c r="CA3" s="322"/>
      <c r="CC3" s="195"/>
      <c r="CD3" s="322"/>
      <c r="CE3" s="322"/>
      <c r="CF3" s="322"/>
      <c r="CG3" s="322"/>
      <c r="CH3" s="322"/>
      <c r="CI3" s="322"/>
      <c r="CJ3" s="322"/>
      <c r="CK3" s="322"/>
      <c r="CL3" s="322"/>
      <c r="CN3" s="195"/>
      <c r="CO3" s="322"/>
      <c r="CP3" s="322"/>
      <c r="CQ3" s="322"/>
      <c r="CR3" s="322"/>
      <c r="CS3" s="322"/>
      <c r="CT3" s="322"/>
      <c r="CU3" s="322"/>
      <c r="CV3" s="322"/>
      <c r="CW3" s="322"/>
      <c r="CY3" s="195"/>
      <c r="CZ3" s="322"/>
      <c r="DA3" s="322"/>
      <c r="DB3" s="322"/>
      <c r="DC3" s="322"/>
      <c r="DD3" s="322"/>
      <c r="DE3" s="322"/>
      <c r="DF3" s="322"/>
      <c r="DG3" s="322"/>
      <c r="DH3" s="322"/>
      <c r="DJ3" s="195"/>
      <c r="DK3" s="322"/>
      <c r="DL3" s="322"/>
      <c r="DM3" s="322"/>
      <c r="DN3" s="322"/>
      <c r="DO3" s="322"/>
      <c r="DP3" s="322"/>
      <c r="DQ3" s="322"/>
      <c r="DR3" s="322"/>
      <c r="DS3" s="322"/>
      <c r="DU3" s="195"/>
      <c r="DV3" s="322"/>
      <c r="DW3" s="322"/>
      <c r="DX3" s="322"/>
      <c r="DY3" s="322"/>
      <c r="DZ3" s="322"/>
      <c r="EA3" s="322"/>
      <c r="EB3" s="322"/>
      <c r="EC3" s="322"/>
      <c r="ED3" s="322"/>
    </row>
    <row r="4" spans="1:134" s="197" customFormat="1" ht="12.75">
      <c r="A4" s="192" t="str">
        <f>+'[3]Input Data'!$A$4</f>
        <v>TEST YEAR ENDING DECEMBER 31, 2021</v>
      </c>
      <c r="D4" s="195"/>
      <c r="E4" s="529"/>
      <c r="F4" s="322"/>
      <c r="G4" s="322"/>
      <c r="H4" s="322"/>
      <c r="I4" s="322"/>
      <c r="J4" s="322"/>
      <c r="K4" s="322"/>
      <c r="L4" s="322"/>
      <c r="M4" s="322"/>
      <c r="N4" s="661"/>
      <c r="O4" s="195"/>
      <c r="P4" s="529"/>
      <c r="Q4" s="322"/>
      <c r="R4" s="322"/>
      <c r="S4" s="322"/>
      <c r="T4" s="322"/>
      <c r="U4" s="322"/>
      <c r="V4" s="322"/>
      <c r="W4" s="322"/>
      <c r="X4" s="322"/>
      <c r="Z4" s="195"/>
      <c r="AA4" s="529"/>
      <c r="AB4" s="322"/>
      <c r="AC4" s="322"/>
      <c r="AD4" s="322"/>
      <c r="AE4" s="322"/>
      <c r="AF4" s="322"/>
      <c r="AG4" s="322"/>
      <c r="AH4" s="322"/>
      <c r="AI4" s="322"/>
      <c r="AK4" s="195"/>
      <c r="AL4" s="529"/>
      <c r="AM4" s="322"/>
      <c r="AN4" s="322"/>
      <c r="AO4" s="322"/>
      <c r="AP4" s="322"/>
      <c r="AQ4" s="322"/>
      <c r="AR4" s="322"/>
      <c r="AS4" s="322"/>
      <c r="AT4" s="322"/>
      <c r="AV4" s="195"/>
      <c r="AW4" s="529"/>
      <c r="AX4" s="322"/>
      <c r="AY4" s="322"/>
      <c r="AZ4" s="322"/>
      <c r="BA4" s="322"/>
      <c r="BB4" s="322"/>
      <c r="BC4" s="322"/>
      <c r="BD4" s="322"/>
      <c r="BE4" s="322"/>
      <c r="BG4" s="195"/>
      <c r="BH4" s="529"/>
      <c r="BI4" s="322"/>
      <c r="BJ4" s="322"/>
      <c r="BK4" s="322"/>
      <c r="BL4" s="322"/>
      <c r="BM4" s="322"/>
      <c r="BN4" s="322"/>
      <c r="BO4" s="322"/>
      <c r="BP4" s="322"/>
      <c r="BR4" s="195"/>
      <c r="BS4" s="529"/>
      <c r="BT4" s="322"/>
      <c r="BU4" s="322"/>
      <c r="BV4" s="322"/>
      <c r="BW4" s="322"/>
      <c r="BX4" s="322"/>
      <c r="BY4" s="322"/>
      <c r="BZ4" s="322"/>
      <c r="CA4" s="322"/>
      <c r="CC4" s="195"/>
      <c r="CD4" s="529"/>
      <c r="CE4" s="322"/>
      <c r="CF4" s="322"/>
      <c r="CG4" s="322"/>
      <c r="CH4" s="322"/>
      <c r="CI4" s="322"/>
      <c r="CJ4" s="322"/>
      <c r="CK4" s="322"/>
      <c r="CL4" s="322"/>
      <c r="CN4" s="195"/>
      <c r="CO4" s="529"/>
      <c r="CP4" s="322"/>
      <c r="CQ4" s="322"/>
      <c r="CR4" s="322"/>
      <c r="CS4" s="322"/>
      <c r="CT4" s="322"/>
      <c r="CU4" s="322"/>
      <c r="CV4" s="322"/>
      <c r="CW4" s="322"/>
      <c r="CY4" s="195"/>
      <c r="CZ4" s="529"/>
      <c r="DA4" s="322"/>
      <c r="DB4" s="322"/>
      <c r="DC4" s="322"/>
      <c r="DD4" s="322"/>
      <c r="DE4" s="322"/>
      <c r="DF4" s="322"/>
      <c r="DG4" s="322"/>
      <c r="DH4" s="322"/>
      <c r="DJ4" s="195"/>
      <c r="DK4" s="529"/>
      <c r="DL4" s="322"/>
      <c r="DM4" s="322"/>
      <c r="DN4" s="322"/>
      <c r="DO4" s="322"/>
      <c r="DP4" s="322"/>
      <c r="DQ4" s="322"/>
      <c r="DR4" s="322"/>
      <c r="DS4" s="322"/>
      <c r="DU4" s="195"/>
      <c r="DV4" s="529"/>
      <c r="DW4" s="322"/>
      <c r="DX4" s="322"/>
      <c r="DY4" s="322"/>
      <c r="DZ4" s="322"/>
      <c r="EA4" s="322"/>
      <c r="EB4" s="322"/>
      <c r="EC4" s="322"/>
      <c r="ED4" s="322"/>
    </row>
    <row r="5" spans="1:134" s="197" customFormat="1" ht="12.75">
      <c r="A5" s="190" t="str">
        <f>CONCATENATE("SPONSOR: ",'[3]Schedule Sponsors'!$D$92)</f>
        <v>SPONSOR: B. L. CLUTTER</v>
      </c>
      <c r="E5" s="322"/>
      <c r="F5" s="322"/>
      <c r="G5" s="322"/>
      <c r="H5" s="322"/>
      <c r="I5" s="322"/>
      <c r="J5" s="322"/>
      <c r="K5" s="322"/>
      <c r="L5" s="322"/>
      <c r="M5" s="322"/>
      <c r="N5" s="661"/>
      <c r="P5" s="322"/>
      <c r="Q5" s="322"/>
      <c r="R5" s="322"/>
      <c r="S5" s="322"/>
      <c r="T5" s="322"/>
      <c r="U5" s="322"/>
      <c r="V5" s="322"/>
      <c r="W5" s="322"/>
      <c r="X5" s="322"/>
      <c r="AA5" s="322"/>
      <c r="AB5" s="322"/>
      <c r="AC5" s="322"/>
      <c r="AD5" s="322"/>
      <c r="AE5" s="322"/>
      <c r="AF5" s="322"/>
      <c r="AG5" s="322"/>
      <c r="AH5" s="322"/>
      <c r="AI5" s="322"/>
      <c r="AL5" s="322"/>
      <c r="AM5" s="322"/>
      <c r="AN5" s="322"/>
      <c r="AO5" s="322"/>
      <c r="AP5" s="322"/>
      <c r="AQ5" s="322"/>
      <c r="AR5" s="322"/>
      <c r="AS5" s="322"/>
      <c r="AT5" s="322"/>
      <c r="AW5" s="322"/>
      <c r="AX5" s="322"/>
      <c r="AY5" s="322"/>
      <c r="AZ5" s="322"/>
      <c r="BA5" s="322"/>
      <c r="BB5" s="322"/>
      <c r="BC5" s="322"/>
      <c r="BD5" s="322"/>
      <c r="BE5" s="322"/>
      <c r="BH5" s="322"/>
      <c r="BI5" s="322"/>
      <c r="BJ5" s="322"/>
      <c r="BK5" s="322"/>
      <c r="BL5" s="322"/>
      <c r="BM5" s="322"/>
      <c r="BN5" s="322"/>
      <c r="BO5" s="322"/>
      <c r="BP5" s="322"/>
      <c r="BS5" s="322"/>
      <c r="BT5" s="322"/>
      <c r="BU5" s="322"/>
      <c r="BV5" s="322"/>
      <c r="BW5" s="322"/>
      <c r="BX5" s="322"/>
      <c r="BY5" s="322"/>
      <c r="BZ5" s="322"/>
      <c r="CA5" s="322"/>
      <c r="CD5" s="322"/>
      <c r="CE5" s="322"/>
      <c r="CF5" s="322"/>
      <c r="CG5" s="322"/>
      <c r="CH5" s="322"/>
      <c r="CI5" s="322"/>
      <c r="CJ5" s="322"/>
      <c r="CK5" s="322"/>
      <c r="CL5" s="322"/>
      <c r="CO5" s="322"/>
      <c r="CP5" s="322"/>
      <c r="CQ5" s="322"/>
      <c r="CR5" s="322"/>
      <c r="CS5" s="322"/>
      <c r="CT5" s="322"/>
      <c r="CU5" s="322"/>
      <c r="CV5" s="322"/>
      <c r="CW5" s="322"/>
      <c r="CZ5" s="322"/>
      <c r="DA5" s="322"/>
      <c r="DB5" s="322"/>
      <c r="DC5" s="322"/>
      <c r="DD5" s="322"/>
      <c r="DE5" s="322"/>
      <c r="DF5" s="322"/>
      <c r="DG5" s="322"/>
      <c r="DH5" s="322"/>
      <c r="DK5" s="322"/>
      <c r="DL5" s="322"/>
      <c r="DM5" s="322"/>
      <c r="DN5" s="322"/>
      <c r="DO5" s="322"/>
      <c r="DP5" s="322"/>
      <c r="DQ5" s="322"/>
      <c r="DR5" s="322"/>
      <c r="DS5" s="322"/>
      <c r="DV5" s="322"/>
      <c r="DW5" s="322"/>
      <c r="DX5" s="322"/>
      <c r="DY5" s="322"/>
      <c r="DZ5" s="322"/>
      <c r="EA5" s="322"/>
      <c r="EB5" s="322"/>
      <c r="EC5" s="322"/>
      <c r="ED5" s="322"/>
    </row>
    <row r="10" spans="1:134" s="184" customFormat="1" ht="15">
      <c r="A10" s="533"/>
      <c r="B10" s="417"/>
      <c r="C10" s="419" t="s">
        <v>75</v>
      </c>
      <c r="D10" s="418" t="s">
        <v>508</v>
      </c>
      <c r="E10" s="418"/>
      <c r="F10" s="418" t="s">
        <v>628</v>
      </c>
      <c r="G10" s="418" t="s">
        <v>629</v>
      </c>
      <c r="H10" s="418" t="s">
        <v>631</v>
      </c>
      <c r="I10" s="418"/>
      <c r="J10" s="418" t="s">
        <v>628</v>
      </c>
      <c r="K10" s="418" t="s">
        <v>631</v>
      </c>
      <c r="L10" s="418"/>
      <c r="M10" s="418"/>
      <c r="N10" s="662"/>
      <c r="O10" s="418" t="s">
        <v>508</v>
      </c>
      <c r="P10" s="418"/>
      <c r="Q10" s="418" t="s">
        <v>628</v>
      </c>
      <c r="R10" s="418" t="s">
        <v>629</v>
      </c>
      <c r="S10" s="418" t="s">
        <v>631</v>
      </c>
      <c r="T10" s="418"/>
      <c r="U10" s="418" t="s">
        <v>628</v>
      </c>
      <c r="V10" s="418" t="s">
        <v>631</v>
      </c>
      <c r="W10" s="418"/>
      <c r="X10" s="418"/>
      <c r="Z10" s="418" t="s">
        <v>508</v>
      </c>
      <c r="AA10" s="418"/>
      <c r="AB10" s="418" t="s">
        <v>628</v>
      </c>
      <c r="AC10" s="418" t="s">
        <v>629</v>
      </c>
      <c r="AD10" s="418" t="s">
        <v>631</v>
      </c>
      <c r="AE10" s="418"/>
      <c r="AF10" s="418" t="s">
        <v>628</v>
      </c>
      <c r="AG10" s="418" t="s">
        <v>631</v>
      </c>
      <c r="AH10" s="418"/>
      <c r="AI10" s="418"/>
      <c r="AK10" s="418" t="s">
        <v>508</v>
      </c>
      <c r="AL10" s="418"/>
      <c r="AM10" s="418" t="s">
        <v>628</v>
      </c>
      <c r="AN10" s="418" t="s">
        <v>629</v>
      </c>
      <c r="AO10" s="418" t="s">
        <v>631</v>
      </c>
      <c r="AP10" s="418"/>
      <c r="AQ10" s="418" t="s">
        <v>628</v>
      </c>
      <c r="AR10" s="418" t="s">
        <v>631</v>
      </c>
      <c r="AS10" s="418"/>
      <c r="AT10" s="418"/>
      <c r="AV10" s="418" t="s">
        <v>508</v>
      </c>
      <c r="AW10" s="418"/>
      <c r="AX10" s="418" t="s">
        <v>628</v>
      </c>
      <c r="AY10" s="418" t="s">
        <v>629</v>
      </c>
      <c r="AZ10" s="418" t="s">
        <v>631</v>
      </c>
      <c r="BA10" s="418"/>
      <c r="BB10" s="418" t="s">
        <v>628</v>
      </c>
      <c r="BC10" s="418" t="s">
        <v>631</v>
      </c>
      <c r="BD10" s="418"/>
      <c r="BE10" s="418"/>
      <c r="BG10" s="418" t="s">
        <v>508</v>
      </c>
      <c r="BH10" s="418"/>
      <c r="BI10" s="418" t="s">
        <v>628</v>
      </c>
      <c r="BJ10" s="418" t="s">
        <v>629</v>
      </c>
      <c r="BK10" s="418" t="s">
        <v>631</v>
      </c>
      <c r="BL10" s="418"/>
      <c r="BM10" s="418" t="s">
        <v>628</v>
      </c>
      <c r="BN10" s="418" t="s">
        <v>631</v>
      </c>
      <c r="BO10" s="418"/>
      <c r="BP10" s="418"/>
      <c r="BR10" s="418" t="s">
        <v>508</v>
      </c>
      <c r="BS10" s="418"/>
      <c r="BT10" s="418" t="s">
        <v>628</v>
      </c>
      <c r="BU10" s="418" t="s">
        <v>629</v>
      </c>
      <c r="BV10" s="418" t="s">
        <v>631</v>
      </c>
      <c r="BW10" s="418"/>
      <c r="BX10" s="418" t="s">
        <v>628</v>
      </c>
      <c r="BY10" s="418" t="s">
        <v>631</v>
      </c>
      <c r="BZ10" s="418"/>
      <c r="CA10" s="418"/>
      <c r="CC10" s="418" t="s">
        <v>508</v>
      </c>
      <c r="CD10" s="418"/>
      <c r="CE10" s="418" t="s">
        <v>628</v>
      </c>
      <c r="CF10" s="418" t="s">
        <v>629</v>
      </c>
      <c r="CG10" s="418" t="s">
        <v>631</v>
      </c>
      <c r="CH10" s="418"/>
      <c r="CI10" s="418" t="s">
        <v>628</v>
      </c>
      <c r="CJ10" s="418" t="s">
        <v>631</v>
      </c>
      <c r="CK10" s="418"/>
      <c r="CL10" s="418"/>
      <c r="CN10" s="418" t="s">
        <v>508</v>
      </c>
      <c r="CO10" s="418"/>
      <c r="CP10" s="418" t="s">
        <v>628</v>
      </c>
      <c r="CQ10" s="418" t="s">
        <v>629</v>
      </c>
      <c r="CR10" s="418" t="s">
        <v>631</v>
      </c>
      <c r="CS10" s="418"/>
      <c r="CT10" s="418" t="s">
        <v>628</v>
      </c>
      <c r="CU10" s="418" t="s">
        <v>631</v>
      </c>
      <c r="CV10" s="418"/>
      <c r="CW10" s="418"/>
      <c r="CY10" s="418" t="s">
        <v>508</v>
      </c>
      <c r="CZ10" s="418"/>
      <c r="DA10" s="418" t="s">
        <v>628</v>
      </c>
      <c r="DB10" s="418" t="s">
        <v>629</v>
      </c>
      <c r="DC10" s="418" t="s">
        <v>631</v>
      </c>
      <c r="DD10" s="418"/>
      <c r="DE10" s="418" t="s">
        <v>628</v>
      </c>
      <c r="DF10" s="418" t="s">
        <v>631</v>
      </c>
      <c r="DG10" s="418"/>
      <c r="DH10" s="418"/>
      <c r="DJ10" s="418" t="s">
        <v>508</v>
      </c>
      <c r="DK10" s="418"/>
      <c r="DL10" s="418" t="s">
        <v>628</v>
      </c>
      <c r="DM10" s="418" t="s">
        <v>629</v>
      </c>
      <c r="DN10" s="418" t="s">
        <v>631</v>
      </c>
      <c r="DO10" s="418"/>
      <c r="DP10" s="418" t="s">
        <v>628</v>
      </c>
      <c r="DQ10" s="418" t="s">
        <v>631</v>
      </c>
      <c r="DR10" s="418"/>
      <c r="DS10" s="418"/>
      <c r="DU10" s="418" t="s">
        <v>508</v>
      </c>
      <c r="DV10" s="418"/>
      <c r="DW10" s="418" t="s">
        <v>628</v>
      </c>
      <c r="DX10" s="418" t="s">
        <v>629</v>
      </c>
      <c r="DY10" s="418" t="s">
        <v>631</v>
      </c>
      <c r="DZ10" s="418"/>
      <c r="EA10" s="418" t="s">
        <v>628</v>
      </c>
      <c r="EB10" s="418" t="s">
        <v>631</v>
      </c>
      <c r="EC10" s="418"/>
      <c r="ED10" s="418"/>
    </row>
    <row r="11" spans="1:134" s="184" customFormat="1" ht="12.75">
      <c r="A11" s="534" t="s">
        <v>51</v>
      </c>
      <c r="B11" s="535" t="s">
        <v>69</v>
      </c>
      <c r="C11" s="535" t="s">
        <v>80</v>
      </c>
      <c r="D11" s="536">
        <v>44227</v>
      </c>
      <c r="E11" s="535" t="s">
        <v>208</v>
      </c>
      <c r="F11" s="535" t="s">
        <v>208</v>
      </c>
      <c r="G11" s="535" t="s">
        <v>632</v>
      </c>
      <c r="H11" s="535" t="s">
        <v>208</v>
      </c>
      <c r="I11" s="535" t="s">
        <v>209</v>
      </c>
      <c r="J11" s="535" t="s">
        <v>209</v>
      </c>
      <c r="K11" s="535" t="s">
        <v>209</v>
      </c>
      <c r="L11" s="535" t="s">
        <v>203</v>
      </c>
      <c r="M11" s="535" t="s">
        <v>291</v>
      </c>
      <c r="N11" s="663"/>
      <c r="O11" s="536">
        <v>44255</v>
      </c>
      <c r="P11" s="535" t="s">
        <v>208</v>
      </c>
      <c r="Q11" s="535" t="s">
        <v>208</v>
      </c>
      <c r="R11" s="535" t="s">
        <v>632</v>
      </c>
      <c r="S11" s="535" t="s">
        <v>208</v>
      </c>
      <c r="T11" s="535" t="s">
        <v>209</v>
      </c>
      <c r="U11" s="535" t="s">
        <v>209</v>
      </c>
      <c r="V11" s="535" t="s">
        <v>209</v>
      </c>
      <c r="W11" s="535" t="s">
        <v>203</v>
      </c>
      <c r="X11" s="535" t="s">
        <v>291</v>
      </c>
      <c r="Z11" s="667">
        <v>44286</v>
      </c>
      <c r="AA11" s="535" t="s">
        <v>208</v>
      </c>
      <c r="AB11" s="535" t="s">
        <v>208</v>
      </c>
      <c r="AC11" s="535" t="s">
        <v>632</v>
      </c>
      <c r="AD11" s="535" t="s">
        <v>208</v>
      </c>
      <c r="AE11" s="535" t="s">
        <v>209</v>
      </c>
      <c r="AF11" s="535" t="s">
        <v>209</v>
      </c>
      <c r="AG11" s="535" t="s">
        <v>209</v>
      </c>
      <c r="AH11" s="535" t="s">
        <v>203</v>
      </c>
      <c r="AI11" s="535" t="s">
        <v>291</v>
      </c>
      <c r="AK11" s="667">
        <v>44316</v>
      </c>
      <c r="AL11" s="535" t="s">
        <v>208</v>
      </c>
      <c r="AM11" s="535" t="s">
        <v>208</v>
      </c>
      <c r="AN11" s="535" t="s">
        <v>632</v>
      </c>
      <c r="AO11" s="535" t="s">
        <v>208</v>
      </c>
      <c r="AP11" s="535" t="s">
        <v>209</v>
      </c>
      <c r="AQ11" s="535" t="s">
        <v>209</v>
      </c>
      <c r="AR11" s="535" t="s">
        <v>209</v>
      </c>
      <c r="AS11" s="535" t="s">
        <v>203</v>
      </c>
      <c r="AT11" s="535" t="s">
        <v>291</v>
      </c>
      <c r="AV11" s="667">
        <v>44347</v>
      </c>
      <c r="AW11" s="535" t="s">
        <v>208</v>
      </c>
      <c r="AX11" s="535" t="s">
        <v>208</v>
      </c>
      <c r="AY11" s="535" t="s">
        <v>632</v>
      </c>
      <c r="AZ11" s="535" t="s">
        <v>208</v>
      </c>
      <c r="BA11" s="535" t="s">
        <v>209</v>
      </c>
      <c r="BB11" s="535" t="s">
        <v>209</v>
      </c>
      <c r="BC11" s="535" t="s">
        <v>209</v>
      </c>
      <c r="BD11" s="535" t="s">
        <v>203</v>
      </c>
      <c r="BE11" s="535" t="s">
        <v>291</v>
      </c>
      <c r="BG11" s="667">
        <v>44377</v>
      </c>
      <c r="BH11" s="535" t="s">
        <v>208</v>
      </c>
      <c r="BI11" s="535" t="s">
        <v>208</v>
      </c>
      <c r="BJ11" s="535" t="s">
        <v>632</v>
      </c>
      <c r="BK11" s="535" t="s">
        <v>208</v>
      </c>
      <c r="BL11" s="535" t="s">
        <v>209</v>
      </c>
      <c r="BM11" s="535" t="s">
        <v>209</v>
      </c>
      <c r="BN11" s="535" t="s">
        <v>209</v>
      </c>
      <c r="BO11" s="535" t="s">
        <v>203</v>
      </c>
      <c r="BP11" s="535" t="s">
        <v>291</v>
      </c>
      <c r="BR11" s="667">
        <v>44408</v>
      </c>
      <c r="BS11" s="535" t="s">
        <v>208</v>
      </c>
      <c r="BT11" s="535" t="s">
        <v>208</v>
      </c>
      <c r="BU11" s="535" t="s">
        <v>632</v>
      </c>
      <c r="BV11" s="535" t="s">
        <v>208</v>
      </c>
      <c r="BW11" s="535" t="s">
        <v>209</v>
      </c>
      <c r="BX11" s="535" t="s">
        <v>209</v>
      </c>
      <c r="BY11" s="535" t="s">
        <v>209</v>
      </c>
      <c r="BZ11" s="535" t="s">
        <v>203</v>
      </c>
      <c r="CA11" s="535" t="s">
        <v>291</v>
      </c>
      <c r="CC11" s="667">
        <v>44439</v>
      </c>
      <c r="CD11" s="535" t="s">
        <v>208</v>
      </c>
      <c r="CE11" s="535" t="s">
        <v>208</v>
      </c>
      <c r="CF11" s="535" t="s">
        <v>632</v>
      </c>
      <c r="CG11" s="535" t="s">
        <v>208</v>
      </c>
      <c r="CH11" s="535" t="s">
        <v>209</v>
      </c>
      <c r="CI11" s="535" t="s">
        <v>209</v>
      </c>
      <c r="CJ11" s="535" t="s">
        <v>209</v>
      </c>
      <c r="CK11" s="535" t="s">
        <v>203</v>
      </c>
      <c r="CL11" s="535" t="s">
        <v>291</v>
      </c>
      <c r="CN11" s="667">
        <v>44469</v>
      </c>
      <c r="CO11" s="535" t="s">
        <v>208</v>
      </c>
      <c r="CP11" s="535" t="s">
        <v>208</v>
      </c>
      <c r="CQ11" s="535" t="s">
        <v>632</v>
      </c>
      <c r="CR11" s="535" t="s">
        <v>208</v>
      </c>
      <c r="CS11" s="535" t="s">
        <v>209</v>
      </c>
      <c r="CT11" s="535" t="s">
        <v>209</v>
      </c>
      <c r="CU11" s="535" t="s">
        <v>209</v>
      </c>
      <c r="CV11" s="535" t="s">
        <v>203</v>
      </c>
      <c r="CW11" s="535" t="s">
        <v>291</v>
      </c>
      <c r="CY11" s="667">
        <v>44500</v>
      </c>
      <c r="CZ11" s="535" t="s">
        <v>208</v>
      </c>
      <c r="DA11" s="535" t="s">
        <v>208</v>
      </c>
      <c r="DB11" s="535" t="s">
        <v>632</v>
      </c>
      <c r="DC11" s="535" t="s">
        <v>208</v>
      </c>
      <c r="DD11" s="535" t="s">
        <v>209</v>
      </c>
      <c r="DE11" s="535" t="s">
        <v>209</v>
      </c>
      <c r="DF11" s="535" t="s">
        <v>209</v>
      </c>
      <c r="DG11" s="535" t="s">
        <v>203</v>
      </c>
      <c r="DH11" s="535" t="s">
        <v>291</v>
      </c>
      <c r="DJ11" s="667">
        <v>44530</v>
      </c>
      <c r="DK11" s="535" t="s">
        <v>208</v>
      </c>
      <c r="DL11" s="535" t="s">
        <v>208</v>
      </c>
      <c r="DM11" s="535" t="s">
        <v>632</v>
      </c>
      <c r="DN11" s="535" t="s">
        <v>208</v>
      </c>
      <c r="DO11" s="535" t="s">
        <v>209</v>
      </c>
      <c r="DP11" s="535" t="s">
        <v>209</v>
      </c>
      <c r="DQ11" s="535" t="s">
        <v>209</v>
      </c>
      <c r="DR11" s="535" t="s">
        <v>203</v>
      </c>
      <c r="DS11" s="535" t="s">
        <v>291</v>
      </c>
      <c r="DU11" s="667">
        <v>44561</v>
      </c>
      <c r="DV11" s="535" t="s">
        <v>208</v>
      </c>
      <c r="DW11" s="535" t="s">
        <v>208</v>
      </c>
      <c r="DX11" s="535" t="s">
        <v>632</v>
      </c>
      <c r="DY11" s="535" t="s">
        <v>208</v>
      </c>
      <c r="DZ11" s="535" t="s">
        <v>209</v>
      </c>
      <c r="EA11" s="535" t="s">
        <v>209</v>
      </c>
      <c r="EB11" s="535" t="s">
        <v>209</v>
      </c>
      <c r="EC11" s="535" t="s">
        <v>203</v>
      </c>
      <c r="ED11" s="535" t="s">
        <v>291</v>
      </c>
    </row>
    <row r="12" spans="1:138" s="184" customFormat="1" ht="12.75">
      <c r="A12" s="537"/>
      <c r="B12" s="538" t="s">
        <v>237</v>
      </c>
      <c r="C12" s="539" t="s">
        <v>238</v>
      </c>
      <c r="D12" s="540" t="s">
        <v>239</v>
      </c>
      <c r="E12" s="539" t="s">
        <v>240</v>
      </c>
      <c r="F12" s="539" t="s">
        <v>241</v>
      </c>
      <c r="G12" s="539" t="s">
        <v>242</v>
      </c>
      <c r="H12" s="539" t="s">
        <v>243</v>
      </c>
      <c r="I12" s="539" t="s">
        <v>244</v>
      </c>
      <c r="J12" s="539" t="s">
        <v>245</v>
      </c>
      <c r="K12" s="539" t="s">
        <v>246</v>
      </c>
      <c r="L12" s="539" t="s">
        <v>247</v>
      </c>
      <c r="M12" s="539" t="s">
        <v>248</v>
      </c>
      <c r="N12" s="539"/>
      <c r="O12" s="681" t="s">
        <v>249</v>
      </c>
      <c r="P12" s="681" t="s">
        <v>250</v>
      </c>
      <c r="Q12" s="682" t="s">
        <v>251</v>
      </c>
      <c r="R12" s="682" t="s">
        <v>148</v>
      </c>
      <c r="S12" s="682" t="s">
        <v>281</v>
      </c>
      <c r="T12" s="682" t="s">
        <v>292</v>
      </c>
      <c r="U12" s="682" t="s">
        <v>293</v>
      </c>
      <c r="V12" s="682" t="s">
        <v>509</v>
      </c>
      <c r="W12" s="681" t="s">
        <v>510</v>
      </c>
      <c r="X12" s="681" t="s">
        <v>511</v>
      </c>
      <c r="Y12" s="681"/>
      <c r="Z12" s="681" t="s">
        <v>512</v>
      </c>
      <c r="AA12" s="681" t="s">
        <v>844</v>
      </c>
      <c r="AB12" s="681" t="s">
        <v>845</v>
      </c>
      <c r="AC12" s="681" t="s">
        <v>846</v>
      </c>
      <c r="AD12" s="683" t="s">
        <v>847</v>
      </c>
      <c r="AE12" s="684" t="s">
        <v>848</v>
      </c>
      <c r="AF12" s="685" t="s">
        <v>849</v>
      </c>
      <c r="AG12" s="684" t="s">
        <v>850</v>
      </c>
      <c r="AH12" s="684" t="s">
        <v>851</v>
      </c>
      <c r="AI12" s="684" t="s">
        <v>852</v>
      </c>
      <c r="AJ12" s="686"/>
      <c r="AK12" s="684" t="s">
        <v>853</v>
      </c>
      <c r="AL12" s="684" t="s">
        <v>854</v>
      </c>
      <c r="AM12" s="681" t="s">
        <v>855</v>
      </c>
      <c r="AN12" s="681" t="s">
        <v>856</v>
      </c>
      <c r="AO12" s="681" t="s">
        <v>857</v>
      </c>
      <c r="AP12" s="681" t="s">
        <v>858</v>
      </c>
      <c r="AQ12" s="681" t="s">
        <v>859</v>
      </c>
      <c r="AR12" s="681" t="s">
        <v>860</v>
      </c>
      <c r="AS12" s="682" t="s">
        <v>861</v>
      </c>
      <c r="AT12" s="682" t="s">
        <v>862</v>
      </c>
      <c r="AU12" s="682"/>
      <c r="AV12" s="682" t="s">
        <v>863</v>
      </c>
      <c r="AW12" s="686" t="s">
        <v>864</v>
      </c>
      <c r="AX12" s="682" t="s">
        <v>865</v>
      </c>
      <c r="AY12" s="682" t="s">
        <v>866</v>
      </c>
      <c r="AZ12" s="681" t="s">
        <v>867</v>
      </c>
      <c r="BA12" s="681" t="s">
        <v>868</v>
      </c>
      <c r="BB12" s="681" t="s">
        <v>869</v>
      </c>
      <c r="BC12" s="681" t="s">
        <v>870</v>
      </c>
      <c r="BD12" s="681" t="s">
        <v>871</v>
      </c>
      <c r="BE12" s="682" t="s">
        <v>872</v>
      </c>
      <c r="BF12" s="682"/>
      <c r="BG12" s="682" t="s">
        <v>873</v>
      </c>
      <c r="BH12" s="682" t="s">
        <v>874</v>
      </c>
      <c r="BI12" s="682" t="s">
        <v>875</v>
      </c>
      <c r="BJ12" s="682" t="s">
        <v>876</v>
      </c>
      <c r="BK12" s="681" t="s">
        <v>877</v>
      </c>
      <c r="BL12" s="681" t="s">
        <v>878</v>
      </c>
      <c r="BM12" s="681" t="s">
        <v>879</v>
      </c>
      <c r="BN12" s="681" t="s">
        <v>880</v>
      </c>
      <c r="BO12" s="681" t="s">
        <v>881</v>
      </c>
      <c r="BP12" s="681" t="s">
        <v>882</v>
      </c>
      <c r="BQ12" s="681"/>
      <c r="BR12" s="681" t="s">
        <v>883</v>
      </c>
      <c r="BS12" s="681" t="s">
        <v>884</v>
      </c>
      <c r="BT12" s="681" t="s">
        <v>885</v>
      </c>
      <c r="BU12" s="681" t="s">
        <v>886</v>
      </c>
      <c r="BV12" s="681" t="s">
        <v>887</v>
      </c>
      <c r="BW12" s="681" t="s">
        <v>888</v>
      </c>
      <c r="BX12" s="682" t="s">
        <v>889</v>
      </c>
      <c r="BY12" s="681" t="s">
        <v>890</v>
      </c>
      <c r="BZ12" s="681" t="s">
        <v>891</v>
      </c>
      <c r="CA12" s="681" t="s">
        <v>892</v>
      </c>
      <c r="CB12" s="681"/>
      <c r="CC12" s="681" t="s">
        <v>893</v>
      </c>
      <c r="CD12" s="681" t="s">
        <v>894</v>
      </c>
      <c r="CE12" s="539" t="s">
        <v>895</v>
      </c>
      <c r="CF12" s="539" t="s">
        <v>896</v>
      </c>
      <c r="CG12" s="539" t="s">
        <v>897</v>
      </c>
      <c r="CH12" s="539" t="s">
        <v>898</v>
      </c>
      <c r="CI12" s="687" t="s">
        <v>899</v>
      </c>
      <c r="CJ12" s="540" t="s">
        <v>900</v>
      </c>
      <c r="CK12" s="539" t="s">
        <v>901</v>
      </c>
      <c r="CL12" s="539" t="s">
        <v>902</v>
      </c>
      <c r="CM12" s="539"/>
      <c r="CN12" s="539" t="s">
        <v>903</v>
      </c>
      <c r="CO12" s="539" t="s">
        <v>904</v>
      </c>
      <c r="CP12" s="539" t="s">
        <v>905</v>
      </c>
      <c r="CQ12" s="539" t="s">
        <v>906</v>
      </c>
      <c r="CR12" s="539" t="s">
        <v>907</v>
      </c>
      <c r="CS12" s="539" t="s">
        <v>908</v>
      </c>
      <c r="CT12" s="687" t="s">
        <v>909</v>
      </c>
      <c r="CU12" s="540" t="s">
        <v>910</v>
      </c>
      <c r="CV12" s="539" t="s">
        <v>911</v>
      </c>
      <c r="CW12" s="539" t="s">
        <v>912</v>
      </c>
      <c r="CX12" s="539"/>
      <c r="CY12" s="539" t="s">
        <v>913</v>
      </c>
      <c r="CZ12" s="539" t="s">
        <v>914</v>
      </c>
      <c r="DA12" s="539" t="s">
        <v>915</v>
      </c>
      <c r="DB12" s="539" t="s">
        <v>916</v>
      </c>
      <c r="DC12" s="539" t="s">
        <v>917</v>
      </c>
      <c r="DD12" s="539" t="s">
        <v>918</v>
      </c>
      <c r="DE12" s="687" t="s">
        <v>919</v>
      </c>
      <c r="DF12" s="540" t="s">
        <v>920</v>
      </c>
      <c r="DG12" s="539" t="s">
        <v>921</v>
      </c>
      <c r="DH12" s="539" t="s">
        <v>922</v>
      </c>
      <c r="DI12" s="539"/>
      <c r="DJ12" s="539" t="s">
        <v>923</v>
      </c>
      <c r="DK12" s="539" t="s">
        <v>924</v>
      </c>
      <c r="DL12" s="539" t="s">
        <v>925</v>
      </c>
      <c r="DM12" s="539" t="s">
        <v>926</v>
      </c>
      <c r="DN12" s="539" t="s">
        <v>927</v>
      </c>
      <c r="DO12" s="539" t="s">
        <v>928</v>
      </c>
      <c r="DP12" s="687" t="s">
        <v>929</v>
      </c>
      <c r="DQ12" s="540" t="s">
        <v>930</v>
      </c>
      <c r="DR12" s="539" t="s">
        <v>931</v>
      </c>
      <c r="DS12" s="539" t="s">
        <v>932</v>
      </c>
      <c r="DT12" s="539"/>
      <c r="DU12" s="539" t="s">
        <v>933</v>
      </c>
      <c r="DV12" s="539" t="s">
        <v>934</v>
      </c>
      <c r="DW12" s="539" t="s">
        <v>935</v>
      </c>
      <c r="DX12" s="539" t="s">
        <v>936</v>
      </c>
      <c r="DY12" s="539" t="s">
        <v>937</v>
      </c>
      <c r="DZ12" s="539" t="s">
        <v>938</v>
      </c>
      <c r="EA12" s="687" t="s">
        <v>939</v>
      </c>
      <c r="EB12" s="687" t="s">
        <v>940</v>
      </c>
      <c r="EC12" s="687" t="s">
        <v>941</v>
      </c>
      <c r="ED12" s="687" t="s">
        <v>942</v>
      </c>
      <c r="EH12" s="535"/>
    </row>
    <row r="13" spans="1:134" s="423" customFormat="1" ht="12.75">
      <c r="A13" s="524">
        <v>1</v>
      </c>
      <c r="B13" s="541" t="s">
        <v>434</v>
      </c>
      <c r="C13" s="542"/>
      <c r="D13" s="543"/>
      <c r="E13" s="543"/>
      <c r="F13" s="543"/>
      <c r="G13" s="543"/>
      <c r="H13" s="543"/>
      <c r="I13" s="543"/>
      <c r="J13" s="543"/>
      <c r="K13" s="543"/>
      <c r="L13" s="543"/>
      <c r="M13" s="543"/>
      <c r="N13" s="664"/>
      <c r="O13" s="543"/>
      <c r="P13" s="543"/>
      <c r="Q13" s="543"/>
      <c r="R13" s="543"/>
      <c r="S13" s="543"/>
      <c r="T13" s="543"/>
      <c r="U13" s="543"/>
      <c r="V13" s="543"/>
      <c r="W13" s="543"/>
      <c r="X13" s="543"/>
      <c r="Z13" s="543"/>
      <c r="AA13" s="543"/>
      <c r="AB13" s="543"/>
      <c r="AC13" s="543"/>
      <c r="AD13" s="543"/>
      <c r="AE13" s="543"/>
      <c r="AF13" s="543"/>
      <c r="AG13" s="543"/>
      <c r="AH13" s="543"/>
      <c r="AI13" s="543"/>
      <c r="AK13" s="543"/>
      <c r="AL13" s="543"/>
      <c r="AM13" s="543"/>
      <c r="AN13" s="543"/>
      <c r="AO13" s="543"/>
      <c r="AP13" s="543"/>
      <c r="AQ13" s="543"/>
      <c r="AR13" s="543"/>
      <c r="AS13" s="543"/>
      <c r="AT13" s="543"/>
      <c r="AV13" s="543"/>
      <c r="AW13" s="543"/>
      <c r="AX13" s="543"/>
      <c r="AY13" s="543"/>
      <c r="AZ13" s="543"/>
      <c r="BA13" s="543"/>
      <c r="BB13" s="543"/>
      <c r="BC13" s="543"/>
      <c r="BD13" s="543"/>
      <c r="BE13" s="543"/>
      <c r="BG13" s="543"/>
      <c r="BH13" s="543"/>
      <c r="BI13" s="543"/>
      <c r="BJ13" s="543"/>
      <c r="BK13" s="543"/>
      <c r="BL13" s="543"/>
      <c r="BM13" s="543"/>
      <c r="BN13" s="543"/>
      <c r="BO13" s="543"/>
      <c r="BP13" s="543"/>
      <c r="BR13" s="543"/>
      <c r="BS13" s="543"/>
      <c r="BT13" s="543"/>
      <c r="BU13" s="543"/>
      <c r="BV13" s="543"/>
      <c r="BW13" s="543"/>
      <c r="BX13" s="543"/>
      <c r="BY13" s="543"/>
      <c r="BZ13" s="543"/>
      <c r="CA13" s="543"/>
      <c r="CC13" s="543"/>
      <c r="CD13" s="543"/>
      <c r="CE13" s="543"/>
      <c r="CF13" s="543"/>
      <c r="CG13" s="543"/>
      <c r="CH13" s="543"/>
      <c r="CI13" s="543"/>
      <c r="CJ13" s="543"/>
      <c r="CK13" s="543"/>
      <c r="CL13" s="543"/>
      <c r="CN13" s="543"/>
      <c r="CO13" s="543"/>
      <c r="CP13" s="543"/>
      <c r="CQ13" s="543"/>
      <c r="CR13" s="543"/>
      <c r="CS13" s="543"/>
      <c r="CT13" s="543"/>
      <c r="CU13" s="543"/>
      <c r="CV13" s="543"/>
      <c r="CW13" s="543"/>
      <c r="CY13" s="543"/>
      <c r="CZ13" s="543"/>
      <c r="DA13" s="543"/>
      <c r="DB13" s="543"/>
      <c r="DC13" s="543"/>
      <c r="DD13" s="543"/>
      <c r="DE13" s="543"/>
      <c r="DF13" s="543"/>
      <c r="DG13" s="543"/>
      <c r="DH13" s="543"/>
      <c r="DJ13" s="543"/>
      <c r="DK13" s="543"/>
      <c r="DL13" s="543"/>
      <c r="DM13" s="543"/>
      <c r="DN13" s="543"/>
      <c r="DO13" s="543"/>
      <c r="DP13" s="543"/>
      <c r="DQ13" s="543"/>
      <c r="DR13" s="543"/>
      <c r="DS13" s="543"/>
      <c r="DU13" s="543"/>
      <c r="DV13" s="543"/>
      <c r="DW13" s="543"/>
      <c r="DX13" s="543"/>
      <c r="DY13" s="543"/>
      <c r="DZ13" s="543"/>
      <c r="EA13" s="543"/>
      <c r="EB13" s="543"/>
      <c r="EC13" s="543"/>
      <c r="ED13" s="543"/>
    </row>
    <row r="14" spans="1:138" s="423" customFormat="1" ht="12.75">
      <c r="A14" s="524">
        <f>1+A13</f>
        <v>2</v>
      </c>
      <c r="B14" s="337" t="s">
        <v>1110</v>
      </c>
      <c r="C14" s="420" t="s">
        <v>798</v>
      </c>
      <c r="D14" s="544">
        <v>-28754017.91</v>
      </c>
      <c r="E14" s="544">
        <f>ROUND(+$D14*'[5]II-F Alloc_Factor'!E$40,2)</f>
        <v>-13348548.039999999</v>
      </c>
      <c r="F14" s="544">
        <f>ROUND(+$D14*'[5]II-F Alloc_Factor'!F$40,2)</f>
        <v>0</v>
      </c>
      <c r="G14" s="544">
        <f>ROUND(+$D14*'[5]II-F Alloc_Factor'!G$40,2)</f>
        <v>-17029.84</v>
      </c>
      <c r="H14" s="544">
        <f>ROUND(+$D14*'[5]II-F Alloc_Factor'!H$40,2)</f>
        <v>-13365577.880000001</v>
      </c>
      <c r="I14" s="544">
        <f>ROUND(+$D14*'[5]II-F Alloc_Factor'!I$40,2)</f>
        <v>-14476293.24</v>
      </c>
      <c r="J14" s="544">
        <f>ROUND(+$D14*'[5]II-F Alloc_Factor'!J$40,2)</f>
        <v>0</v>
      </c>
      <c r="K14" s="544">
        <f>ROUND(+$D14*'[5]II-F Alloc_Factor'!K$40,2)</f>
        <v>-14476293.24</v>
      </c>
      <c r="L14" s="544">
        <f>ROUND(+$D14*'[5]II-F Alloc_Factor'!L$40,2)</f>
        <v>-492320.67999999999</v>
      </c>
      <c r="M14" s="544">
        <f>ROUND(+$D14*'[5]II-F Alloc_Factor'!M$40,2)</f>
        <v>-419826.10999999999</v>
      </c>
      <c r="N14" s="665"/>
      <c r="O14" s="105">
        <v>-28430893.52</v>
      </c>
      <c r="P14" s="544">
        <f>ROUND(+$O14*'[5]II-F Alloc_Factor'!E$40,2)</f>
        <v>-13198543.210000001</v>
      </c>
      <c r="Q14" s="544">
        <f>ROUND(+$O14*'[5]II-F Alloc_Factor'!F$40,2)</f>
        <v>0</v>
      </c>
      <c r="R14" s="544">
        <f>ROUND(+$O14*'[5]II-F Alloc_Factor'!G$40,2)</f>
        <v>-16838.470000000001</v>
      </c>
      <c r="S14" s="544">
        <f>ROUND(+$O14*'[5]II-F Alloc_Factor'!H$40,2)</f>
        <v>-13215381.68</v>
      </c>
      <c r="T14" s="544">
        <f>ROUND(+$O14*'[5]II-F Alloc_Factor'!I$40,2)</f>
        <v>-14313615.34</v>
      </c>
      <c r="U14" s="544">
        <f>ROUND(+$O14*'[5]II-F Alloc_Factor'!J$40,2)</f>
        <v>0</v>
      </c>
      <c r="V14" s="544">
        <f>ROUND(+$O14*'[5]II-F Alloc_Factor'!K$40,2)</f>
        <v>-14313615.34</v>
      </c>
      <c r="W14" s="544">
        <f>ROUND(+$O14*'[5]II-F Alloc_Factor'!L$40,2)</f>
        <v>-486788.21000000002</v>
      </c>
      <c r="X14" s="544">
        <f>ROUND(+$O14*'[5]II-F Alloc_Factor'!M$40,2)</f>
        <v>-415108.29999999999</v>
      </c>
      <c r="Z14" s="544">
        <v>-28375031.280000001</v>
      </c>
      <c r="AA14" s="544">
        <f>ROUND(+$Z14*'[5]II-F Alloc_Factor'!E$40,2)</f>
        <v>-13172610.15</v>
      </c>
      <c r="AB14" s="544">
        <f>ROUND(+$Z14*'[5]II-F Alloc_Factor'!F$40,2)</f>
        <v>0</v>
      </c>
      <c r="AC14" s="544">
        <f>ROUND(+$Z14*'[5]II-F Alloc_Factor'!G$40,2)</f>
        <v>-16805.380000000001</v>
      </c>
      <c r="AD14" s="544">
        <f>ROUND(+$Z14*'[5]II-F Alloc_Factor'!H$40,2)</f>
        <v>-13189415.529999999</v>
      </c>
      <c r="AE14" s="544">
        <f>ROUND(+$Z14*'[5]II-F Alloc_Factor'!I$40,2)</f>
        <v>-14285491.33</v>
      </c>
      <c r="AF14" s="544">
        <f>ROUND(+$Z14*'[5]II-F Alloc_Factor'!J$40,2)</f>
        <v>0</v>
      </c>
      <c r="AG14" s="544">
        <f>ROUND(+$Z14*'[5]II-F Alloc_Factor'!K$40,2)</f>
        <v>-14285491.33</v>
      </c>
      <c r="AH14" s="544">
        <f>ROUND(+$Z14*'[5]II-F Alloc_Factor'!L$40,2)</f>
        <v>-485831.75</v>
      </c>
      <c r="AI14" s="544">
        <f>ROUND(+$Z14*'[5]II-F Alloc_Factor'!M$40,2)</f>
        <v>-414292.66999999998</v>
      </c>
      <c r="AK14" s="544">
        <v>-28647113.420000002</v>
      </c>
      <c r="AL14" s="544">
        <f>ROUND(+$AK14*'[5]II-F Alloc_Factor'!E$40,2)</f>
        <v>-13298919.5</v>
      </c>
      <c r="AM14" s="544">
        <f>ROUND(+$AK14*'[5]II-F Alloc_Factor'!F$40,2)</f>
        <v>0</v>
      </c>
      <c r="AN14" s="544">
        <f>ROUND(+$AK14*'[5]II-F Alloc_Factor'!G$40,2)</f>
        <v>-16966.529999999999</v>
      </c>
      <c r="AO14" s="544">
        <f>ROUND(+$AK14*'[5]II-F Alloc_Factor'!H$40,2)</f>
        <v>-13315886.029999999</v>
      </c>
      <c r="AP14" s="544">
        <f>ROUND(+$AK14*'[5]II-F Alloc_Factor'!I$40,2)</f>
        <v>-14422471.869999999</v>
      </c>
      <c r="AQ14" s="544">
        <f>ROUND(+$AK14*'[5]II-F Alloc_Factor'!J$40,2)</f>
        <v>0</v>
      </c>
      <c r="AR14" s="544">
        <f>ROUND(+$AK14*'[5]II-F Alloc_Factor'!K$40,2)</f>
        <v>-14422471.869999999</v>
      </c>
      <c r="AS14" s="544">
        <f>ROUND(+$AK14*'[5]II-F Alloc_Factor'!L$40,2)</f>
        <v>-490490.28000000003</v>
      </c>
      <c r="AT14" s="544">
        <f>ROUND(+$AK14*'[5]II-F Alloc_Factor'!M$40,2)</f>
        <v>-418265.23999999999</v>
      </c>
      <c r="AV14" s="544">
        <v>-30994284.790000003</v>
      </c>
      <c r="AW14" s="544">
        <f>ROUND(+$AV14*'[5]II-F Alloc_Factor'!E$40,2)</f>
        <v>-14388552.609999999</v>
      </c>
      <c r="AX14" s="544">
        <f>ROUND(+$AV14*'[5]II-F Alloc_Factor'!F$40,2)</f>
        <v>0</v>
      </c>
      <c r="AY14" s="544">
        <f>ROUND(+$AV14*'[5]II-F Alloc_Factor'!G$40,2)</f>
        <v>-18356.66</v>
      </c>
      <c r="AZ14" s="544">
        <f>ROUND(+$AV14*'[5]II-F Alloc_Factor'!H$40,2)</f>
        <v>-14406909.27</v>
      </c>
      <c r="BA14" s="544">
        <f>ROUND(+$AV14*'[5]II-F Alloc_Factor'!I$40,2)</f>
        <v>-15604162.060000001</v>
      </c>
      <c r="BB14" s="544">
        <f>ROUND(+$AV14*'[5]II-F Alloc_Factor'!J$40,2)</f>
        <v>0</v>
      </c>
      <c r="BC14" s="544">
        <f>ROUND(+$AV14*'[5]II-F Alloc_Factor'!K$40,2)</f>
        <v>-15604162.060000001</v>
      </c>
      <c r="BD14" s="544">
        <f>ROUND(+$AV14*'[5]II-F Alloc_Factor'!L$40,2)</f>
        <v>-530678.08999999997</v>
      </c>
      <c r="BE14" s="544">
        <f>ROUND(+$AV14*'[5]II-F Alloc_Factor'!M$40,2)</f>
        <v>-452535.37</v>
      </c>
      <c r="BG14" s="544">
        <v>-31244377.990000002</v>
      </c>
      <c r="BH14" s="544">
        <f>ROUND(+$BG14*'[5]II-F Alloc_Factor'!E$40,2)</f>
        <v>-14504653.98</v>
      </c>
      <c r="BI14" s="544">
        <f>ROUND(+$BG14*'[5]II-F Alloc_Factor'!F$40,2)</f>
        <v>0</v>
      </c>
      <c r="BJ14" s="544">
        <f>ROUND(+$BG14*'[5]II-F Alloc_Factor'!G$40,2)</f>
        <v>-18504.779999999999</v>
      </c>
      <c r="BK14" s="544">
        <f>ROUND(+$BG14*'[5]II-F Alloc_Factor'!H$40,2)</f>
        <v>-14523158.77</v>
      </c>
      <c r="BL14" s="544">
        <f>ROUND(+$BG14*'[5]II-F Alloc_Factor'!I$40,2)</f>
        <v>-15730072.210000001</v>
      </c>
      <c r="BM14" s="544">
        <f>ROUND(+$BG14*'[5]II-F Alloc_Factor'!J$40,2)</f>
        <v>0</v>
      </c>
      <c r="BN14" s="544">
        <f>ROUND(+$BG14*'[5]II-F Alloc_Factor'!K$40,2)</f>
        <v>-15730072.210000001</v>
      </c>
      <c r="BO14" s="544">
        <f>ROUND(+$BG14*'[5]II-F Alloc_Factor'!L$40,2)</f>
        <v>-534960.14000000001</v>
      </c>
      <c r="BP14" s="544">
        <f>ROUND(+$BG14*'[5]II-F Alloc_Factor'!M$40,2)</f>
        <v>-456186.88</v>
      </c>
      <c r="BR14" s="544">
        <v>-31148910.130000003</v>
      </c>
      <c r="BS14" s="544">
        <f>ROUND(+$BR14*'[5]II-F Alloc_Factor'!E$40,2)</f>
        <v>-14460334.710000001</v>
      </c>
      <c r="BT14" s="544">
        <f>ROUND(+$BR14*'[5]II-F Alloc_Factor'!F$40,2)</f>
        <v>0</v>
      </c>
      <c r="BU14" s="544">
        <f>ROUND(+$BR14*'[5]II-F Alloc_Factor'!G$40,2)</f>
        <v>-18448.240000000002</v>
      </c>
      <c r="BV14" s="544">
        <f>ROUND(+$BR14*'[5]II-F Alloc_Factor'!H$40,2)</f>
        <v>-14478782.949999999</v>
      </c>
      <c r="BW14" s="544">
        <f>ROUND(+$BR14*'[5]II-F Alloc_Factor'!I$40,2)</f>
        <v>-15682008.640000001</v>
      </c>
      <c r="BX14" s="544">
        <f>ROUND(+$BR14*'[5]II-F Alloc_Factor'!J$40,2)</f>
        <v>0</v>
      </c>
      <c r="BY14" s="544">
        <f>ROUND(+$BR14*'[5]II-F Alloc_Factor'!K$40,2)</f>
        <v>-15682008.640000001</v>
      </c>
      <c r="BZ14" s="544">
        <f>ROUND(+$BR14*'[5]II-F Alloc_Factor'!L$40,2)</f>
        <v>-533325.56000000006</v>
      </c>
      <c r="CA14" s="544">
        <f>ROUND(+$BR14*'[5]II-F Alloc_Factor'!M$40,2)</f>
        <v>-454792.98999999999</v>
      </c>
      <c r="CC14" s="544">
        <v>-31025130.480000004</v>
      </c>
      <c r="CD14" s="544">
        <f>ROUND(+$CC14*'[5]II-F Alloc_Factor'!E$40,2)</f>
        <v>-14402872.18</v>
      </c>
      <c r="CE14" s="544">
        <f>ROUND(+$CC14*'[5]II-F Alloc_Factor'!F$40,2)</f>
        <v>0</v>
      </c>
      <c r="CF14" s="544">
        <f>ROUND(+$CC14*'[5]II-F Alloc_Factor'!G$40,2)</f>
        <v>-18374.93</v>
      </c>
      <c r="CG14" s="544">
        <f>ROUND(+$CC14*'[5]II-F Alloc_Factor'!H$40,2)</f>
        <v>-14421247.109999999</v>
      </c>
      <c r="CH14" s="544">
        <f>ROUND(+$CC14*'[5]II-F Alloc_Factor'!I$40,2)</f>
        <v>-15619691.41</v>
      </c>
      <c r="CI14" s="544">
        <f>ROUND(+$CC14*'[5]II-F Alloc_Factor'!J$40,2)</f>
        <v>0</v>
      </c>
      <c r="CJ14" s="544">
        <f>ROUND(+$CC14*'[5]II-F Alloc_Factor'!K$40,2)</f>
        <v>-15619691.41</v>
      </c>
      <c r="CK14" s="544">
        <f>ROUND(+$CC14*'[5]II-F Alloc_Factor'!L$40,2)</f>
        <v>-531206.22999999998</v>
      </c>
      <c r="CL14" s="544">
        <f>ROUND(+$CC14*'[5]II-F Alloc_Factor'!M$40,2)</f>
        <v>-452985.72999999998</v>
      </c>
      <c r="CN14" s="544">
        <v>-31423957.760000005</v>
      </c>
      <c r="CO14" s="544">
        <f>ROUND(+$CN14*'[5]II-F Alloc_Factor'!E$40,2)</f>
        <v>-14588020.74</v>
      </c>
      <c r="CP14" s="544">
        <f>ROUND(+$CN14*'[5]II-F Alloc_Factor'!F$40,2)</f>
        <v>0</v>
      </c>
      <c r="CQ14" s="544">
        <f>ROUND(+$CN14*'[5]II-F Alloc_Factor'!G$40,2)</f>
        <v>-18611.139999999999</v>
      </c>
      <c r="CR14" s="544">
        <f>ROUND(+$CN14*'[5]II-F Alloc_Factor'!H$40,2)</f>
        <v>-14606631.880000001</v>
      </c>
      <c r="CS14" s="544">
        <f>ROUND(+$CN14*'[5]II-F Alloc_Factor'!I$40,2)</f>
        <v>-15820482.16</v>
      </c>
      <c r="CT14" s="544">
        <f>ROUND(+$CN14*'[5]II-F Alloc_Factor'!J$40,2)</f>
        <v>0</v>
      </c>
      <c r="CU14" s="544">
        <f>ROUND(+$CN14*'[5]II-F Alloc_Factor'!K$40,2)</f>
        <v>-15820482.16</v>
      </c>
      <c r="CV14" s="544">
        <f>ROUND(+$CN14*'[5]II-F Alloc_Factor'!L$40,2)</f>
        <v>-538034.87</v>
      </c>
      <c r="CW14" s="544">
        <f>ROUND(+$CN14*'[5]II-F Alloc_Factor'!M$40,2)</f>
        <v>-458808.84999999998</v>
      </c>
      <c r="CY14" s="544">
        <v>-30778901.580000006</v>
      </c>
      <c r="CZ14" s="544">
        <f>ROUND(+$CY14*'[5]II-F Alloc_Factor'!E$40,2)</f>
        <v>-14288564.73</v>
      </c>
      <c r="DA14" s="544">
        <f>ROUND(+$CY14*'[5]II-F Alloc_Factor'!F$40,2)</f>
        <v>0</v>
      </c>
      <c r="DB14" s="544">
        <f>ROUND(+$CY14*'[5]II-F Alloc_Factor'!G$40,2)</f>
        <v>-18229.099999999999</v>
      </c>
      <c r="DC14" s="544">
        <f>ROUND(+$CY14*'[5]II-F Alloc_Factor'!H$40,2)</f>
        <v>-14306793.83</v>
      </c>
      <c r="DD14" s="544">
        <f>ROUND(+$CY14*'[5]II-F Alloc_Factor'!I$40,2)</f>
        <v>-15495726.76</v>
      </c>
      <c r="DE14" s="544">
        <f>ROUND(+$CY14*'[5]II-F Alloc_Factor'!J$40,2)</f>
        <v>0</v>
      </c>
      <c r="DF14" s="544">
        <f>ROUND(+$CY14*'[5]II-F Alloc_Factor'!K$40,2)</f>
        <v>-15495726.76</v>
      </c>
      <c r="DG14" s="544">
        <f>ROUND(+$CY14*'[5]II-F Alloc_Factor'!L$40,2)</f>
        <v>-526990.33999999997</v>
      </c>
      <c r="DH14" s="544">
        <f>ROUND(+$CY14*'[5]II-F Alloc_Factor'!M$40,2)</f>
        <v>-449390.64000000001</v>
      </c>
      <c r="DJ14" s="544">
        <v>-30646323.760000005</v>
      </c>
      <c r="DK14" s="544">
        <f>ROUND(+$DJ14*'[5]II-F Alloc_Factor'!E$40,2)</f>
        <v>-14227017.810000001</v>
      </c>
      <c r="DL14" s="544">
        <f>ROUND(+$DJ14*'[5]II-F Alloc_Factor'!F$40,2)</f>
        <v>0</v>
      </c>
      <c r="DM14" s="544">
        <f>ROUND(+$DJ14*'[5]II-F Alloc_Factor'!G$40,2)</f>
        <v>-18150.580000000002</v>
      </c>
      <c r="DN14" s="544">
        <f>ROUND(+$DJ14*'[5]II-F Alloc_Factor'!H$40,2)</f>
        <v>-14245168.380000001</v>
      </c>
      <c r="DO14" s="544">
        <f>ROUND(+$DJ14*'[5]II-F Alloc_Factor'!I$40,2)</f>
        <v>-15428980.08</v>
      </c>
      <c r="DP14" s="544">
        <f>ROUND(+$DJ14*'[5]II-F Alloc_Factor'!J$40,2)</f>
        <v>0</v>
      </c>
      <c r="DQ14" s="544">
        <f>ROUND(+$DJ14*'[5]II-F Alloc_Factor'!K$40,2)</f>
        <v>-15428980.08</v>
      </c>
      <c r="DR14" s="544">
        <f>ROUND(+$DJ14*'[5]II-F Alloc_Factor'!L$40,2)</f>
        <v>-524720.37</v>
      </c>
      <c r="DS14" s="544">
        <f>ROUND(+$DJ14*'[5]II-F Alloc_Factor'!M$40,2)</f>
        <v>-447454.91999999998</v>
      </c>
      <c r="DU14" s="544">
        <v>-29212843.500000004</v>
      </c>
      <c r="DV14" s="544">
        <f>ROUND(+$DU14*'[5]II-F Alloc_Factor'!E$40,2)</f>
        <v>-13561549.76</v>
      </c>
      <c r="DW14" s="544">
        <f>ROUND(+$DU14*'[5]II-F Alloc_Factor'!F$40,2)</f>
        <v>0</v>
      </c>
      <c r="DX14" s="544">
        <f>ROUND(+$DU14*'[5]II-F Alloc_Factor'!G$40,2)</f>
        <v>-17301.59</v>
      </c>
      <c r="DY14" s="544">
        <f>SUM(DV14:DX14)</f>
        <v>-13578851.35</v>
      </c>
      <c r="DZ14" s="544">
        <f>ROUND(+$DU14*'[5]II-F Alloc_Factor'!I$40,2)</f>
        <v>-14707290.310000001</v>
      </c>
      <c r="EA14" s="544">
        <f>ROUND(+$DU14*'[5]II-F Alloc_Factor'!J$40,2)</f>
        <v>0</v>
      </c>
      <c r="EB14" s="544">
        <f>SUM(DZ14:EA14)</f>
        <v>-14707290.310000001</v>
      </c>
      <c r="EC14" s="544">
        <f>ROUND(+$DU14*'[5]II-F Alloc_Factor'!L$40,2)</f>
        <v>-500176.59999999998</v>
      </c>
      <c r="ED14" s="544">
        <f>ROUND(+$DU14*'[5]II-F Alloc_Factor'!M$40,2)</f>
        <v>-426525.23999999999</v>
      </c>
      <c r="EE14" s="754">
        <f>+DU14+'II-E-3.5'!K20</f>
        <v>0</v>
      </c>
      <c r="EF14" s="754">
        <f>+DY14+EB14+EC14+ED14-DU14</f>
        <v>0</v>
      </c>
      <c r="EH14" s="754"/>
    </row>
    <row r="15" spans="1:138" s="421" customFormat="1" ht="12.75">
      <c r="A15" s="524">
        <f t="shared" si="0" ref="A15:A18">1+A14</f>
        <v>3</v>
      </c>
      <c r="B15" s="184" t="s">
        <v>625</v>
      </c>
      <c r="C15" s="420" t="s">
        <v>798</v>
      </c>
      <c r="D15" s="668">
        <v>-100285.61</v>
      </c>
      <c r="E15" s="668">
        <f>ROUND(+$D15*'[5]II-F Alloc_Factor'!E$40,2)</f>
        <v>-46555.830000000002</v>
      </c>
      <c r="F15" s="668">
        <f>ROUND(+$D15*'[5]II-F Alloc_Factor'!F$40,2)</f>
        <v>0</v>
      </c>
      <c r="G15" s="668">
        <f>ROUND(+$D15*'[5]II-F Alloc_Factor'!G$40,2)</f>
        <v>-59.399999999999999</v>
      </c>
      <c r="H15" s="668">
        <f>ROUND(+$D15*'[5]II-F Alloc_Factor'!H$40,2)</f>
        <v>-46615.230000000003</v>
      </c>
      <c r="I15" s="668">
        <f>ROUND(+$D15*'[5]II-F Alloc_Factor'!I$40,2)</f>
        <v>-50489.080000000002</v>
      </c>
      <c r="J15" s="668">
        <f>ROUND(+$D15*'[5]II-F Alloc_Factor'!J$40,2)</f>
        <v>0</v>
      </c>
      <c r="K15" s="668">
        <f>ROUND(+$D15*'[5]II-F Alloc_Factor'!K$40,2)</f>
        <v>-50489.080000000002</v>
      </c>
      <c r="L15" s="668">
        <f>ROUND(+$D15*'[5]II-F Alloc_Factor'!L$40,2)</f>
        <v>-1717.0699999999999</v>
      </c>
      <c r="M15" s="668">
        <f>ROUND(+$D15*'[5]II-F Alloc_Factor'!M$40,2)</f>
        <v>-1464.23</v>
      </c>
      <c r="N15" s="669"/>
      <c r="O15" s="102">
        <v>-107985.75</v>
      </c>
      <c r="P15" s="668">
        <f>ROUND(+$O15*'[5]II-F Alloc_Factor'!E$40,2)</f>
        <v>-50130.489999999998</v>
      </c>
      <c r="Q15" s="668">
        <f>ROUND(+$O15*'[5]II-F Alloc_Factor'!F$40,2)</f>
        <v>0</v>
      </c>
      <c r="R15" s="668">
        <f>ROUND(+$O15*'[5]II-F Alloc_Factor'!G$40,2)</f>
        <v>-63.960000000000001</v>
      </c>
      <c r="S15" s="668">
        <f>ROUND(+$O15*'[5]II-F Alloc_Factor'!H$40,2)</f>
        <v>-50194.440000000002</v>
      </c>
      <c r="T15" s="668">
        <f>ROUND(+$O15*'[5]II-F Alloc_Factor'!I$40,2)</f>
        <v>-54365.739999999998</v>
      </c>
      <c r="U15" s="668">
        <f>ROUND(+$O15*'[5]II-F Alloc_Factor'!J$40,2)</f>
        <v>0</v>
      </c>
      <c r="V15" s="668">
        <f>ROUND(+$O15*'[5]II-F Alloc_Factor'!K$40,2)</f>
        <v>-54365.739999999998</v>
      </c>
      <c r="W15" s="668">
        <f>ROUND(+$O15*'[5]II-F Alloc_Factor'!L$40,2)</f>
        <v>-1848.9100000000001</v>
      </c>
      <c r="X15" s="668">
        <f>ROUND(+$O15*'[5]II-F Alloc_Factor'!M$40,2)</f>
        <v>-1576.6600000000001</v>
      </c>
      <c r="Y15" s="423"/>
      <c r="Z15" s="668">
        <v>-115685.89999999999</v>
      </c>
      <c r="AA15" s="668">
        <f>ROUND(+$Z15*'[5]II-F Alloc_Factor'!E$40,2)</f>
        <v>-53705.150000000001</v>
      </c>
      <c r="AB15" s="668">
        <f>ROUND(+$Z15*'[5]II-F Alloc_Factor'!F$40,2)</f>
        <v>0</v>
      </c>
      <c r="AC15" s="668">
        <f>ROUND(+$Z15*'[5]II-F Alloc_Factor'!G$40,2)</f>
        <v>-68.519999999999996</v>
      </c>
      <c r="AD15" s="668">
        <f>ROUND(+$Z15*'[5]II-F Alloc_Factor'!H$40,2)</f>
        <v>-53773.660000000003</v>
      </c>
      <c r="AE15" s="668">
        <f>ROUND(+$Z15*'[5]II-F Alloc_Factor'!I$40,2)</f>
        <v>-58242.400000000001</v>
      </c>
      <c r="AF15" s="668">
        <f>ROUND(+$Z15*'[5]II-F Alloc_Factor'!J$40,2)</f>
        <v>0</v>
      </c>
      <c r="AG15" s="668">
        <f>ROUND(+$Z15*'[5]II-F Alloc_Factor'!K$40,2)</f>
        <v>-58242.400000000001</v>
      </c>
      <c r="AH15" s="668">
        <f>ROUND(+$Z15*'[5]II-F Alloc_Factor'!L$40,2)</f>
        <v>-1980.75</v>
      </c>
      <c r="AI15" s="668">
        <f>ROUND(+$Z15*'[5]II-F Alloc_Factor'!M$40,2)</f>
        <v>-1689.0799999999999</v>
      </c>
      <c r="AJ15" s="423"/>
      <c r="AK15" s="668">
        <v>-123386.03999999999</v>
      </c>
      <c r="AL15" s="668">
        <f>ROUND(+$AK15*'[5]II-F Alloc_Factor'!E$40,2)</f>
        <v>-57279.800000000003</v>
      </c>
      <c r="AM15" s="668">
        <f>ROUND(+$AK15*'[5]II-F Alloc_Factor'!F$40,2)</f>
        <v>0</v>
      </c>
      <c r="AN15" s="668">
        <f>ROUND(+$AK15*'[5]II-F Alloc_Factor'!G$40,2)</f>
        <v>-73.079999999999998</v>
      </c>
      <c r="AO15" s="668">
        <f>ROUND(+$AK15*'[5]II-F Alloc_Factor'!H$40,2)</f>
        <v>-57352.879999999997</v>
      </c>
      <c r="AP15" s="668">
        <f>ROUND(+$AK15*'[5]II-F Alloc_Factor'!I$40,2)</f>
        <v>-62119.059999999998</v>
      </c>
      <c r="AQ15" s="668">
        <f>ROUND(+$AK15*'[5]II-F Alloc_Factor'!J$40,2)</f>
        <v>0</v>
      </c>
      <c r="AR15" s="668">
        <f>ROUND(+$AK15*'[5]II-F Alloc_Factor'!K$40,2)</f>
        <v>-62119.059999999998</v>
      </c>
      <c r="AS15" s="668">
        <f>ROUND(+$AK15*'[5]II-F Alloc_Factor'!L$40,2)</f>
        <v>-2112.5900000000001</v>
      </c>
      <c r="AT15" s="668">
        <f>ROUND(+$AK15*'[5]II-F Alloc_Factor'!M$40,2)</f>
        <v>-1801.51</v>
      </c>
      <c r="AU15" s="423"/>
      <c r="AV15" s="668">
        <v>-131086.17999999999</v>
      </c>
      <c r="AW15" s="668">
        <f>ROUND(+$AV15*'[5]II-F Alloc_Factor'!E$40,2)</f>
        <v>-60854.459999999999</v>
      </c>
      <c r="AX15" s="668">
        <f>ROUND(+$AV15*'[5]II-F Alloc_Factor'!F$40,2)</f>
        <v>0</v>
      </c>
      <c r="AY15" s="668">
        <f>ROUND(+$AV15*'[5]II-F Alloc_Factor'!G$40,2)</f>
        <v>-77.640000000000001</v>
      </c>
      <c r="AZ15" s="668">
        <f>ROUND(+$AV15*'[5]II-F Alloc_Factor'!H$40,2)</f>
        <v>-60932.089999999997</v>
      </c>
      <c r="BA15" s="668">
        <f>ROUND(+$AV15*'[5]II-F Alloc_Factor'!I$40,2)</f>
        <v>-65995.720000000001</v>
      </c>
      <c r="BB15" s="668">
        <f>ROUND(+$AV15*'[5]II-F Alloc_Factor'!J$40,2)</f>
        <v>0</v>
      </c>
      <c r="BC15" s="668">
        <f>ROUND(+$AV15*'[5]II-F Alloc_Factor'!K$40,2)</f>
        <v>-65995.720000000001</v>
      </c>
      <c r="BD15" s="668">
        <f>ROUND(+$AV15*'[5]II-F Alloc_Factor'!L$40,2)</f>
        <v>-2244.4299999999998</v>
      </c>
      <c r="BE15" s="668">
        <f>ROUND(+$AV15*'[5]II-F Alloc_Factor'!M$40,2)</f>
        <v>-1913.9400000000001</v>
      </c>
      <c r="BF15" s="423"/>
      <c r="BG15" s="668">
        <v>-138786.32000000001</v>
      </c>
      <c r="BH15" s="668">
        <f>ROUND(+$BG15*'[5]II-F Alloc_Factor'!E$40,2)</f>
        <v>-64429.110000000001</v>
      </c>
      <c r="BI15" s="668">
        <f>ROUND(+$BG15*'[5]II-F Alloc_Factor'!F$40,2)</f>
        <v>0</v>
      </c>
      <c r="BJ15" s="668">
        <f>ROUND(+$BG15*'[5]II-F Alloc_Factor'!G$40,2)</f>
        <v>-82.200000000000003</v>
      </c>
      <c r="BK15" s="668">
        <f>ROUND(+$BG15*'[5]II-F Alloc_Factor'!H$40,2)</f>
        <v>-64511.309999999998</v>
      </c>
      <c r="BL15" s="668">
        <f>ROUND(+$BG15*'[5]II-F Alloc_Factor'!I$40,2)</f>
        <v>-69872.369999999995</v>
      </c>
      <c r="BM15" s="668">
        <f>ROUND(+$BG15*'[5]II-F Alloc_Factor'!J$40,2)</f>
        <v>0</v>
      </c>
      <c r="BN15" s="668">
        <f>ROUND(+$BG15*'[5]II-F Alloc_Factor'!K$40,2)</f>
        <v>-69872.369999999995</v>
      </c>
      <c r="BO15" s="668">
        <f>ROUND(+$BG15*'[5]II-F Alloc_Factor'!L$40,2)</f>
        <v>-2376.27</v>
      </c>
      <c r="BP15" s="668">
        <f>ROUND(+$BG15*'[5]II-F Alloc_Factor'!M$40,2)</f>
        <v>-2026.3599999999999</v>
      </c>
      <c r="BQ15" s="423"/>
      <c r="BR15" s="668">
        <v>-146486.46000000002</v>
      </c>
      <c r="BS15" s="668">
        <f>ROUND(+$BR15*'[5]II-F Alloc_Factor'!E$40,2)</f>
        <v>-68003.770000000004</v>
      </c>
      <c r="BT15" s="668">
        <f>ROUND(+$BR15*'[5]II-F Alloc_Factor'!F$40,2)</f>
        <v>0</v>
      </c>
      <c r="BU15" s="668">
        <f>ROUND(+$BR15*'[5]II-F Alloc_Factor'!G$40,2)</f>
        <v>-86.760000000000005</v>
      </c>
      <c r="BV15" s="668">
        <f>ROUND(+$BR15*'[5]II-F Alloc_Factor'!H$40,2)</f>
        <v>-68090.529999999999</v>
      </c>
      <c r="BW15" s="668">
        <f>ROUND(+$BR15*'[5]II-F Alloc_Factor'!I$40,2)</f>
        <v>-73749.029999999999</v>
      </c>
      <c r="BX15" s="668">
        <f>ROUND(+$BR15*'[5]II-F Alloc_Factor'!J$40,2)</f>
        <v>0</v>
      </c>
      <c r="BY15" s="668">
        <f>ROUND(+$BR15*'[5]II-F Alloc_Factor'!K$40,2)</f>
        <v>-73749.029999999999</v>
      </c>
      <c r="BZ15" s="668">
        <f>ROUND(+$BR15*'[5]II-F Alloc_Factor'!L$40,2)</f>
        <v>-2508.1100000000001</v>
      </c>
      <c r="CA15" s="668">
        <f>ROUND(+$BR15*'[5]II-F Alloc_Factor'!M$40,2)</f>
        <v>-2138.79</v>
      </c>
      <c r="CB15" s="423"/>
      <c r="CC15" s="668">
        <v>-154186.61000000002</v>
      </c>
      <c r="CD15" s="668">
        <f>ROUND(+$CC15*'[5]II-F Alloc_Factor'!E$40,2)</f>
        <v>-71578.429999999993</v>
      </c>
      <c r="CE15" s="668">
        <f>ROUND(+$CC15*'[5]II-F Alloc_Factor'!F$40,2)</f>
        <v>0</v>
      </c>
      <c r="CF15" s="668">
        <f>ROUND(+$CC15*'[5]II-F Alloc_Factor'!G$40,2)</f>
        <v>-91.319999999999993</v>
      </c>
      <c r="CG15" s="668">
        <f>ROUND(+$CC15*'[5]II-F Alloc_Factor'!H$40,2)</f>
        <v>-71669.75</v>
      </c>
      <c r="CH15" s="668">
        <f>ROUND(+$CC15*'[5]II-F Alloc_Factor'!I$40,2)</f>
        <v>-77625.690000000002</v>
      </c>
      <c r="CI15" s="668">
        <f>ROUND(+$CC15*'[5]II-F Alloc_Factor'!J$40,2)</f>
        <v>0</v>
      </c>
      <c r="CJ15" s="668">
        <f>ROUND(+$CC15*'[5]II-F Alloc_Factor'!K$40,2)</f>
        <v>-77625.690000000002</v>
      </c>
      <c r="CK15" s="668">
        <f>ROUND(+$CC15*'[5]II-F Alloc_Factor'!L$40,2)</f>
        <v>-2639.9499999999998</v>
      </c>
      <c r="CL15" s="668">
        <f>ROUND(+$CC15*'[5]II-F Alloc_Factor'!M$40,2)</f>
        <v>-2251.2199999999998</v>
      </c>
      <c r="CM15" s="423"/>
      <c r="CN15" s="668">
        <v>-469787.60999999999</v>
      </c>
      <c r="CO15" s="668">
        <f>ROUND(+$CN15*'[5]II-F Alloc_Factor'!E$40,2)</f>
        <v>-218090.64999999999</v>
      </c>
      <c r="CP15" s="668">
        <f>ROUND(+$CN15*'[5]II-F Alloc_Factor'!F$40,2)</f>
        <v>0</v>
      </c>
      <c r="CQ15" s="668">
        <f>ROUND(+$CN15*'[5]II-F Alloc_Factor'!G$40,2)</f>
        <v>-278.24000000000001</v>
      </c>
      <c r="CR15" s="668">
        <f>ROUND(+$CN15*'[5]II-F Alloc_Factor'!H$40,2)</f>
        <v>-218368.89000000001</v>
      </c>
      <c r="CS15" s="668">
        <f>ROUND(+$CN15*'[5]II-F Alloc_Factor'!I$40,2)</f>
        <v>-236515.92999999999</v>
      </c>
      <c r="CT15" s="668">
        <f>ROUND(+$CN15*'[5]II-F Alloc_Factor'!J$40,2)</f>
        <v>0</v>
      </c>
      <c r="CU15" s="668">
        <f>ROUND(+$CN15*'[5]II-F Alloc_Factor'!K$40,2)</f>
        <v>-236515.92999999999</v>
      </c>
      <c r="CV15" s="668">
        <f>ROUND(+$CN15*'[5]II-F Alloc_Factor'!L$40,2)</f>
        <v>-8043.6099999999997</v>
      </c>
      <c r="CW15" s="668">
        <f>ROUND(+$CN15*'[5]II-F Alloc_Factor'!M$40,2)</f>
        <v>-6859.1800000000003</v>
      </c>
      <c r="CX15" s="423"/>
      <c r="CY15" s="668">
        <v>-494377.37</v>
      </c>
      <c r="CZ15" s="668">
        <f>ROUND(+$CY15*'[5]II-F Alloc_Factor'!E$40,2)</f>
        <v>-229506.01999999999</v>
      </c>
      <c r="DA15" s="668">
        <f>ROUND(+$CY15*'[5]II-F Alloc_Factor'!F$40,2)</f>
        <v>0</v>
      </c>
      <c r="DB15" s="668">
        <f>ROUND(+$CY15*'[5]II-F Alloc_Factor'!G$40,2)</f>
        <v>-292.80000000000001</v>
      </c>
      <c r="DC15" s="668">
        <f>ROUND(+$CY15*'[5]II-F Alloc_Factor'!H$40,2)</f>
        <v>-229798.81</v>
      </c>
      <c r="DD15" s="668">
        <f>ROUND(+$CY15*'[5]II-F Alloc_Factor'!I$40,2)</f>
        <v>-248895.70999999999</v>
      </c>
      <c r="DE15" s="668">
        <f>ROUND(+$CY15*'[5]II-F Alloc_Factor'!J$40,2)</f>
        <v>0</v>
      </c>
      <c r="DF15" s="668">
        <f>ROUND(+$CY15*'[5]II-F Alloc_Factor'!K$40,2)</f>
        <v>-248895.70999999999</v>
      </c>
      <c r="DG15" s="668">
        <f>ROUND(+$CY15*'[5]II-F Alloc_Factor'!L$40,2)</f>
        <v>-8464.6299999999992</v>
      </c>
      <c r="DH15" s="668">
        <f>ROUND(+$CY15*'[5]II-F Alloc_Factor'!M$40,2)</f>
        <v>-7218.21</v>
      </c>
      <c r="DI15" s="423"/>
      <c r="DJ15" s="668">
        <v>-518967.13</v>
      </c>
      <c r="DK15" s="668">
        <f>ROUND(+$DJ15*'[5]II-F Alloc_Factor'!E$40,2)</f>
        <v>-240921.38000000001</v>
      </c>
      <c r="DL15" s="668">
        <f>ROUND(+$DJ15*'[5]II-F Alloc_Factor'!F$40,2)</f>
        <v>0</v>
      </c>
      <c r="DM15" s="668">
        <f>ROUND(+$DJ15*'[5]II-F Alloc_Factor'!G$40,2)</f>
        <v>-307.36000000000001</v>
      </c>
      <c r="DN15" s="668">
        <f>ROUND(+$DJ15*'[5]II-F Alloc_Factor'!H$40,2)</f>
        <v>-241228.73999999999</v>
      </c>
      <c r="DO15" s="668">
        <f>ROUND(+$DJ15*'[5]II-F Alloc_Factor'!I$40,2)</f>
        <v>-261275.5</v>
      </c>
      <c r="DP15" s="668">
        <f>ROUND(+$DJ15*'[5]II-F Alloc_Factor'!J$40,2)</f>
        <v>0</v>
      </c>
      <c r="DQ15" s="668">
        <f>ROUND(+$DJ15*'[5]II-F Alloc_Factor'!K$40,2)</f>
        <v>-261275.5</v>
      </c>
      <c r="DR15" s="668">
        <f>ROUND(+$DJ15*'[5]II-F Alloc_Factor'!L$40,2)</f>
        <v>-8885.6499999999996</v>
      </c>
      <c r="DS15" s="668">
        <f>ROUND(+$DJ15*'[5]II-F Alloc_Factor'!M$40,2)</f>
        <v>-7577.2399999999998</v>
      </c>
      <c r="DT15" s="423"/>
      <c r="DU15" s="668">
        <v>-529245.91000000003</v>
      </c>
      <c r="DV15" s="668">
        <f>ROUND(+$DU15*'[5]II-F Alloc_Factor'!E$40,2)</f>
        <v>-245693.12</v>
      </c>
      <c r="DW15" s="668">
        <f>ROUND(+$DU15*'[5]II-F Alloc_Factor'!F$40,2)</f>
        <v>0</v>
      </c>
      <c r="DX15" s="668">
        <f>ROUND(+$DU15*'[5]II-F Alloc_Factor'!G$40,2)</f>
        <v>-313.44999999999999</v>
      </c>
      <c r="DY15" s="668">
        <f t="shared" si="1" ref="DY15:DY31">SUM(DV15:DX15)</f>
        <v>-246006.57000000001</v>
      </c>
      <c r="DZ15" s="668">
        <f>ROUND(+$DU15*'[5]II-F Alloc_Factor'!I$40,2)</f>
        <v>-266450.38</v>
      </c>
      <c r="EA15" s="668">
        <f>ROUND(+$DU15*'[5]II-F Alloc_Factor'!J$40,2)</f>
        <v>0</v>
      </c>
      <c r="EB15" s="668">
        <f t="shared" si="2" ref="EB15:EB31">SUM(DZ15:EA15)</f>
        <v>-266450.38</v>
      </c>
      <c r="EC15" s="668">
        <f>ROUND(+$DU15*'[5]II-F Alloc_Factor'!L$40,2)</f>
        <v>-9061.6499999999996</v>
      </c>
      <c r="ED15" s="668">
        <f>ROUND(+$DU15*'[5]II-F Alloc_Factor'!M$40,2)</f>
        <v>-7727.3100000000004</v>
      </c>
      <c r="EE15" s="754">
        <f>+DU15+'II-E-3.5'!K21</f>
        <v>0</v>
      </c>
      <c r="EF15" s="754">
        <f t="shared" si="3" ref="EF15:EF31">+DY15+EB15+EC15+ED15-DU15</f>
        <v>0</v>
      </c>
      <c r="EH15" s="754"/>
    </row>
    <row r="16" spans="1:138" s="421" customFormat="1" ht="12.75">
      <c r="A16" s="524">
        <f t="shared" si="0"/>
        <v>4</v>
      </c>
      <c r="B16" s="184" t="s">
        <v>664</v>
      </c>
      <c r="C16" s="420" t="s">
        <v>798</v>
      </c>
      <c r="D16" s="668">
        <v>-21079624.84</v>
      </c>
      <c r="E16" s="668">
        <f>ROUND(+$D16*'[5]II-F Alloc_Factor'!E$40,2)</f>
        <v>-9785845.7799999993</v>
      </c>
      <c r="F16" s="668">
        <f>ROUND(+$D16*'[5]II-F Alloc_Factor'!F$40,2)</f>
        <v>0</v>
      </c>
      <c r="G16" s="668">
        <f>ROUND(+$D16*'[5]II-F Alloc_Factor'!G$40,2)</f>
        <v>-12484.610000000001</v>
      </c>
      <c r="H16" s="668">
        <f>ROUND(+$D16*'[5]II-F Alloc_Factor'!H$40,2)</f>
        <v>-9798330.3900000006</v>
      </c>
      <c r="I16" s="668">
        <f>ROUND(+$D16*'[5]II-F Alloc_Factor'!I$40,2)</f>
        <v>-10612597.92</v>
      </c>
      <c r="J16" s="668">
        <f>ROUND(+$D16*'[5]II-F Alloc_Factor'!J$40,2)</f>
        <v>0</v>
      </c>
      <c r="K16" s="668">
        <f>ROUND(+$D16*'[5]II-F Alloc_Factor'!K$40,2)</f>
        <v>-10612597.92</v>
      </c>
      <c r="L16" s="668">
        <f>ROUND(+$D16*'[5]II-F Alloc_Factor'!L$40,2)</f>
        <v>-360921.21999999997</v>
      </c>
      <c r="M16" s="668">
        <f>ROUND(+$D16*'[5]II-F Alloc_Factor'!M$40,2)</f>
        <v>-307775.31</v>
      </c>
      <c r="N16" s="669"/>
      <c r="O16" s="105">
        <v>-21466235.849999998</v>
      </c>
      <c r="P16" s="668">
        <f>ROUND(+$O16*'[5]II-F Alloc_Factor'!E$40,2)</f>
        <v>-9965323.1500000004</v>
      </c>
      <c r="Q16" s="668">
        <f>ROUND(+$O16*'[5]II-F Alloc_Factor'!F$40,2)</f>
        <v>0</v>
      </c>
      <c r="R16" s="668">
        <f>ROUND(+$O16*'[5]II-F Alloc_Factor'!G$40,2)</f>
        <v>-12713.58</v>
      </c>
      <c r="S16" s="668">
        <f>ROUND(+$O16*'[5]II-F Alloc_Factor'!H$40,2)</f>
        <v>-9978036.7300000004</v>
      </c>
      <c r="T16" s="668">
        <f>ROUND(+$O16*'[5]II-F Alloc_Factor'!I$40,2)</f>
        <v>-10807238.35</v>
      </c>
      <c r="U16" s="668">
        <f>ROUND(+$O16*'[5]II-F Alloc_Factor'!J$40,2)</f>
        <v>0</v>
      </c>
      <c r="V16" s="668">
        <f>ROUND(+$O16*'[5]II-F Alloc_Factor'!K$40,2)</f>
        <v>-10807238.35</v>
      </c>
      <c r="W16" s="668">
        <f>ROUND(+$O16*'[5]II-F Alloc_Factor'!L$40,2)</f>
        <v>-367540.70000000001</v>
      </c>
      <c r="X16" s="668">
        <f>ROUND(+$O16*'[5]II-F Alloc_Factor'!M$40,2)</f>
        <v>-313420.07000000001</v>
      </c>
      <c r="Y16" s="423"/>
      <c r="Z16" s="668">
        <v>-21774054.649999999</v>
      </c>
      <c r="AA16" s="668">
        <f>ROUND(+$Z16*'[5]II-F Alloc_Factor'!E$40,2)</f>
        <v>-10108222.630000001</v>
      </c>
      <c r="AB16" s="668">
        <f>ROUND(+$Z16*'[5]II-F Alloc_Factor'!F$40,2)</f>
        <v>0</v>
      </c>
      <c r="AC16" s="668">
        <f>ROUND(+$Z16*'[5]II-F Alloc_Factor'!G$40,2)</f>
        <v>-12895.889999999999</v>
      </c>
      <c r="AD16" s="668">
        <f>ROUND(+$Z16*'[5]II-F Alloc_Factor'!H$40,2)</f>
        <v>-10121118.52</v>
      </c>
      <c r="AE16" s="668">
        <f>ROUND(+$Z16*'[5]II-F Alloc_Factor'!I$40,2)</f>
        <v>-10962210.609999999</v>
      </c>
      <c r="AF16" s="668">
        <f>ROUND(+$Z16*'[5]II-F Alloc_Factor'!J$40,2)</f>
        <v>0</v>
      </c>
      <c r="AG16" s="668">
        <f>ROUND(+$Z16*'[5]II-F Alloc_Factor'!K$40,2)</f>
        <v>-10962210.609999999</v>
      </c>
      <c r="AH16" s="668">
        <f>ROUND(+$Z16*'[5]II-F Alloc_Factor'!L$40,2)</f>
        <v>-372811.10999999999</v>
      </c>
      <c r="AI16" s="668">
        <f>ROUND(+$Z16*'[5]II-F Alloc_Factor'!M$40,2)</f>
        <v>-317914.40999999997</v>
      </c>
      <c r="AJ16" s="423"/>
      <c r="AK16" s="668">
        <v>-22160324.359999999</v>
      </c>
      <c r="AL16" s="668">
        <f>ROUND(+$AK16*'[5]II-F Alloc_Factor'!E$40,2)</f>
        <v>-10287541.560000001</v>
      </c>
      <c r="AM16" s="668">
        <f>ROUND(+$AK16*'[5]II-F Alloc_Factor'!F$40,2)</f>
        <v>0</v>
      </c>
      <c r="AN16" s="668">
        <f>ROUND(+$AK16*'[5]II-F Alloc_Factor'!G$40,2)</f>
        <v>-13124.66</v>
      </c>
      <c r="AO16" s="668">
        <f>ROUND(+$AK16*'[5]II-F Alloc_Factor'!H$40,2)</f>
        <v>-10300666.220000001</v>
      </c>
      <c r="AP16" s="668">
        <f>ROUND(+$AK16*'[5]II-F Alloc_Factor'!I$40,2)</f>
        <v>-11156679.210000001</v>
      </c>
      <c r="AQ16" s="668">
        <f>ROUND(+$AK16*'[5]II-F Alloc_Factor'!J$40,2)</f>
        <v>0</v>
      </c>
      <c r="AR16" s="668">
        <f>ROUND(+$AK16*'[5]II-F Alloc_Factor'!K$40,2)</f>
        <v>-11156679.210000001</v>
      </c>
      <c r="AS16" s="668">
        <f>ROUND(+$AK16*'[5]II-F Alloc_Factor'!L$40,2)</f>
        <v>-379424.75</v>
      </c>
      <c r="AT16" s="668">
        <f>ROUND(+$AK16*'[5]II-F Alloc_Factor'!M$40,2)</f>
        <v>-323554.17999999999</v>
      </c>
      <c r="AU16" s="423"/>
      <c r="AV16" s="668">
        <v>-22532137.870000001</v>
      </c>
      <c r="AW16" s="668">
        <f>ROUND(+$AV16*'[5]II-F Alloc_Factor'!E$40,2)</f>
        <v>-10460149.449999999</v>
      </c>
      <c r="AX16" s="668">
        <f>ROUND(+$AV16*'[5]II-F Alloc_Factor'!F$40,2)</f>
        <v>0</v>
      </c>
      <c r="AY16" s="668">
        <f>ROUND(+$AV16*'[5]II-F Alloc_Factor'!G$40,2)</f>
        <v>-13344.870000000001</v>
      </c>
      <c r="AZ16" s="668">
        <f>ROUND(+$AV16*'[5]II-F Alloc_Factor'!H$40,2)</f>
        <v>-10473494.33</v>
      </c>
      <c r="BA16" s="668">
        <f>ROUND(+$AV16*'[5]II-F Alloc_Factor'!I$40,2)</f>
        <v>-11343869.789999999</v>
      </c>
      <c r="BB16" s="668">
        <f>ROUND(+$AV16*'[5]II-F Alloc_Factor'!J$40,2)</f>
        <v>0</v>
      </c>
      <c r="BC16" s="668">
        <f>ROUND(+$AV16*'[5]II-F Alloc_Factor'!K$40,2)</f>
        <v>-11343869.789999999</v>
      </c>
      <c r="BD16" s="668">
        <f>ROUND(+$AV16*'[5]II-F Alloc_Factor'!L$40,2)</f>
        <v>-385790.87</v>
      </c>
      <c r="BE16" s="668">
        <f>ROUND(+$AV16*'[5]II-F Alloc_Factor'!M$40,2)</f>
        <v>-328982.89000000001</v>
      </c>
      <c r="BF16" s="423"/>
      <c r="BG16" s="668">
        <v>-22911204.240000002</v>
      </c>
      <c r="BH16" s="668">
        <f>ROUND(+$BG16*'[5]II-F Alloc_Factor'!E$40,2)</f>
        <v>-10636124.359999999</v>
      </c>
      <c r="BI16" s="668">
        <f>ROUND(+$BG16*'[5]II-F Alloc_Factor'!F$40,2)</f>
        <v>0</v>
      </c>
      <c r="BJ16" s="668">
        <f>ROUND(+$BG16*'[5]II-F Alloc_Factor'!G$40,2)</f>
        <v>-13569.379999999999</v>
      </c>
      <c r="BK16" s="668">
        <f>ROUND(+$BG16*'[5]II-F Alloc_Factor'!H$40,2)</f>
        <v>-10649693.74</v>
      </c>
      <c r="BL16" s="668">
        <f>ROUND(+$BG16*'[5]II-F Alloc_Factor'!I$40,2)</f>
        <v>-11534711.85</v>
      </c>
      <c r="BM16" s="668">
        <f>ROUND(+$BG16*'[5]II-F Alloc_Factor'!J$40,2)</f>
        <v>0</v>
      </c>
      <c r="BN16" s="668">
        <f>ROUND(+$BG16*'[5]II-F Alloc_Factor'!K$40,2)</f>
        <v>-11534711.85</v>
      </c>
      <c r="BO16" s="668">
        <f>ROUND(+$BG16*'[5]II-F Alloc_Factor'!L$40,2)</f>
        <v>-392281.16999999998</v>
      </c>
      <c r="BP16" s="668">
        <f>ROUND(+$BG16*'[5]II-F Alloc_Factor'!M$40,2)</f>
        <v>-334517.47999999998</v>
      </c>
      <c r="BQ16" s="423"/>
      <c r="BR16" s="668">
        <v>-23284956.180000003</v>
      </c>
      <c r="BS16" s="668">
        <f>ROUND(+$BR16*'[5]II-F Alloc_Factor'!E$40,2)</f>
        <v>-10809632.140000001</v>
      </c>
      <c r="BT16" s="668">
        <f>ROUND(+$BR16*'[5]II-F Alloc_Factor'!F$40,2)</f>
        <v>0</v>
      </c>
      <c r="BU16" s="668">
        <f>ROUND(+$BR16*'[5]II-F Alloc_Factor'!G$40,2)</f>
        <v>-13790.74</v>
      </c>
      <c r="BV16" s="668">
        <f>ROUND(+$BR16*'[5]II-F Alloc_Factor'!H$40,2)</f>
        <v>-10823422.869999999</v>
      </c>
      <c r="BW16" s="668">
        <f>ROUND(+$BR16*'[5]II-F Alloc_Factor'!I$40,2)</f>
        <v>-11722878.34</v>
      </c>
      <c r="BX16" s="668">
        <f>ROUND(+$BR16*'[5]II-F Alloc_Factor'!J$40,2)</f>
        <v>0</v>
      </c>
      <c r="BY16" s="668">
        <f>ROUND(+$BR16*'[5]II-F Alloc_Factor'!K$40,2)</f>
        <v>-11722878.34</v>
      </c>
      <c r="BZ16" s="668">
        <f>ROUND(+$BR16*'[5]II-F Alloc_Factor'!L$40,2)</f>
        <v>-398680.46999999997</v>
      </c>
      <c r="CA16" s="668">
        <f>ROUND(+$BR16*'[5]II-F Alloc_Factor'!M$40,2)</f>
        <v>-339974.48999999999</v>
      </c>
      <c r="CB16" s="423"/>
      <c r="CC16" s="668">
        <v>-23665472.530000005</v>
      </c>
      <c r="CD16" s="668">
        <f>ROUND(+$CC16*'[5]II-F Alloc_Factor'!E$40,2)</f>
        <v>-10986280.17</v>
      </c>
      <c r="CE16" s="668">
        <f>ROUND(+$CC16*'[5]II-F Alloc_Factor'!F$40,2)</f>
        <v>0</v>
      </c>
      <c r="CF16" s="668">
        <f>ROUND(+$CC16*'[5]II-F Alloc_Factor'!G$40,2)</f>
        <v>-14016.1</v>
      </c>
      <c r="CG16" s="668">
        <f>ROUND(+$CC16*'[5]II-F Alloc_Factor'!H$40,2)</f>
        <v>-11000296.27</v>
      </c>
      <c r="CH16" s="668">
        <f>ROUND(+$CC16*'[5]II-F Alloc_Factor'!I$40,2)</f>
        <v>-11914450.390000001</v>
      </c>
      <c r="CI16" s="668">
        <f>ROUND(+$CC16*'[5]II-F Alloc_Factor'!J$40,2)</f>
        <v>0</v>
      </c>
      <c r="CJ16" s="668">
        <f>ROUND(+$CC16*'[5]II-F Alloc_Factor'!K$40,2)</f>
        <v>-11914450.390000001</v>
      </c>
      <c r="CK16" s="668">
        <f>ROUND(+$CC16*'[5]II-F Alloc_Factor'!L$40,2)</f>
        <v>-405195.59999999998</v>
      </c>
      <c r="CL16" s="668">
        <f>ROUND(+$CC16*'[5]II-F Alloc_Factor'!M$40,2)</f>
        <v>-345530.26000000001</v>
      </c>
      <c r="CM16" s="423"/>
      <c r="CN16" s="668">
        <v>-24034278.790000007</v>
      </c>
      <c r="CO16" s="668">
        <f>ROUND(+$CN16*'[5]II-F Alloc_Factor'!E$40,2)</f>
        <v>-11157492</v>
      </c>
      <c r="CP16" s="668">
        <f>ROUND(+$CN16*'[5]II-F Alloc_Factor'!F$40,2)</f>
        <v>0</v>
      </c>
      <c r="CQ16" s="668">
        <f>ROUND(+$CN16*'[5]II-F Alloc_Factor'!G$40,2)</f>
        <v>-14234.530000000001</v>
      </c>
      <c r="CR16" s="668">
        <f>ROUND(+$CN16*'[5]II-F Alloc_Factor'!H$40,2)</f>
        <v>-11171726.539999999</v>
      </c>
      <c r="CS16" s="668">
        <f>ROUND(+$CN16*'[5]II-F Alloc_Factor'!I$40,2)</f>
        <v>-12100126.970000001</v>
      </c>
      <c r="CT16" s="668">
        <f>ROUND(+$CN16*'[5]II-F Alloc_Factor'!J$40,2)</f>
        <v>0</v>
      </c>
      <c r="CU16" s="668">
        <f>ROUND(+$CN16*'[5]II-F Alloc_Factor'!K$40,2)</f>
        <v>-12100126.970000001</v>
      </c>
      <c r="CV16" s="668">
        <f>ROUND(+$CN16*'[5]II-F Alloc_Factor'!L$40,2)</f>
        <v>-411510.22999999998</v>
      </c>
      <c r="CW16" s="668">
        <f>ROUND(+$CN16*'[5]II-F Alloc_Factor'!M$40,2)</f>
        <v>-350915.04999999999</v>
      </c>
      <c r="CX16" s="423"/>
      <c r="CY16" s="668">
        <v>-24416167.180000007</v>
      </c>
      <c r="CZ16" s="668">
        <f>ROUND(+$CY16*'[5]II-F Alloc_Factor'!E$40,2)</f>
        <v>-11334776.99</v>
      </c>
      <c r="DA16" s="668">
        <f>ROUND(+$CY16*'[5]II-F Alloc_Factor'!F$40,2)</f>
        <v>0</v>
      </c>
      <c r="DB16" s="668">
        <f>ROUND(+$CY16*'[5]II-F Alloc_Factor'!G$40,2)</f>
        <v>-14460.709999999999</v>
      </c>
      <c r="DC16" s="668">
        <f>ROUND(+$CY16*'[5]II-F Alloc_Factor'!H$40,2)</f>
        <v>-11349237.69</v>
      </c>
      <c r="DD16" s="668">
        <f>ROUND(+$CY16*'[5]II-F Alloc_Factor'!I$40,2)</f>
        <v>-12292389.779999999</v>
      </c>
      <c r="DE16" s="668">
        <f>ROUND(+$CY16*'[5]II-F Alloc_Factor'!J$40,2)</f>
        <v>0</v>
      </c>
      <c r="DF16" s="668">
        <f>ROUND(+$CY16*'[5]II-F Alloc_Factor'!K$40,2)</f>
        <v>-12292389.779999999</v>
      </c>
      <c r="DG16" s="668">
        <f>ROUND(+$CY16*'[5]II-F Alloc_Factor'!L$40,2)</f>
        <v>-418048.84999999998</v>
      </c>
      <c r="DH16" s="668">
        <f>ROUND(+$CY16*'[5]II-F Alloc_Factor'!M$40,2)</f>
        <v>-356490.85999999999</v>
      </c>
      <c r="DI16" s="423"/>
      <c r="DJ16" s="668">
        <v>-24796020.300000008</v>
      </c>
      <c r="DK16" s="668">
        <f>ROUND(+$DJ16*'[5]II-F Alloc_Factor'!E$40,2)</f>
        <v>-11511117.130000001</v>
      </c>
      <c r="DL16" s="668">
        <f>ROUND(+$DJ16*'[5]II-F Alloc_Factor'!F$40,2)</f>
        <v>0</v>
      </c>
      <c r="DM16" s="668">
        <f>ROUND(+$DJ16*'[5]II-F Alloc_Factor'!G$40,2)</f>
        <v>-14685.68</v>
      </c>
      <c r="DN16" s="668">
        <f>ROUND(+$DJ16*'[5]II-F Alloc_Factor'!H$40,2)</f>
        <v>-11525802.810000001</v>
      </c>
      <c r="DO16" s="668">
        <f>ROUND(+$DJ16*'[5]II-F Alloc_Factor'!I$40,2)</f>
        <v>-12483627.93</v>
      </c>
      <c r="DP16" s="668">
        <f>ROUND(+$DJ16*'[5]II-F Alloc_Factor'!J$40,2)</f>
        <v>0</v>
      </c>
      <c r="DQ16" s="668">
        <f>ROUND(+$DJ16*'[5]II-F Alloc_Factor'!K$40,2)</f>
        <v>-12483627.93</v>
      </c>
      <c r="DR16" s="668">
        <f>ROUND(+$DJ16*'[5]II-F Alloc_Factor'!L$40,2)</f>
        <v>-424552.62</v>
      </c>
      <c r="DS16" s="668">
        <f>ROUND(+$DJ16*'[5]II-F Alloc_Factor'!M$40,2)</f>
        <v>-362036.94</v>
      </c>
      <c r="DT16" s="423"/>
      <c r="DU16" s="668">
        <v>-25610263.070000008</v>
      </c>
      <c r="DV16" s="668">
        <f>ROUND(+$DU16*'[5]II-F Alloc_Factor'!E$40,2)</f>
        <v>-11889115.039999999</v>
      </c>
      <c r="DW16" s="668">
        <f>ROUND(+$DU16*'[5]II-F Alloc_Factor'!F$40,2)</f>
        <v>0</v>
      </c>
      <c r="DX16" s="668">
        <f>ROUND(+$DU16*'[5]II-F Alloc_Factor'!G$40,2)</f>
        <v>-15167.92</v>
      </c>
      <c r="DY16" s="668">
        <f t="shared" si="1"/>
        <v>-11904282.959999999</v>
      </c>
      <c r="DZ16" s="668">
        <f>ROUND(+$DU16*'[5]II-F Alloc_Factor'!I$40,2)</f>
        <v>-12893560.800000001</v>
      </c>
      <c r="EA16" s="668">
        <f>ROUND(+$DU16*'[5]II-F Alloc_Factor'!J$40,2)</f>
        <v>0</v>
      </c>
      <c r="EB16" s="668">
        <f t="shared" si="2"/>
        <v>-12893560.800000001</v>
      </c>
      <c r="EC16" s="668">
        <f>ROUND(+$DU16*'[5]II-F Alloc_Factor'!L$40,2)</f>
        <v>-438493.91999999998</v>
      </c>
      <c r="ED16" s="668">
        <f>ROUND(+$DU16*'[5]II-F Alloc_Factor'!M$40,2)</f>
        <v>-373925.38</v>
      </c>
      <c r="EE16" s="754">
        <f>+DU16+'II-E-3.5'!K22</f>
        <v>0</v>
      </c>
      <c r="EF16" s="754">
        <f t="shared" si="3"/>
        <v>0.010000009089708328</v>
      </c>
      <c r="EH16" s="754"/>
    </row>
    <row r="17" spans="1:138" s="421" customFormat="1" ht="12.75">
      <c r="A17" s="524">
        <f t="shared" si="0"/>
        <v>5</v>
      </c>
      <c r="B17" s="184" t="s">
        <v>818</v>
      </c>
      <c r="C17" s="420" t="s">
        <v>799</v>
      </c>
      <c r="D17" s="668">
        <v>-131646258.79000001</v>
      </c>
      <c r="E17" s="668">
        <f>ROUND(+$D17*'[5]II-F Alloc_Factor'!E$41,2)</f>
        <v>0</v>
      </c>
      <c r="F17" s="668">
        <f>ROUND(+$D17*'[5]II-F Alloc_Factor'!F$41,2)</f>
        <v>-121694606.31</v>
      </c>
      <c r="G17" s="668">
        <f>ROUND(+$D17*'[5]II-F Alloc_Factor'!G$41,2)</f>
        <v>0</v>
      </c>
      <c r="H17" s="668">
        <f>ROUND(+$D17*'[5]II-F Alloc_Factor'!H$41,2)</f>
        <v>-121694606.31</v>
      </c>
      <c r="I17" s="668">
        <f>ROUND(+$D17*'[5]II-F Alloc_Factor'!I$41,2)</f>
        <v>0</v>
      </c>
      <c r="J17" s="668">
        <f>ROUND(+$D17*'[5]II-F Alloc_Factor'!J$41,2)</f>
        <v>-9951652.4800000004</v>
      </c>
      <c r="K17" s="668">
        <f>ROUND(+$D17*'[5]II-F Alloc_Factor'!K$41,2)</f>
        <v>-9951652.4800000004</v>
      </c>
      <c r="L17" s="668">
        <f>ROUND(+$D17*'[5]II-F Alloc_Factor'!L$41,2)</f>
        <v>0</v>
      </c>
      <c r="M17" s="668">
        <f>ROUND(+$D17*'[5]II-F Alloc_Factor'!M$41,2)</f>
        <v>0</v>
      </c>
      <c r="N17" s="669"/>
      <c r="O17" s="102">
        <v>-132382362.98</v>
      </c>
      <c r="P17" s="668">
        <f>ROUND(+$O17*'[5]II-F Alloc_Factor'!E$41,2)</f>
        <v>0</v>
      </c>
      <c r="Q17" s="668">
        <f>ROUND(+$O17*'[5]II-F Alloc_Factor'!F$41,2)</f>
        <v>-122375065.52</v>
      </c>
      <c r="R17" s="668">
        <f>ROUND(+$O17*'[5]II-F Alloc_Factor'!G$41,2)</f>
        <v>0</v>
      </c>
      <c r="S17" s="668">
        <f>ROUND(+$O17*'[5]II-F Alloc_Factor'!H$41,2)</f>
        <v>-122375065.52</v>
      </c>
      <c r="T17" s="668">
        <f>ROUND(+$O17*'[5]II-F Alloc_Factor'!I$41,2)</f>
        <v>0</v>
      </c>
      <c r="U17" s="668">
        <f>ROUND(+$O17*'[5]II-F Alloc_Factor'!J$41,2)</f>
        <v>-10007297.460000001</v>
      </c>
      <c r="V17" s="668">
        <f>ROUND(+$O17*'[5]II-F Alloc_Factor'!K$41,2)</f>
        <v>-10007297.460000001</v>
      </c>
      <c r="W17" s="668">
        <f>ROUND(+$O17*'[5]II-F Alloc_Factor'!L$41,2)</f>
        <v>0</v>
      </c>
      <c r="X17" s="668">
        <f>ROUND(+$O17*'[5]II-F Alloc_Factor'!M$41,2)</f>
        <v>0</v>
      </c>
      <c r="Y17" s="423"/>
      <c r="Z17" s="668">
        <v>-133159513.01000001</v>
      </c>
      <c r="AA17" s="668">
        <f>ROUND(+$Z17*'[5]II-F Alloc_Factor'!E$41,2)</f>
        <v>0</v>
      </c>
      <c r="AB17" s="668">
        <f>ROUND(+$Z17*'[5]II-F Alloc_Factor'!F$41,2)</f>
        <v>-123093467.76000001</v>
      </c>
      <c r="AC17" s="668">
        <f>ROUND(+$Z17*'[5]II-F Alloc_Factor'!G$41,2)</f>
        <v>0</v>
      </c>
      <c r="AD17" s="668">
        <f>ROUND(+$Z17*'[5]II-F Alloc_Factor'!H$41,2)</f>
        <v>-123093467.76000001</v>
      </c>
      <c r="AE17" s="668">
        <f>ROUND(+$Z17*'[5]II-F Alloc_Factor'!I$41,2)</f>
        <v>0</v>
      </c>
      <c r="AF17" s="668">
        <f>ROUND(+$Z17*'[5]II-F Alloc_Factor'!J$41,2)</f>
        <v>-10066045.25</v>
      </c>
      <c r="AG17" s="668">
        <f>ROUND(+$Z17*'[5]II-F Alloc_Factor'!K$41,2)</f>
        <v>-10066045.25</v>
      </c>
      <c r="AH17" s="668">
        <f>ROUND(+$Z17*'[5]II-F Alloc_Factor'!L$41,2)</f>
        <v>0</v>
      </c>
      <c r="AI17" s="668">
        <f>ROUND(+$Z17*'[5]II-F Alloc_Factor'!M$41,2)</f>
        <v>0</v>
      </c>
      <c r="AJ17" s="423"/>
      <c r="AK17" s="668">
        <v>-133925415.14</v>
      </c>
      <c r="AL17" s="668">
        <f>ROUND(+$AK17*'[5]II-F Alloc_Factor'!E$41,2)</f>
        <v>0</v>
      </c>
      <c r="AM17" s="668">
        <f>ROUND(+$AK17*'[5]II-F Alloc_Factor'!F$41,2)</f>
        <v>-123801472.37000001</v>
      </c>
      <c r="AN17" s="668">
        <f>ROUND(+$AK17*'[5]II-F Alloc_Factor'!G$41,2)</f>
        <v>0</v>
      </c>
      <c r="AO17" s="668">
        <f>ROUND(+$AK17*'[5]II-F Alloc_Factor'!H$41,2)</f>
        <v>-123801472.37000001</v>
      </c>
      <c r="AP17" s="668">
        <f>ROUND(+$AK17*'[5]II-F Alloc_Factor'!I$41,2)</f>
        <v>0</v>
      </c>
      <c r="AQ17" s="668">
        <f>ROUND(+$AK17*'[5]II-F Alloc_Factor'!J$41,2)</f>
        <v>-10123942.77</v>
      </c>
      <c r="AR17" s="668">
        <f>ROUND(+$AK17*'[5]II-F Alloc_Factor'!K$41,2)</f>
        <v>-10123942.77</v>
      </c>
      <c r="AS17" s="668">
        <f>ROUND(+$AK17*'[5]II-F Alloc_Factor'!L$41,2)</f>
        <v>0</v>
      </c>
      <c r="AT17" s="668">
        <f>ROUND(+$AK17*'[5]II-F Alloc_Factor'!M$41,2)</f>
        <v>0</v>
      </c>
      <c r="AU17" s="423"/>
      <c r="AV17" s="668">
        <v>-134691317.27000001</v>
      </c>
      <c r="AW17" s="668">
        <f>ROUND(+$AV17*'[5]II-F Alloc_Factor'!E$41,2)</f>
        <v>0</v>
      </c>
      <c r="AX17" s="668">
        <f>ROUND(+$AV17*'[5]II-F Alloc_Factor'!F$41,2)</f>
        <v>-124509476.98</v>
      </c>
      <c r="AY17" s="668">
        <f>ROUND(+$AV17*'[5]II-F Alloc_Factor'!G$41,2)</f>
        <v>0</v>
      </c>
      <c r="AZ17" s="668">
        <f>ROUND(+$AV17*'[5]II-F Alloc_Factor'!H$41,2)</f>
        <v>-124509476.98</v>
      </c>
      <c r="BA17" s="668">
        <f>ROUND(+$AV17*'[5]II-F Alloc_Factor'!I$41,2)</f>
        <v>0</v>
      </c>
      <c r="BB17" s="668">
        <f>ROUND(+$AV17*'[5]II-F Alloc_Factor'!J$41,2)</f>
        <v>-10181840.289999999</v>
      </c>
      <c r="BC17" s="668">
        <f>ROUND(+$AV17*'[5]II-F Alloc_Factor'!K$41,2)</f>
        <v>-10181840.289999999</v>
      </c>
      <c r="BD17" s="668">
        <f>ROUND(+$AV17*'[5]II-F Alloc_Factor'!L$41,2)</f>
        <v>0</v>
      </c>
      <c r="BE17" s="668">
        <f>ROUND(+$AV17*'[5]II-F Alloc_Factor'!M$41,2)</f>
        <v>0</v>
      </c>
      <c r="BF17" s="423"/>
      <c r="BG17" s="668">
        <v>-134989058.18000001</v>
      </c>
      <c r="BH17" s="668">
        <f>ROUND(+$BG17*'[5]II-F Alloc_Factor'!E$41,2)</f>
        <v>0</v>
      </c>
      <c r="BI17" s="668">
        <f>ROUND(+$BG17*'[5]II-F Alloc_Factor'!F$41,2)</f>
        <v>-124784710.5</v>
      </c>
      <c r="BJ17" s="668">
        <f>ROUND(+$BG17*'[5]II-F Alloc_Factor'!G$41,2)</f>
        <v>0</v>
      </c>
      <c r="BK17" s="668">
        <f>ROUND(+$BG17*'[5]II-F Alloc_Factor'!H$41,2)</f>
        <v>-124784710.5</v>
      </c>
      <c r="BL17" s="668">
        <f>ROUND(+$BG17*'[5]II-F Alloc_Factor'!I$41,2)</f>
        <v>0</v>
      </c>
      <c r="BM17" s="668">
        <f>ROUND(+$BG17*'[5]II-F Alloc_Factor'!J$41,2)</f>
        <v>-10204347.68</v>
      </c>
      <c r="BN17" s="668">
        <f>ROUND(+$BG17*'[5]II-F Alloc_Factor'!K$41,2)</f>
        <v>-10204347.68</v>
      </c>
      <c r="BO17" s="668">
        <f>ROUND(+$BG17*'[5]II-F Alloc_Factor'!L$41,2)</f>
        <v>0</v>
      </c>
      <c r="BP17" s="668">
        <f>ROUND(+$BG17*'[5]II-F Alloc_Factor'!M$41,2)</f>
        <v>0</v>
      </c>
      <c r="BQ17" s="423"/>
      <c r="BR17" s="668">
        <v>-135676933.45000002</v>
      </c>
      <c r="BS17" s="668">
        <f>ROUND(+$BR17*'[5]II-F Alloc_Factor'!E$41,2)</f>
        <v>0</v>
      </c>
      <c r="BT17" s="668">
        <f>ROUND(+$BR17*'[5]II-F Alloc_Factor'!F$41,2)</f>
        <v>-125420586.59999999</v>
      </c>
      <c r="BU17" s="668">
        <f>ROUND(+$BR17*'[5]II-F Alloc_Factor'!G$41,2)</f>
        <v>0</v>
      </c>
      <c r="BV17" s="668">
        <f>ROUND(+$BR17*'[5]II-F Alloc_Factor'!H$41,2)</f>
        <v>-125420586.59999999</v>
      </c>
      <c r="BW17" s="668">
        <f>ROUND(+$BR17*'[5]II-F Alloc_Factor'!I$41,2)</f>
        <v>0</v>
      </c>
      <c r="BX17" s="668">
        <f>ROUND(+$BR17*'[5]II-F Alloc_Factor'!J$41,2)</f>
        <v>-10256346.85</v>
      </c>
      <c r="BY17" s="668">
        <f>ROUND(+$BR17*'[5]II-F Alloc_Factor'!K$41,2)</f>
        <v>-10256346.85</v>
      </c>
      <c r="BZ17" s="668">
        <f>ROUND(+$BR17*'[5]II-F Alloc_Factor'!L$41,2)</f>
        <v>0</v>
      </c>
      <c r="CA17" s="668">
        <f>ROUND(+$BR17*'[5]II-F Alloc_Factor'!M$41,2)</f>
        <v>0</v>
      </c>
      <c r="CB17" s="423"/>
      <c r="CC17" s="668">
        <v>-136364808.71000001</v>
      </c>
      <c r="CD17" s="668">
        <f>ROUND(+$CC17*'[5]II-F Alloc_Factor'!E$41,2)</f>
        <v>0</v>
      </c>
      <c r="CE17" s="668">
        <f>ROUND(+$CC17*'[5]II-F Alloc_Factor'!F$41,2)</f>
        <v>-126056462.7</v>
      </c>
      <c r="CF17" s="668">
        <f>ROUND(+$CC17*'[5]II-F Alloc_Factor'!G$41,2)</f>
        <v>0</v>
      </c>
      <c r="CG17" s="668">
        <f>ROUND(+$CC17*'[5]II-F Alloc_Factor'!H$41,2)</f>
        <v>-126056462.7</v>
      </c>
      <c r="CH17" s="668">
        <f>ROUND(+$CC17*'[5]II-F Alloc_Factor'!I$41,2)</f>
        <v>0</v>
      </c>
      <c r="CI17" s="668">
        <f>ROUND(+$CC17*'[5]II-F Alloc_Factor'!J$41,2)</f>
        <v>-10308346.01</v>
      </c>
      <c r="CJ17" s="668">
        <f>ROUND(+$CC17*'[5]II-F Alloc_Factor'!K$41,2)</f>
        <v>-10308346.01</v>
      </c>
      <c r="CK17" s="668">
        <f>ROUND(+$CC17*'[5]II-F Alloc_Factor'!L$41,2)</f>
        <v>0</v>
      </c>
      <c r="CL17" s="668">
        <f>ROUND(+$CC17*'[5]II-F Alloc_Factor'!M$41,2)</f>
        <v>0</v>
      </c>
      <c r="CM17" s="423"/>
      <c r="CN17" s="668">
        <v>-137475210.83000001</v>
      </c>
      <c r="CO17" s="668">
        <f>ROUND(+$CN17*'[5]II-F Alloc_Factor'!E$41,2)</f>
        <v>0</v>
      </c>
      <c r="CP17" s="668">
        <f>ROUND(+$CN17*'[5]II-F Alloc_Factor'!F$41,2)</f>
        <v>-127082925.2</v>
      </c>
      <c r="CQ17" s="668">
        <f>ROUND(+$CN17*'[5]II-F Alloc_Factor'!G$41,2)</f>
        <v>0</v>
      </c>
      <c r="CR17" s="668">
        <f>ROUND(+$CN17*'[5]II-F Alloc_Factor'!H$41,2)</f>
        <v>-127082925.2</v>
      </c>
      <c r="CS17" s="668">
        <f>ROUND(+$CN17*'[5]II-F Alloc_Factor'!I$41,2)</f>
        <v>0</v>
      </c>
      <c r="CT17" s="668">
        <f>ROUND(+$CN17*'[5]II-F Alloc_Factor'!J$41,2)</f>
        <v>-10392285.630000001</v>
      </c>
      <c r="CU17" s="668">
        <f>ROUND(+$CN17*'[5]II-F Alloc_Factor'!K$41,2)</f>
        <v>-10392285.630000001</v>
      </c>
      <c r="CV17" s="668">
        <f>ROUND(+$CN17*'[5]II-F Alloc_Factor'!L$41,2)</f>
        <v>0</v>
      </c>
      <c r="CW17" s="668">
        <f>ROUND(+$CN17*'[5]II-F Alloc_Factor'!M$41,2)</f>
        <v>0</v>
      </c>
      <c r="CX17" s="423"/>
      <c r="CY17" s="668">
        <v>-138183865.90000001</v>
      </c>
      <c r="CZ17" s="668">
        <f>ROUND(+$CY17*'[5]II-F Alloc_Factor'!E$41,2)</f>
        <v>0</v>
      </c>
      <c r="DA17" s="668">
        <f>ROUND(+$CY17*'[5]II-F Alloc_Factor'!F$41,2)</f>
        <v>-127738010.28</v>
      </c>
      <c r="DB17" s="668">
        <f>ROUND(+$CY17*'[5]II-F Alloc_Factor'!G$41,2)</f>
        <v>0</v>
      </c>
      <c r="DC17" s="668">
        <f>ROUND(+$CY17*'[5]II-F Alloc_Factor'!H$41,2)</f>
        <v>-127738010.28</v>
      </c>
      <c r="DD17" s="668">
        <f>ROUND(+$CY17*'[5]II-F Alloc_Factor'!I$41,2)</f>
        <v>0</v>
      </c>
      <c r="DE17" s="668">
        <f>ROUND(+$CY17*'[5]II-F Alloc_Factor'!J$41,2)</f>
        <v>-10445855.619999999</v>
      </c>
      <c r="DF17" s="668">
        <f>ROUND(+$CY17*'[5]II-F Alloc_Factor'!K$41,2)</f>
        <v>-10445855.619999999</v>
      </c>
      <c r="DG17" s="668">
        <f>ROUND(+$CY17*'[5]II-F Alloc_Factor'!L$41,2)</f>
        <v>0</v>
      </c>
      <c r="DH17" s="668">
        <f>ROUND(+$CY17*'[5]II-F Alloc_Factor'!M$41,2)</f>
        <v>0</v>
      </c>
      <c r="DI17" s="423"/>
      <c r="DJ17" s="668">
        <v>-138892520.98000002</v>
      </c>
      <c r="DK17" s="668">
        <f>ROUND(+$DJ17*'[5]II-F Alloc_Factor'!E$41,2)</f>
        <v>0</v>
      </c>
      <c r="DL17" s="668">
        <f>ROUND(+$DJ17*'[5]II-F Alloc_Factor'!F$41,2)</f>
        <v>-128393095.37000001</v>
      </c>
      <c r="DM17" s="668">
        <f>ROUND(+$DJ17*'[5]II-F Alloc_Factor'!G$41,2)</f>
        <v>0</v>
      </c>
      <c r="DN17" s="668">
        <f>ROUND(+$DJ17*'[5]II-F Alloc_Factor'!H$41,2)</f>
        <v>-128393095.37000001</v>
      </c>
      <c r="DO17" s="668">
        <f>ROUND(+$DJ17*'[5]II-F Alloc_Factor'!I$41,2)</f>
        <v>0</v>
      </c>
      <c r="DP17" s="668">
        <f>ROUND(+$DJ17*'[5]II-F Alloc_Factor'!J$41,2)</f>
        <v>-10499425.609999999</v>
      </c>
      <c r="DQ17" s="668">
        <f>ROUND(+$DJ17*'[5]II-F Alloc_Factor'!K$41,2)</f>
        <v>-10499425.609999999</v>
      </c>
      <c r="DR17" s="668">
        <f>ROUND(+$DJ17*'[5]II-F Alloc_Factor'!L$41,2)</f>
        <v>0</v>
      </c>
      <c r="DS17" s="668">
        <f>ROUND(+$DJ17*'[5]II-F Alloc_Factor'!M$41,2)</f>
        <v>0</v>
      </c>
      <c r="DT17" s="423"/>
      <c r="DU17" s="668">
        <v>-140031798.02000001</v>
      </c>
      <c r="DV17" s="668">
        <f>ROUND(+$DU17*'[5]II-F Alloc_Factor'!E$41,2)</f>
        <v>0</v>
      </c>
      <c r="DW17" s="668">
        <f>ROUND(+$DU17*'[5]II-F Alloc_Factor'!F$41,2)</f>
        <v>-129446250.03</v>
      </c>
      <c r="DX17" s="668">
        <f>ROUND(+$DU17*'[5]II-F Alloc_Factor'!G$41,2)</f>
        <v>0</v>
      </c>
      <c r="DY17" s="668">
        <f t="shared" si="1"/>
        <v>-129446250.03</v>
      </c>
      <c r="DZ17" s="668">
        <f>ROUND(+$DU17*'[5]II-F Alloc_Factor'!I$41,2)</f>
        <v>0</v>
      </c>
      <c r="EA17" s="668">
        <f>ROUND(+$DU17*'[5]II-F Alloc_Factor'!J$41,2)</f>
        <v>-10585547.99</v>
      </c>
      <c r="EB17" s="668">
        <f t="shared" si="2"/>
        <v>-10585547.99</v>
      </c>
      <c r="EC17" s="668">
        <f>ROUND(+$DU17*'[5]II-F Alloc_Factor'!L$41,2)</f>
        <v>0</v>
      </c>
      <c r="ED17" s="668">
        <f>ROUND(+$DU17*'[5]II-F Alloc_Factor'!M$41,2)</f>
        <v>0</v>
      </c>
      <c r="EE17" s="754">
        <f>+DU17+'II-E-3.5'!K23</f>
        <v>0</v>
      </c>
      <c r="EF17" s="754">
        <f t="shared" si="3"/>
        <v>0</v>
      </c>
      <c r="EH17" s="754"/>
    </row>
    <row r="18" spans="1:138" s="421" customFormat="1" ht="12.75">
      <c r="A18" s="524">
        <f t="shared" si="0"/>
        <v>6</v>
      </c>
      <c r="B18" s="184" t="s">
        <v>363</v>
      </c>
      <c r="C18" s="670" t="s">
        <v>405</v>
      </c>
      <c r="D18" s="668">
        <v>-97191457.36999999</v>
      </c>
      <c r="E18" s="668">
        <f>ROUND(+$D18*'[5]II-F Alloc_Factor'!E$31,2)</f>
        <v>-23438223.289999999</v>
      </c>
      <c r="F18" s="668">
        <f>ROUND(+$D18*'[5]II-F Alloc_Factor'!F$31,2)</f>
        <v>0</v>
      </c>
      <c r="G18" s="668">
        <f>ROUND(+$D18*'[5]II-F Alloc_Factor'!G$31,2)</f>
        <v>0</v>
      </c>
      <c r="H18" s="668">
        <f>ROUND(+$D18*'[5]II-F Alloc_Factor'!H$31,2)</f>
        <v>-23438223.289999999</v>
      </c>
      <c r="I18" s="668">
        <f>ROUND(+$D18*'[5]II-F Alloc_Factor'!I$31,2)</f>
        <v>-33138948.66</v>
      </c>
      <c r="J18" s="668">
        <f>ROUND(+$D18*'[5]II-F Alloc_Factor'!J$31,2)</f>
        <v>0</v>
      </c>
      <c r="K18" s="668">
        <f>ROUND(+$D18*'[5]II-F Alloc_Factor'!K$31,2)</f>
        <v>-33138948.66</v>
      </c>
      <c r="L18" s="668">
        <f>ROUND(+$D18*'[5]II-F Alloc_Factor'!L$31,2)</f>
        <v>-4774222.1900000004</v>
      </c>
      <c r="M18" s="668">
        <f>ROUND(+$D18*'[5]II-F Alloc_Factor'!M$31,2)</f>
        <v>-35840063.229999997</v>
      </c>
      <c r="N18" s="669"/>
      <c r="O18" s="102">
        <v>-98968593.089999989</v>
      </c>
      <c r="P18" s="668">
        <f>ROUND(+$O18*'[5]II-F Alloc_Factor'!E$31,2)</f>
        <v>-23866788.77</v>
      </c>
      <c r="Q18" s="668">
        <f>ROUND(+$O18*'[5]II-F Alloc_Factor'!F$31,2)</f>
        <v>0</v>
      </c>
      <c r="R18" s="668">
        <f>ROUND(+$O18*'[5]II-F Alloc_Factor'!G$31,2)</f>
        <v>0</v>
      </c>
      <c r="S18" s="668">
        <f>ROUND(+$O18*'[5]II-F Alloc_Factor'!H$31,2)</f>
        <v>-23866788.77</v>
      </c>
      <c r="T18" s="668">
        <f>ROUND(+$O18*'[5]II-F Alloc_Factor'!I$31,2)</f>
        <v>-33744890.899999999</v>
      </c>
      <c r="U18" s="668">
        <f>ROUND(+$O18*'[5]II-F Alloc_Factor'!J$31,2)</f>
        <v>0</v>
      </c>
      <c r="V18" s="668">
        <f>ROUND(+$O18*'[5]II-F Alloc_Factor'!K$31,2)</f>
        <v>-33744890.899999999</v>
      </c>
      <c r="W18" s="668">
        <f>ROUND(+$O18*'[5]II-F Alloc_Factor'!L$31,2)</f>
        <v>-4861518.3499999996</v>
      </c>
      <c r="X18" s="668">
        <f>ROUND(+$O18*'[5]II-F Alloc_Factor'!M$31,2)</f>
        <v>-36495395.07</v>
      </c>
      <c r="Y18" s="423"/>
      <c r="Z18" s="668">
        <v>-208282798.59</v>
      </c>
      <c r="AA18" s="668">
        <f>ROUND(+$Z18*'[5]II-F Alloc_Factor'!E$31,2)</f>
        <v>-50228475.560000002</v>
      </c>
      <c r="AB18" s="668">
        <f>ROUND(+$Z18*'[5]II-F Alloc_Factor'!F$31,2)</f>
        <v>0</v>
      </c>
      <c r="AC18" s="668">
        <f>ROUND(+$Z18*'[5]II-F Alloc_Factor'!G$31,2)</f>
        <v>0</v>
      </c>
      <c r="AD18" s="668">
        <f>ROUND(+$Z18*'[5]II-F Alloc_Factor'!H$31,2)</f>
        <v>-50228475.560000002</v>
      </c>
      <c r="AE18" s="668">
        <f>ROUND(+$Z18*'[5]II-F Alloc_Factor'!I$31,2)</f>
        <v>-71017280.290000007</v>
      </c>
      <c r="AF18" s="668">
        <f>ROUND(+$Z18*'[5]II-F Alloc_Factor'!J$31,2)</f>
        <v>0</v>
      </c>
      <c r="AG18" s="668">
        <f>ROUND(+$Z18*'[5]II-F Alloc_Factor'!K$31,2)</f>
        <v>-71017280.290000007</v>
      </c>
      <c r="AH18" s="668">
        <f>ROUND(+$Z18*'[5]II-F Alloc_Factor'!L$31,2)</f>
        <v>-10231232.1</v>
      </c>
      <c r="AI18" s="668">
        <f>ROUND(+$Z18*'[5]II-F Alloc_Factor'!M$31,2)</f>
        <v>-76805810.640000001</v>
      </c>
      <c r="AJ18" s="423"/>
      <c r="AK18" s="668">
        <v>-211533918.28999999</v>
      </c>
      <c r="AL18" s="668">
        <f>ROUND(+$AK18*'[5]II-F Alloc_Factor'!E$31,2)</f>
        <v>-51012499.909999996</v>
      </c>
      <c r="AM18" s="668">
        <f>ROUND(+$AK18*'[5]II-F Alloc_Factor'!F$31,2)</f>
        <v>0</v>
      </c>
      <c r="AN18" s="668">
        <f>ROUND(+$AK18*'[5]II-F Alloc_Factor'!G$31,2)</f>
        <v>0</v>
      </c>
      <c r="AO18" s="668">
        <f>ROUND(+$AK18*'[5]II-F Alloc_Factor'!H$31,2)</f>
        <v>-51012499.909999996</v>
      </c>
      <c r="AP18" s="668">
        <f>ROUND(+$AK18*'[5]II-F Alloc_Factor'!I$31,2)</f>
        <v>-72125800.439999998</v>
      </c>
      <c r="AQ18" s="668">
        <f>ROUND(+$AK18*'[5]II-F Alloc_Factor'!J$31,2)</f>
        <v>0</v>
      </c>
      <c r="AR18" s="668">
        <f>ROUND(+$AK18*'[5]II-F Alloc_Factor'!K$31,2)</f>
        <v>-72125800.439999998</v>
      </c>
      <c r="AS18" s="668">
        <f>ROUND(+$AK18*'[5]II-F Alloc_Factor'!L$31,2)</f>
        <v>-10390933.050000001</v>
      </c>
      <c r="AT18" s="668">
        <f>ROUND(+$AK18*'[5]II-F Alloc_Factor'!M$31,2)</f>
        <v>-78004684.890000001</v>
      </c>
      <c r="AU18" s="423"/>
      <c r="AV18" s="668">
        <v>-213649373.06999999</v>
      </c>
      <c r="AW18" s="668">
        <f>ROUND(+$AV18*'[5]II-F Alloc_Factor'!E$31,2)</f>
        <v>-51522652.789999999</v>
      </c>
      <c r="AX18" s="668">
        <f>ROUND(+$AV18*'[5]II-F Alloc_Factor'!F$31,2)</f>
        <v>0</v>
      </c>
      <c r="AY18" s="668">
        <f>ROUND(+$AV18*'[5]II-F Alloc_Factor'!G$31,2)</f>
        <v>0</v>
      </c>
      <c r="AZ18" s="668">
        <f>ROUND(+$AV18*'[5]II-F Alloc_Factor'!H$31,2)</f>
        <v>-51522652.789999999</v>
      </c>
      <c r="BA18" s="668">
        <f>ROUND(+$AV18*'[5]II-F Alloc_Factor'!I$31,2)</f>
        <v>-72847097.849999994</v>
      </c>
      <c r="BB18" s="668">
        <f>ROUND(+$AV18*'[5]II-F Alloc_Factor'!J$31,2)</f>
        <v>0</v>
      </c>
      <c r="BC18" s="668">
        <f>ROUND(+$AV18*'[5]II-F Alloc_Factor'!K$31,2)</f>
        <v>-72847097.849999994</v>
      </c>
      <c r="BD18" s="668">
        <f>ROUND(+$AV18*'[5]II-F Alloc_Factor'!L$31,2)</f>
        <v>-10494848.060000001</v>
      </c>
      <c r="BE18" s="668">
        <f>ROUND(+$AV18*'[5]II-F Alloc_Factor'!M$31,2)</f>
        <v>-78784774.370000005</v>
      </c>
      <c r="BF18" s="423"/>
      <c r="BG18" s="668">
        <v>-215975510.29999998</v>
      </c>
      <c r="BH18" s="668">
        <f>ROUND(+$BG18*'[5]II-F Alloc_Factor'!E$31,2)</f>
        <v>-52083612.829999998</v>
      </c>
      <c r="BI18" s="668">
        <f>ROUND(+$BG18*'[5]II-F Alloc_Factor'!F$31,2)</f>
        <v>0</v>
      </c>
      <c r="BJ18" s="668">
        <f>ROUND(+$BG18*'[5]II-F Alloc_Factor'!G$31,2)</f>
        <v>0</v>
      </c>
      <c r="BK18" s="668">
        <f>ROUND(+$BG18*'[5]II-F Alloc_Factor'!H$31,2)</f>
        <v>-52083612.829999998</v>
      </c>
      <c r="BL18" s="668">
        <f>ROUND(+$BG18*'[5]II-F Alloc_Factor'!I$31,2)</f>
        <v>-73640230.75</v>
      </c>
      <c r="BM18" s="668">
        <f>ROUND(+$BG18*'[5]II-F Alloc_Factor'!J$31,2)</f>
        <v>0</v>
      </c>
      <c r="BN18" s="668">
        <f>ROUND(+$BG18*'[5]II-F Alloc_Factor'!K$31,2)</f>
        <v>-73640230.75</v>
      </c>
      <c r="BO18" s="668">
        <f>ROUND(+$BG18*'[5]II-F Alloc_Factor'!L$31,2)</f>
        <v>-10609112.17</v>
      </c>
      <c r="BP18" s="668">
        <f>ROUND(+$BG18*'[5]II-F Alloc_Factor'!M$31,2)</f>
        <v>-79642554.540000007</v>
      </c>
      <c r="BQ18" s="423"/>
      <c r="BR18" s="668">
        <v>-218231114.70999998</v>
      </c>
      <c r="BS18" s="668">
        <f>ROUND(+$BR18*'[5]II-F Alloc_Factor'!E$31,2)</f>
        <v>-52627563.509999998</v>
      </c>
      <c r="BT18" s="668">
        <f>ROUND(+$BR18*'[5]II-F Alloc_Factor'!F$31,2)</f>
        <v>0</v>
      </c>
      <c r="BU18" s="668">
        <f>ROUND(+$BR18*'[5]II-F Alloc_Factor'!G$31,2)</f>
        <v>0</v>
      </c>
      <c r="BV18" s="668">
        <f>ROUND(+$BR18*'[5]II-F Alloc_Factor'!H$31,2)</f>
        <v>-52627563.509999998</v>
      </c>
      <c r="BW18" s="668">
        <f>ROUND(+$BR18*'[5]II-F Alloc_Factor'!I$31,2)</f>
        <v>-74409314.379999995</v>
      </c>
      <c r="BX18" s="668">
        <f>ROUND(+$BR18*'[5]II-F Alloc_Factor'!J$31,2)</f>
        <v>0</v>
      </c>
      <c r="BY18" s="668">
        <f>ROUND(+$BR18*'[5]II-F Alloc_Factor'!K$31,2)</f>
        <v>-74409314.379999995</v>
      </c>
      <c r="BZ18" s="668">
        <f>ROUND(+$BR18*'[5]II-F Alloc_Factor'!L$31,2)</f>
        <v>-10719911.59</v>
      </c>
      <c r="CA18" s="668">
        <f>ROUND(+$BR18*'[5]II-F Alloc_Factor'!M$31,2)</f>
        <v>-80474325.230000004</v>
      </c>
      <c r="CB18" s="423"/>
      <c r="CC18" s="668">
        <v>-220841462.72999999</v>
      </c>
      <c r="CD18" s="668">
        <f>ROUND(+$CC18*'[5]II-F Alloc_Factor'!E$31,2)</f>
        <v>-53257062.460000001</v>
      </c>
      <c r="CE18" s="668">
        <f>ROUND(+$CC18*'[5]II-F Alloc_Factor'!F$31,2)</f>
        <v>0</v>
      </c>
      <c r="CF18" s="668">
        <f>ROUND(+$CC18*'[5]II-F Alloc_Factor'!G$31,2)</f>
        <v>0</v>
      </c>
      <c r="CG18" s="668">
        <f>ROUND(+$CC18*'[5]II-F Alloc_Factor'!H$31,2)</f>
        <v>-53257062.460000001</v>
      </c>
      <c r="CH18" s="668">
        <f>ROUND(+$CC18*'[5]II-F Alloc_Factor'!I$31,2)</f>
        <v>-75299353.400000006</v>
      </c>
      <c r="CI18" s="668">
        <f>ROUND(+$CC18*'[5]II-F Alloc_Factor'!J$31,2)</f>
        <v>0</v>
      </c>
      <c r="CJ18" s="668">
        <f>ROUND(+$CC18*'[5]II-F Alloc_Factor'!K$31,2)</f>
        <v>-75299353.400000006</v>
      </c>
      <c r="CK18" s="668">
        <f>ROUND(+$CC18*'[5]II-F Alloc_Factor'!L$31,2)</f>
        <v>-10848136.66</v>
      </c>
      <c r="CL18" s="668">
        <f>ROUND(+$CC18*'[5]II-F Alloc_Factor'!M$31,2)</f>
        <v>-81436910.219999999</v>
      </c>
      <c r="CM18" s="423"/>
      <c r="CN18" s="668">
        <v>-223333954.63</v>
      </c>
      <c r="CO18" s="668">
        <f>ROUND(+$CN18*'[5]II-F Alloc_Factor'!E$31,2)</f>
        <v>-53858139.789999999</v>
      </c>
      <c r="CP18" s="668">
        <f>ROUND(+$CN18*'[5]II-F Alloc_Factor'!F$31,2)</f>
        <v>0</v>
      </c>
      <c r="CQ18" s="668">
        <f>ROUND(+$CN18*'[5]II-F Alloc_Factor'!G$31,2)</f>
        <v>0</v>
      </c>
      <c r="CR18" s="668">
        <f>ROUND(+$CN18*'[5]II-F Alloc_Factor'!H$31,2)</f>
        <v>-53858139.789999999</v>
      </c>
      <c r="CS18" s="668">
        <f>ROUND(+$CN18*'[5]II-F Alloc_Factor'!I$31,2)</f>
        <v>-76149207.519999996</v>
      </c>
      <c r="CT18" s="668">
        <f>ROUND(+$CN18*'[5]II-F Alloc_Factor'!J$31,2)</f>
        <v>0</v>
      </c>
      <c r="CU18" s="668">
        <f>ROUND(+$CN18*'[5]II-F Alloc_Factor'!K$31,2)</f>
        <v>-76149207.519999996</v>
      </c>
      <c r="CV18" s="668">
        <f>ROUND(+$CN18*'[5]II-F Alloc_Factor'!L$31,2)</f>
        <v>-10970572.42</v>
      </c>
      <c r="CW18" s="668">
        <f>ROUND(+$CN18*'[5]II-F Alloc_Factor'!M$31,2)</f>
        <v>-82356034.900000006</v>
      </c>
      <c r="CX18" s="423"/>
      <c r="CY18" s="668">
        <v>-225652584.25999999</v>
      </c>
      <c r="CZ18" s="668">
        <f>ROUND(+$CY18*'[5]II-F Alloc_Factor'!E$31,2)</f>
        <v>-54417289.329999998</v>
      </c>
      <c r="DA18" s="668">
        <f>ROUND(+$CY18*'[5]II-F Alloc_Factor'!F$31,2)</f>
        <v>0</v>
      </c>
      <c r="DB18" s="668">
        <f>ROUND(+$CY18*'[5]II-F Alloc_Factor'!G$31,2)</f>
        <v>0</v>
      </c>
      <c r="DC18" s="668">
        <f>ROUND(+$CY18*'[5]II-F Alloc_Factor'!H$31,2)</f>
        <v>-54417289.329999998</v>
      </c>
      <c r="DD18" s="668">
        <f>ROUND(+$CY18*'[5]II-F Alloc_Factor'!I$31,2)</f>
        <v>-76939780.590000004</v>
      </c>
      <c r="DE18" s="668">
        <f>ROUND(+$CY18*'[5]II-F Alloc_Factor'!J$31,2)</f>
        <v>0</v>
      </c>
      <c r="DF18" s="668">
        <f>ROUND(+$CY18*'[5]II-F Alloc_Factor'!K$31,2)</f>
        <v>-76939780.590000004</v>
      </c>
      <c r="DG18" s="668">
        <f>ROUND(+$CY18*'[5]II-F Alloc_Factor'!L$31,2)</f>
        <v>-11084467.75</v>
      </c>
      <c r="DH18" s="668">
        <f>ROUND(+$CY18*'[5]II-F Alloc_Factor'!M$31,2)</f>
        <v>-83211046.590000004</v>
      </c>
      <c r="DI18" s="423"/>
      <c r="DJ18" s="668">
        <v>-228484522.66</v>
      </c>
      <c r="DK18" s="668">
        <f>ROUND(+$DJ18*'[5]II-F Alloc_Factor'!E$31,2)</f>
        <v>-55100225.939999998</v>
      </c>
      <c r="DL18" s="668">
        <f>ROUND(+$DJ18*'[5]II-F Alloc_Factor'!F$31,2)</f>
        <v>0</v>
      </c>
      <c r="DM18" s="668">
        <f>ROUND(+$DJ18*'[5]II-F Alloc_Factor'!G$31,2)</f>
        <v>0</v>
      </c>
      <c r="DN18" s="668">
        <f>ROUND(+$DJ18*'[5]II-F Alloc_Factor'!H$31,2)</f>
        <v>-55100225.939999998</v>
      </c>
      <c r="DO18" s="668">
        <f>ROUND(+$DJ18*'[5]II-F Alloc_Factor'!I$31,2)</f>
        <v>-77905374.310000002</v>
      </c>
      <c r="DP18" s="668">
        <f>ROUND(+$DJ18*'[5]II-F Alloc_Factor'!J$31,2)</f>
        <v>0</v>
      </c>
      <c r="DQ18" s="668">
        <f>ROUND(+$DJ18*'[5]II-F Alloc_Factor'!K$31,2)</f>
        <v>-77905374.310000002</v>
      </c>
      <c r="DR18" s="668">
        <f>ROUND(+$DJ18*'[5]II-F Alloc_Factor'!L$31,2)</f>
        <v>-11223577.74</v>
      </c>
      <c r="DS18" s="668">
        <f>ROUND(+$DJ18*'[5]II-F Alloc_Factor'!M$31,2)</f>
        <v>-84255344.659999996</v>
      </c>
      <c r="DT18" s="423"/>
      <c r="DU18" s="668">
        <v>-230710390.94999999</v>
      </c>
      <c r="DV18" s="668">
        <f>ROUND(+$DU18*'[5]II-F Alloc_Factor'!E$31,2)</f>
        <v>-55637005.609999999</v>
      </c>
      <c r="DW18" s="668">
        <f>ROUND(+$DU18*'[5]II-F Alloc_Factor'!F$31,2)</f>
        <v>0</v>
      </c>
      <c r="DX18" s="668">
        <f>ROUND(+$DU18*'[5]II-F Alloc_Factor'!G$31,2)</f>
        <v>0</v>
      </c>
      <c r="DY18" s="668">
        <f t="shared" si="1"/>
        <v>-55637005.609999999</v>
      </c>
      <c r="DZ18" s="668">
        <f>ROUND(+$DU18*'[5]II-F Alloc_Factor'!I$31,2)</f>
        <v>-78664318.939999998</v>
      </c>
      <c r="EA18" s="668">
        <f>ROUND(+$DU18*'[5]II-F Alloc_Factor'!J$31,2)</f>
        <v>0</v>
      </c>
      <c r="EB18" s="668">
        <f t="shared" si="2"/>
        <v>-78664318.939999998</v>
      </c>
      <c r="EC18" s="668">
        <f>ROUND(+$DU18*'[5]II-F Alloc_Factor'!L$31,2)</f>
        <v>-11332916.470000001</v>
      </c>
      <c r="ED18" s="668">
        <f>ROUND(+$DU18*'[5]II-F Alloc_Factor'!M$31,2)</f>
        <v>-85076149.930000007</v>
      </c>
      <c r="EE18" s="754">
        <f>+DU18+'II-E-3.5'!K24</f>
        <v>0</v>
      </c>
      <c r="EF18" s="754">
        <f t="shared" si="3"/>
        <v>0</v>
      </c>
      <c r="EH18" s="754"/>
    </row>
    <row r="19" spans="1:138" s="421" customFormat="1" ht="12.75">
      <c r="A19" s="524">
        <f t="shared" si="4" ref="A19">1+A18</f>
        <v>7</v>
      </c>
      <c r="B19" s="184" t="s">
        <v>435</v>
      </c>
      <c r="C19" s="670" t="s">
        <v>405</v>
      </c>
      <c r="D19" s="668">
        <v>43505650.460000001</v>
      </c>
      <c r="E19" s="668">
        <f>ROUND(+$D19*'[5]II-F Alloc_Factor'!E$31,2)</f>
        <v>10491612.92</v>
      </c>
      <c r="F19" s="668">
        <f>ROUND(+$D19*'[5]II-F Alloc_Factor'!F$31,2)</f>
        <v>0</v>
      </c>
      <c r="G19" s="668">
        <f>ROUND(+$D19*'[5]II-F Alloc_Factor'!G$31,2)</f>
        <v>0</v>
      </c>
      <c r="H19" s="668">
        <f>ROUND(+$D19*'[5]II-F Alloc_Factor'!H$31,2)</f>
        <v>10491612.92</v>
      </c>
      <c r="I19" s="668">
        <f>ROUND(+$D19*'[5]II-F Alloc_Factor'!I$31,2)</f>
        <v>14833932.49</v>
      </c>
      <c r="J19" s="668">
        <f>ROUND(+$D19*'[5]II-F Alloc_Factor'!J$31,2)</f>
        <v>0</v>
      </c>
      <c r="K19" s="668">
        <f>ROUND(+$D19*'[5]II-F Alloc_Factor'!K$31,2)</f>
        <v>14833932.49</v>
      </c>
      <c r="L19" s="668">
        <f>ROUND(+$D19*'[5]II-F Alloc_Factor'!L$31,2)</f>
        <v>2137077.1400000001</v>
      </c>
      <c r="M19" s="668">
        <f>ROUND(+$D19*'[5]II-F Alloc_Factor'!M$31,2)</f>
        <v>16043027.91</v>
      </c>
      <c r="N19" s="669"/>
      <c r="O19" s="105">
        <v>44625261.469999999</v>
      </c>
      <c r="P19" s="668">
        <f>ROUND(+$O19*'[5]II-F Alloc_Factor'!E$31,2)</f>
        <v>10761612.91</v>
      </c>
      <c r="Q19" s="668">
        <f>ROUND(+$O19*'[5]II-F Alloc_Factor'!F$31,2)</f>
        <v>0</v>
      </c>
      <c r="R19" s="668">
        <f>ROUND(+$O19*'[5]II-F Alloc_Factor'!G$31,2)</f>
        <v>0</v>
      </c>
      <c r="S19" s="668">
        <f>ROUND(+$O19*'[5]II-F Alloc_Factor'!H$31,2)</f>
        <v>10761612.91</v>
      </c>
      <c r="T19" s="668">
        <f>ROUND(+$O19*'[5]II-F Alloc_Factor'!I$31,2)</f>
        <v>15215681.390000001</v>
      </c>
      <c r="U19" s="668">
        <f>ROUND(+$O19*'[5]II-F Alloc_Factor'!J$31,2)</f>
        <v>0</v>
      </c>
      <c r="V19" s="668">
        <f>ROUND(+$O19*'[5]II-F Alloc_Factor'!K$31,2)</f>
        <v>15215681.390000001</v>
      </c>
      <c r="W19" s="668">
        <f>ROUND(+$O19*'[5]II-F Alloc_Factor'!L$31,2)</f>
        <v>2192074.48</v>
      </c>
      <c r="X19" s="668">
        <f>ROUND(+$O19*'[5]II-F Alloc_Factor'!M$31,2)</f>
        <v>16455892.69</v>
      </c>
      <c r="Y19" s="423"/>
      <c r="Z19" s="668">
        <v>45753955.530000001</v>
      </c>
      <c r="AA19" s="668">
        <f>ROUND(+$Z19*'[5]II-F Alloc_Factor'!E$31,2)</f>
        <v>11033803.33</v>
      </c>
      <c r="AB19" s="668">
        <f>ROUND(+$Z19*'[5]II-F Alloc_Factor'!F$31,2)</f>
        <v>0</v>
      </c>
      <c r="AC19" s="668">
        <f>ROUND(+$Z19*'[5]II-F Alloc_Factor'!G$31,2)</f>
        <v>0</v>
      </c>
      <c r="AD19" s="668">
        <f>ROUND(+$Z19*'[5]II-F Alloc_Factor'!H$31,2)</f>
        <v>11033803.33</v>
      </c>
      <c r="AE19" s="668">
        <f>ROUND(+$Z19*'[5]II-F Alloc_Factor'!I$31,2)</f>
        <v>15600527.289999999</v>
      </c>
      <c r="AF19" s="668">
        <f>ROUND(+$Z19*'[5]II-F Alloc_Factor'!J$31,2)</f>
        <v>0</v>
      </c>
      <c r="AG19" s="668">
        <f>ROUND(+$Z19*'[5]II-F Alloc_Factor'!K$31,2)</f>
        <v>15600527.289999999</v>
      </c>
      <c r="AH19" s="668">
        <f>ROUND(+$Z19*'[5]II-F Alloc_Factor'!L$31,2)</f>
        <v>2247518</v>
      </c>
      <c r="AI19" s="668">
        <f>ROUND(+$Z19*'[5]II-F Alloc_Factor'!M$31,2)</f>
        <v>16872106.91</v>
      </c>
      <c r="AJ19" s="423"/>
      <c r="AK19" s="668">
        <v>46901527.899999999</v>
      </c>
      <c r="AL19" s="668">
        <f>ROUND(+$AK19*'[5]II-F Alloc_Factor'!E$31,2)</f>
        <v>11310546.35</v>
      </c>
      <c r="AM19" s="668">
        <f>ROUND(+$AK19*'[5]II-F Alloc_Factor'!F$31,2)</f>
        <v>0</v>
      </c>
      <c r="AN19" s="668">
        <f>ROUND(+$AK19*'[5]II-F Alloc_Factor'!G$31,2)</f>
        <v>0</v>
      </c>
      <c r="AO19" s="668">
        <f>ROUND(+$AK19*'[5]II-F Alloc_Factor'!H$31,2)</f>
        <v>11310546.35</v>
      </c>
      <c r="AP19" s="668">
        <f>ROUND(+$AK19*'[5]II-F Alloc_Factor'!I$31,2)</f>
        <v>15991810.050000001</v>
      </c>
      <c r="AQ19" s="668">
        <f>ROUND(+$AK19*'[5]II-F Alloc_Factor'!J$31,2)</f>
        <v>0</v>
      </c>
      <c r="AR19" s="668">
        <f>ROUND(+$AK19*'[5]II-F Alloc_Factor'!K$31,2)</f>
        <v>15991810.050000001</v>
      </c>
      <c r="AS19" s="668">
        <f>ROUND(+$AK19*'[5]II-F Alloc_Factor'!L$31,2)</f>
        <v>2303888.8500000001</v>
      </c>
      <c r="AT19" s="668">
        <f>ROUND(+$AK19*'[5]II-F Alloc_Factor'!M$31,2)</f>
        <v>17295282.640000001</v>
      </c>
      <c r="AU19" s="423"/>
      <c r="AV19" s="668">
        <v>48052122.369999997</v>
      </c>
      <c r="AW19" s="668">
        <f>ROUND(+$AV19*'[5]II-F Alloc_Factor'!E$31,2)</f>
        <v>11588018.17</v>
      </c>
      <c r="AX19" s="668">
        <f>ROUND(+$AV19*'[5]II-F Alloc_Factor'!F$31,2)</f>
        <v>0</v>
      </c>
      <c r="AY19" s="668">
        <f>ROUND(+$AV19*'[5]II-F Alloc_Factor'!G$31,2)</f>
        <v>0</v>
      </c>
      <c r="AZ19" s="668">
        <f>ROUND(+$AV19*'[5]II-F Alloc_Factor'!H$31,2)</f>
        <v>11588018.17</v>
      </c>
      <c r="BA19" s="668">
        <f>ROUND(+$AV19*'[5]II-F Alloc_Factor'!I$31,2)</f>
        <v>16384123.25</v>
      </c>
      <c r="BB19" s="668">
        <f>ROUND(+$AV19*'[5]II-F Alloc_Factor'!J$31,2)</f>
        <v>0</v>
      </c>
      <c r="BC19" s="668">
        <f>ROUND(+$AV19*'[5]II-F Alloc_Factor'!K$31,2)</f>
        <v>16384123.25</v>
      </c>
      <c r="BD19" s="668">
        <f>ROUND(+$AV19*'[5]II-F Alloc_Factor'!L$31,2)</f>
        <v>2360408.1600000001</v>
      </c>
      <c r="BE19" s="668">
        <f>ROUND(+$AV19*'[5]II-F Alloc_Factor'!M$31,2)</f>
        <v>17719572.800000001</v>
      </c>
      <c r="BF19" s="423"/>
      <c r="BG19" s="668">
        <v>49208679.619999997</v>
      </c>
      <c r="BH19" s="668">
        <f>ROUND(+$BG19*'[5]II-F Alloc_Factor'!E$31,2)</f>
        <v>11866927.94</v>
      </c>
      <c r="BI19" s="668">
        <f>ROUND(+$BG19*'[5]II-F Alloc_Factor'!F$31,2)</f>
        <v>0</v>
      </c>
      <c r="BJ19" s="668">
        <f>ROUND(+$BG19*'[5]II-F Alloc_Factor'!G$31,2)</f>
        <v>0</v>
      </c>
      <c r="BK19" s="668">
        <f>ROUND(+$BG19*'[5]II-F Alloc_Factor'!H$31,2)</f>
        <v>11866927.94</v>
      </c>
      <c r="BL19" s="668">
        <f>ROUND(+$BG19*'[5]II-F Alloc_Factor'!I$31,2)</f>
        <v>16778469.550000001</v>
      </c>
      <c r="BM19" s="668">
        <f>ROUND(+$BG19*'[5]II-F Alloc_Factor'!J$31,2)</f>
        <v>0</v>
      </c>
      <c r="BN19" s="668">
        <f>ROUND(+$BG19*'[5]II-F Alloc_Factor'!K$31,2)</f>
        <v>16778469.550000001</v>
      </c>
      <c r="BO19" s="668">
        <f>ROUND(+$BG19*'[5]II-F Alloc_Factor'!L$31,2)</f>
        <v>2417220.3700000001</v>
      </c>
      <c r="BP19" s="668">
        <f>ROUND(+$BG19*'[5]II-F Alloc_Factor'!M$31,2)</f>
        <v>18146061.77</v>
      </c>
      <c r="BQ19" s="423"/>
      <c r="BR19" s="668">
        <v>50395092.359999999</v>
      </c>
      <c r="BS19" s="668">
        <f>ROUND(+$BR19*'[5]II-F Alloc_Factor'!E$31,2)</f>
        <v>12153037.52</v>
      </c>
      <c r="BT19" s="668">
        <f>ROUND(+$BR19*'[5]II-F Alloc_Factor'!F$31,2)</f>
        <v>0</v>
      </c>
      <c r="BU19" s="668">
        <f>ROUND(+$BR19*'[5]II-F Alloc_Factor'!G$31,2)</f>
        <v>0</v>
      </c>
      <c r="BV19" s="668">
        <f>ROUND(+$BR19*'[5]II-F Alloc_Factor'!H$31,2)</f>
        <v>12153037.52</v>
      </c>
      <c r="BW19" s="668">
        <f>ROUND(+$BR19*'[5]II-F Alloc_Factor'!I$31,2)</f>
        <v>17182995.539999999</v>
      </c>
      <c r="BX19" s="668">
        <f>ROUND(+$BR19*'[5]II-F Alloc_Factor'!J$31,2)</f>
        <v>0</v>
      </c>
      <c r="BY19" s="668">
        <f>ROUND(+$BR19*'[5]II-F Alloc_Factor'!K$31,2)</f>
        <v>17182995.539999999</v>
      </c>
      <c r="BZ19" s="668">
        <f>ROUND(+$BR19*'[5]II-F Alloc_Factor'!L$31,2)</f>
        <v>2475499.1299999999</v>
      </c>
      <c r="CA19" s="668">
        <f>ROUND(+$BR19*'[5]II-F Alloc_Factor'!M$31,2)</f>
        <v>18583560.18</v>
      </c>
      <c r="CB19" s="423"/>
      <c r="CC19" s="668">
        <v>51587130.630000003</v>
      </c>
      <c r="CD19" s="668">
        <f>ROUND(+$CC19*'[5]II-F Alloc_Factor'!E$31,2)</f>
        <v>12440503.720000001</v>
      </c>
      <c r="CE19" s="668">
        <f>ROUND(+$CC19*'[5]II-F Alloc_Factor'!F$31,2)</f>
        <v>0</v>
      </c>
      <c r="CF19" s="668">
        <f>ROUND(+$CC19*'[5]II-F Alloc_Factor'!G$31,2)</f>
        <v>0</v>
      </c>
      <c r="CG19" s="668">
        <f>ROUND(+$CC19*'[5]II-F Alloc_Factor'!H$31,2)</f>
        <v>12440503.720000001</v>
      </c>
      <c r="CH19" s="668">
        <f>ROUND(+$CC19*'[5]II-F Alloc_Factor'!I$31,2)</f>
        <v>17589439.649999999</v>
      </c>
      <c r="CI19" s="668">
        <f>ROUND(+$CC19*'[5]II-F Alloc_Factor'!J$31,2)</f>
        <v>0</v>
      </c>
      <c r="CJ19" s="668">
        <f>ROUND(+$CC19*'[5]II-F Alloc_Factor'!K$31,2)</f>
        <v>17589439.649999999</v>
      </c>
      <c r="CK19" s="668">
        <f>ROUND(+$CC19*'[5]II-F Alloc_Factor'!L$31,2)</f>
        <v>2534054.23</v>
      </c>
      <c r="CL19" s="668">
        <f>ROUND(+$CC19*'[5]II-F Alloc_Factor'!M$31,2)</f>
        <v>19023133.039999999</v>
      </c>
      <c r="CM19" s="423"/>
      <c r="CN19" s="668">
        <v>52779896.440000005</v>
      </c>
      <c r="CO19" s="668">
        <f>ROUND(+$CN19*'[5]II-F Alloc_Factor'!E$31,2)</f>
        <v>12728145.369999999</v>
      </c>
      <c r="CP19" s="668">
        <f>ROUND(+$CN19*'[5]II-F Alloc_Factor'!F$31,2)</f>
        <v>0</v>
      </c>
      <c r="CQ19" s="668">
        <f>ROUND(+$CN19*'[5]II-F Alloc_Factor'!G$31,2)</f>
        <v>0</v>
      </c>
      <c r="CR19" s="668">
        <f>ROUND(+$CN19*'[5]II-F Alloc_Factor'!H$31,2)</f>
        <v>12728145.369999999</v>
      </c>
      <c r="CS19" s="668">
        <f>ROUND(+$CN19*'[5]II-F Alloc_Factor'!I$31,2)</f>
        <v>17996131.82</v>
      </c>
      <c r="CT19" s="668">
        <f>ROUND(+$CN19*'[5]II-F Alloc_Factor'!J$31,2)</f>
        <v>0</v>
      </c>
      <c r="CU19" s="668">
        <f>ROUND(+$CN19*'[5]II-F Alloc_Factor'!K$31,2)</f>
        <v>17996131.82</v>
      </c>
      <c r="CV19" s="668">
        <f>ROUND(+$CN19*'[5]II-F Alloc_Factor'!L$31,2)</f>
        <v>2592645.0699999998</v>
      </c>
      <c r="CW19" s="668">
        <f>ROUND(+$CN19*'[5]II-F Alloc_Factor'!M$31,2)</f>
        <v>19462974.18</v>
      </c>
      <c r="CX19" s="423"/>
      <c r="CY19" s="668">
        <v>53964673.400000006</v>
      </c>
      <c r="CZ19" s="668">
        <f>ROUND(+$CY19*'[5]II-F Alloc_Factor'!E$31,2)</f>
        <v>13013860.470000001</v>
      </c>
      <c r="DA19" s="668">
        <f>ROUND(+$CY19*'[5]II-F Alloc_Factor'!F$31,2)</f>
        <v>0</v>
      </c>
      <c r="DB19" s="668">
        <f>ROUND(+$CY19*'[5]II-F Alloc_Factor'!G$31,2)</f>
        <v>0</v>
      </c>
      <c r="DC19" s="668">
        <f>ROUND(+$CY19*'[5]II-F Alloc_Factor'!H$31,2)</f>
        <v>13013860.470000001</v>
      </c>
      <c r="DD19" s="668">
        <f>ROUND(+$CY19*'[5]II-F Alloc_Factor'!I$31,2)</f>
        <v>18400100.07</v>
      </c>
      <c r="DE19" s="668">
        <f>ROUND(+$CY19*'[5]II-F Alloc_Factor'!J$31,2)</f>
        <v>0</v>
      </c>
      <c r="DF19" s="668">
        <f>ROUND(+$CY19*'[5]II-F Alloc_Factor'!K$31,2)</f>
        <v>18400100.07</v>
      </c>
      <c r="DG19" s="668">
        <f>ROUND(+$CY19*'[5]II-F Alloc_Factor'!L$31,2)</f>
        <v>2650843.48</v>
      </c>
      <c r="DH19" s="668">
        <f>ROUND(+$CY19*'[5]II-F Alloc_Factor'!M$31,2)</f>
        <v>19899869.379999999</v>
      </c>
      <c r="DI19" s="423"/>
      <c r="DJ19" s="668">
        <v>55147867.520000003</v>
      </c>
      <c r="DK19" s="668">
        <f>ROUND(+$DJ19*'[5]II-F Alloc_Factor'!E$31,2)</f>
        <v>13299193.859999999</v>
      </c>
      <c r="DL19" s="668">
        <f>ROUND(+$DJ19*'[5]II-F Alloc_Factor'!F$31,2)</f>
        <v>0</v>
      </c>
      <c r="DM19" s="668">
        <f>ROUND(+$DJ19*'[5]II-F Alloc_Factor'!G$31,2)</f>
        <v>0</v>
      </c>
      <c r="DN19" s="668">
        <f>ROUND(+$DJ19*'[5]II-F Alloc_Factor'!H$31,2)</f>
        <v>13299193.859999999</v>
      </c>
      <c r="DO19" s="668">
        <f>ROUND(+$DJ19*'[5]II-F Alloc_Factor'!I$31,2)</f>
        <v>18803528.620000001</v>
      </c>
      <c r="DP19" s="668">
        <f>ROUND(+$DJ19*'[5]II-F Alloc_Factor'!J$31,2)</f>
        <v>0</v>
      </c>
      <c r="DQ19" s="668">
        <f>ROUND(+$DJ19*'[5]II-F Alloc_Factor'!K$31,2)</f>
        <v>18803528.620000001</v>
      </c>
      <c r="DR19" s="668">
        <f>ROUND(+$DJ19*'[5]II-F Alloc_Factor'!L$31,2)</f>
        <v>2708964.1400000001</v>
      </c>
      <c r="DS19" s="668">
        <f>ROUND(+$DJ19*'[5]II-F Alloc_Factor'!M$31,2)</f>
        <v>20336180.899999999</v>
      </c>
      <c r="DT19" s="423"/>
      <c r="DU19" s="668">
        <v>51776074.170000002</v>
      </c>
      <c r="DV19" s="668">
        <f>ROUND(+$DU19*'[5]II-F Alloc_Factor'!E$31,2)</f>
        <v>12486068.43</v>
      </c>
      <c r="DW19" s="668">
        <f>ROUND(+$DU19*'[5]II-F Alloc_Factor'!F$31,2)</f>
        <v>0</v>
      </c>
      <c r="DX19" s="668">
        <f>ROUND(+$DU19*'[5]II-F Alloc_Factor'!G$31,2)</f>
        <v>0</v>
      </c>
      <c r="DY19" s="668">
        <f t="shared" si="1"/>
        <v>12486068.43</v>
      </c>
      <c r="DZ19" s="668">
        <f>ROUND(+$DU19*'[5]II-F Alloc_Factor'!I$31,2)</f>
        <v>17653862.899999999</v>
      </c>
      <c r="EA19" s="668">
        <f>ROUND(+$DU19*'[5]II-F Alloc_Factor'!J$31,2)</f>
        <v>0</v>
      </c>
      <c r="EB19" s="668">
        <f t="shared" si="2"/>
        <v>17653862.899999999</v>
      </c>
      <c r="EC19" s="668">
        <f>ROUND(+$DU19*'[5]II-F Alloc_Factor'!L$31,2)</f>
        <v>2543335.48</v>
      </c>
      <c r="ED19" s="668">
        <f>ROUND(+$DU19*'[5]II-F Alloc_Factor'!M$31,2)</f>
        <v>19092807.350000001</v>
      </c>
      <c r="EE19" s="754">
        <f>+DU19+'II-E-3.5'!K25</f>
        <v>0</v>
      </c>
      <c r="EF19" s="754">
        <f t="shared" si="3"/>
        <v>-0.01000000536441803</v>
      </c>
      <c r="EH19" s="754"/>
    </row>
    <row r="20" spans="1:138" s="421" customFormat="1" ht="12.75">
      <c r="A20" s="524">
        <f t="shared" si="5" ref="A20:A21">1+A19</f>
        <v>8</v>
      </c>
      <c r="B20" s="184" t="s">
        <v>358</v>
      </c>
      <c r="C20" s="420" t="s">
        <v>798</v>
      </c>
      <c r="D20" s="668">
        <v>555198620.41000009</v>
      </c>
      <c r="E20" s="668">
        <f>ROUND(+$D20*'[5]II-F Alloc_Factor'!E$40,2)</f>
        <v>257741212.97</v>
      </c>
      <c r="F20" s="668">
        <f>ROUND(+$D20*'[5]II-F Alloc_Factor'!F$40,2)</f>
        <v>0</v>
      </c>
      <c r="G20" s="668">
        <f>ROUND(+$D20*'[5]II-F Alloc_Factor'!G$40,2)</f>
        <v>328821.69</v>
      </c>
      <c r="H20" s="668">
        <f>ROUND(+$D20*'[5]II-F Alloc_Factor'!H$40,2)</f>
        <v>258070034.65000001</v>
      </c>
      <c r="I20" s="668">
        <f>ROUND(+$D20*'[5]II-F Alloc_Factor'!I$40,2)</f>
        <v>279516346.60000002</v>
      </c>
      <c r="J20" s="668">
        <f>ROUND(+$D20*'[5]II-F Alloc_Factor'!J$40,2)</f>
        <v>0</v>
      </c>
      <c r="K20" s="668">
        <f>ROUND(+$D20*'[5]II-F Alloc_Factor'!K$40,2)</f>
        <v>279516346.60000002</v>
      </c>
      <c r="L20" s="668">
        <f>ROUND(+$D20*'[5]II-F Alloc_Factor'!L$40,2)</f>
        <v>9506002.4000000004</v>
      </c>
      <c r="M20" s="668">
        <f>ROUND(+$D20*'[5]II-F Alloc_Factor'!M$40,2)</f>
        <v>8106236.7599999998</v>
      </c>
      <c r="N20" s="669"/>
      <c r="O20" s="105">
        <v>567650762.44000006</v>
      </c>
      <c r="P20" s="668">
        <f>ROUND(+$O20*'[5]II-F Alloc_Factor'!E$40,2)</f>
        <v>263521901.30000001</v>
      </c>
      <c r="Q20" s="668">
        <f>ROUND(+$O20*'[5]II-F Alloc_Factor'!F$40,2)</f>
        <v>0</v>
      </c>
      <c r="R20" s="668">
        <f>ROUND(+$O20*'[5]II-F Alloc_Factor'!G$40,2)</f>
        <v>336196.59000000003</v>
      </c>
      <c r="S20" s="668">
        <f>ROUND(+$O20*'[5]II-F Alloc_Factor'!H$40,2)</f>
        <v>263858097.88999999</v>
      </c>
      <c r="T20" s="668">
        <f>ROUND(+$O20*'[5]II-F Alloc_Factor'!I$40,2)</f>
        <v>285785413.42000002</v>
      </c>
      <c r="U20" s="668">
        <f>ROUND(+$O20*'[5]II-F Alloc_Factor'!J$40,2)</f>
        <v>0</v>
      </c>
      <c r="V20" s="668">
        <f>ROUND(+$O20*'[5]II-F Alloc_Factor'!K$40,2)</f>
        <v>285785413.42000002</v>
      </c>
      <c r="W20" s="668">
        <f>ROUND(+$O20*'[5]II-F Alloc_Factor'!L$40,2)</f>
        <v>9719205.5399999991</v>
      </c>
      <c r="X20" s="668">
        <f>ROUND(+$O20*'[5]II-F Alloc_Factor'!M$40,2)</f>
        <v>8288045.5899999999</v>
      </c>
      <c r="Y20" s="423"/>
      <c r="Z20" s="668">
        <v>580855660.72000003</v>
      </c>
      <c r="AA20" s="668">
        <f>ROUND(+$Z20*'[5]II-F Alloc_Factor'!E$40,2)</f>
        <v>269652043.51999998</v>
      </c>
      <c r="AB20" s="668">
        <f>ROUND(+$Z20*'[5]II-F Alloc_Factor'!F$40,2)</f>
        <v>0</v>
      </c>
      <c r="AC20" s="668">
        <f>ROUND(+$Z20*'[5]II-F Alloc_Factor'!G$40,2)</f>
        <v>344017.31</v>
      </c>
      <c r="AD20" s="668">
        <f>ROUND(+$Z20*'[5]II-F Alloc_Factor'!H$40,2)</f>
        <v>269996060.82999998</v>
      </c>
      <c r="AE20" s="668">
        <f>ROUND(+$Z20*'[5]II-F Alloc_Factor'!I$40,2)</f>
        <v>292433457.54000002</v>
      </c>
      <c r="AF20" s="668">
        <f>ROUND(+$Z20*'[5]II-F Alloc_Factor'!J$40,2)</f>
        <v>0</v>
      </c>
      <c r="AG20" s="668">
        <f>ROUND(+$Z20*'[5]II-F Alloc_Factor'!K$40,2)</f>
        <v>292433457.54000002</v>
      </c>
      <c r="AH20" s="668">
        <f>ROUND(+$Z20*'[5]II-F Alloc_Factor'!L$40,2)</f>
        <v>9945297.2300000004</v>
      </c>
      <c r="AI20" s="668">
        <f>ROUND(+$Z20*'[5]II-F Alloc_Factor'!M$40,2)</f>
        <v>8480845.1099999994</v>
      </c>
      <c r="AJ20" s="423"/>
      <c r="AK20" s="668">
        <v>593577925.19000006</v>
      </c>
      <c r="AL20" s="668">
        <f>ROUND(+$AK20*'[5]II-F Alloc_Factor'!E$40,2)</f>
        <v>275558131.45999998</v>
      </c>
      <c r="AM20" s="668">
        <f>ROUND(+$AK20*'[5]II-F Alloc_Factor'!F$40,2)</f>
        <v>0</v>
      </c>
      <c r="AN20" s="668">
        <f>ROUND(+$AK20*'[5]II-F Alloc_Factor'!G$40,2)</f>
        <v>351552.20000000001</v>
      </c>
      <c r="AO20" s="668">
        <f>ROUND(+$AK20*'[5]II-F Alloc_Factor'!H$40,2)</f>
        <v>275909683.64999998</v>
      </c>
      <c r="AP20" s="668">
        <f>ROUND(+$AK20*'[5]II-F Alloc_Factor'!I$40,2)</f>
        <v>298838518.27999997</v>
      </c>
      <c r="AQ20" s="668">
        <f>ROUND(+$AK20*'[5]II-F Alloc_Factor'!J$40,2)</f>
        <v>0</v>
      </c>
      <c r="AR20" s="668">
        <f>ROUND(+$AK20*'[5]II-F Alloc_Factor'!K$40,2)</f>
        <v>298838518.27999997</v>
      </c>
      <c r="AS20" s="668">
        <f>ROUND(+$AK20*'[5]II-F Alloc_Factor'!L$40,2)</f>
        <v>10163125.359999999</v>
      </c>
      <c r="AT20" s="668">
        <f>ROUND(+$AK20*'[5]II-F Alloc_Factor'!M$40,2)</f>
        <v>8666597.9000000004</v>
      </c>
      <c r="AU20" s="423"/>
      <c r="AV20" s="668">
        <v>606300189.6500001</v>
      </c>
      <c r="AW20" s="668">
        <f>ROUND(+$AV20*'[5]II-F Alloc_Factor'!E$40,2)</f>
        <v>281464219.38999999</v>
      </c>
      <c r="AX20" s="668">
        <f>ROUND(+$AV20*'[5]II-F Alloc_Factor'!F$40,2)</f>
        <v>0</v>
      </c>
      <c r="AY20" s="668">
        <f>ROUND(+$AV20*'[5]II-F Alloc_Factor'!G$40,2)</f>
        <v>359087.08000000002</v>
      </c>
      <c r="AZ20" s="668">
        <f>ROUND(+$AV20*'[5]II-F Alloc_Factor'!H$40,2)</f>
        <v>281823306.47000003</v>
      </c>
      <c r="BA20" s="668">
        <f>ROUND(+$AV20*'[5]II-F Alloc_Factor'!I$40,2)</f>
        <v>305243579.00999999</v>
      </c>
      <c r="BB20" s="668">
        <f>ROUND(+$AV20*'[5]II-F Alloc_Factor'!J$40,2)</f>
        <v>0</v>
      </c>
      <c r="BC20" s="668">
        <f>ROUND(+$AV20*'[5]II-F Alloc_Factor'!K$40,2)</f>
        <v>305243579.00999999</v>
      </c>
      <c r="BD20" s="668">
        <f>ROUND(+$AV20*'[5]II-F Alloc_Factor'!L$40,2)</f>
        <v>10380953.49</v>
      </c>
      <c r="BE20" s="668">
        <f>ROUND(+$AV20*'[5]II-F Alloc_Factor'!M$40,2)</f>
        <v>8852350.6799999997</v>
      </c>
      <c r="BF20" s="423"/>
      <c r="BG20" s="668">
        <v>619270427.75000012</v>
      </c>
      <c r="BH20" s="668">
        <f>ROUND(+$BG20*'[5]II-F Alloc_Factor'!E$40,2)</f>
        <v>287485424.74000001</v>
      </c>
      <c r="BI20" s="668">
        <f>ROUND(+$BG20*'[5]II-F Alloc_Factor'!F$40,2)</f>
        <v>0</v>
      </c>
      <c r="BJ20" s="668">
        <f>ROUND(+$BG20*'[5]II-F Alloc_Factor'!G$40,2)</f>
        <v>366768.83000000002</v>
      </c>
      <c r="BK20" s="668">
        <f>ROUND(+$BG20*'[5]II-F Alloc_Factor'!H$40,2)</f>
        <v>287852193.56</v>
      </c>
      <c r="BL20" s="668">
        <f>ROUND(+$BG20*'[5]II-F Alloc_Factor'!I$40,2)</f>
        <v>311773482.79000002</v>
      </c>
      <c r="BM20" s="668">
        <f>ROUND(+$BG20*'[5]II-F Alloc_Factor'!J$40,2)</f>
        <v>0</v>
      </c>
      <c r="BN20" s="668">
        <f>ROUND(+$BG20*'[5]II-F Alloc_Factor'!K$40,2)</f>
        <v>311773482.79000002</v>
      </c>
      <c r="BO20" s="668">
        <f>ROUND(+$BG20*'[5]II-F Alloc_Factor'!L$40,2)</f>
        <v>10603027.380000001</v>
      </c>
      <c r="BP20" s="668">
        <f>ROUND(+$BG20*'[5]II-F Alloc_Factor'!M$40,2)</f>
        <v>9041724.0199999996</v>
      </c>
      <c r="BQ20" s="423"/>
      <c r="BR20" s="668">
        <v>632034021.16000021</v>
      </c>
      <c r="BS20" s="668">
        <f>ROUND(+$BR20*'[5]II-F Alloc_Factor'!E$40,2)</f>
        <v>293410698.91000003</v>
      </c>
      <c r="BT20" s="668">
        <f>ROUND(+$BR20*'[5]II-F Alloc_Factor'!F$40,2)</f>
        <v>0</v>
      </c>
      <c r="BU20" s="668">
        <f>ROUND(+$BR20*'[5]II-F Alloc_Factor'!G$40,2)</f>
        <v>374328.19</v>
      </c>
      <c r="BV20" s="668">
        <f>ROUND(+$BR20*'[5]II-F Alloc_Factor'!H$40,2)</f>
        <v>293785027.10000002</v>
      </c>
      <c r="BW20" s="668">
        <f>ROUND(+$BR20*'[5]II-F Alloc_Factor'!I$40,2)</f>
        <v>318199350.69999999</v>
      </c>
      <c r="BX20" s="668">
        <f>ROUND(+$BR20*'[5]II-F Alloc_Factor'!J$40,2)</f>
        <v>0</v>
      </c>
      <c r="BY20" s="668">
        <f>ROUND(+$BR20*'[5]II-F Alloc_Factor'!K$40,2)</f>
        <v>318199350.69999999</v>
      </c>
      <c r="BZ20" s="668">
        <f>ROUND(+$BR20*'[5]II-F Alloc_Factor'!L$40,2)</f>
        <v>10821563.130000001</v>
      </c>
      <c r="CA20" s="668">
        <f>ROUND(+$BR20*'[5]II-F Alloc_Factor'!M$40,2)</f>
        <v>9228080.2300000004</v>
      </c>
      <c r="CB20" s="423"/>
      <c r="CC20" s="668">
        <v>644797614.5600003</v>
      </c>
      <c r="CD20" s="668">
        <f>ROUND(+$CC20*'[5]II-F Alloc_Factor'!E$40,2)</f>
        <v>299335973.07999998</v>
      </c>
      <c r="CE20" s="668">
        <f>ROUND(+$CC20*'[5]II-F Alloc_Factor'!F$40,2)</f>
        <v>0</v>
      </c>
      <c r="CF20" s="668">
        <f>ROUND(+$CC20*'[5]II-F Alloc_Factor'!G$40,2)</f>
        <v>381887.54999999999</v>
      </c>
      <c r="CG20" s="668">
        <f>ROUND(+$CC20*'[5]II-F Alloc_Factor'!H$40,2)</f>
        <v>299717860.63</v>
      </c>
      <c r="CH20" s="668">
        <f>ROUND(+$CC20*'[5]II-F Alloc_Factor'!I$40,2)</f>
        <v>324625218.61000001</v>
      </c>
      <c r="CI20" s="668">
        <f>ROUND(+$CC20*'[5]II-F Alloc_Factor'!J$40,2)</f>
        <v>0</v>
      </c>
      <c r="CJ20" s="668">
        <f>ROUND(+$CC20*'[5]II-F Alloc_Factor'!K$40,2)</f>
        <v>324625218.61000001</v>
      </c>
      <c r="CK20" s="668">
        <f>ROUND(+$CC20*'[5]II-F Alloc_Factor'!L$40,2)</f>
        <v>11040098.880000001</v>
      </c>
      <c r="CL20" s="668">
        <f>ROUND(+$CC20*'[5]II-F Alloc_Factor'!M$40,2)</f>
        <v>9414436.4399999995</v>
      </c>
      <c r="CM20" s="423"/>
      <c r="CN20" s="668">
        <v>657827500.17000031</v>
      </c>
      <c r="CO20" s="668">
        <f>ROUND(+$CN20*'[5]II-F Alloc_Factor'!E$40,2)</f>
        <v>305384868.74000001</v>
      </c>
      <c r="CP20" s="668">
        <f>ROUND(+$CN20*'[5]II-F Alloc_Factor'!F$40,2)</f>
        <v>0</v>
      </c>
      <c r="CQ20" s="668">
        <f>ROUND(+$CN20*'[5]II-F Alloc_Factor'!G$40,2)</f>
        <v>389604.62</v>
      </c>
      <c r="CR20" s="668">
        <f>ROUND(+$CN20*'[5]II-F Alloc_Factor'!H$40,2)</f>
        <v>305774473.36000001</v>
      </c>
      <c r="CS20" s="668">
        <f>ROUND(+$CN20*'[5]II-F Alloc_Factor'!I$40,2)</f>
        <v>331185152.08999997</v>
      </c>
      <c r="CT20" s="668">
        <f>ROUND(+$CN20*'[5]II-F Alloc_Factor'!J$40,2)</f>
        <v>0</v>
      </c>
      <c r="CU20" s="668">
        <f>ROUND(+$CN20*'[5]II-F Alloc_Factor'!K$40,2)</f>
        <v>331185152.08999997</v>
      </c>
      <c r="CV20" s="668">
        <f>ROUND(+$CN20*'[5]II-F Alloc_Factor'!L$40,2)</f>
        <v>11263194.039999999</v>
      </c>
      <c r="CW20" s="668">
        <f>ROUND(+$CN20*'[5]II-F Alloc_Factor'!M$40,2)</f>
        <v>9604680.6799999997</v>
      </c>
      <c r="CX20" s="423"/>
      <c r="CY20" s="668">
        <v>670620681.60000038</v>
      </c>
      <c r="CZ20" s="668">
        <f>ROUND(+$CY20*'[5]II-F Alloc_Factor'!E$40,2)</f>
        <v>311323878.63</v>
      </c>
      <c r="DA20" s="668">
        <f>ROUND(+$CY20*'[5]II-F Alloc_Factor'!F$40,2)</f>
        <v>0</v>
      </c>
      <c r="DB20" s="668">
        <f>ROUND(+$CY20*'[5]II-F Alloc_Factor'!G$40,2)</f>
        <v>397181.5</v>
      </c>
      <c r="DC20" s="668">
        <f>ROUND(+$CY20*'[5]II-F Alloc_Factor'!H$40,2)</f>
        <v>311721060.13</v>
      </c>
      <c r="DD20" s="668">
        <f>ROUND(+$CY20*'[5]II-F Alloc_Factor'!I$40,2)</f>
        <v>337625916.18000001</v>
      </c>
      <c r="DE20" s="668">
        <f>ROUND(+$CY20*'[5]II-F Alloc_Factor'!J$40,2)</f>
        <v>0</v>
      </c>
      <c r="DF20" s="668">
        <f>ROUND(+$CY20*'[5]II-F Alloc_Factor'!K$40,2)</f>
        <v>337625916.18000001</v>
      </c>
      <c r="DG20" s="668">
        <f>ROUND(+$CY20*'[5]II-F Alloc_Factor'!L$40,2)</f>
        <v>11482236.4</v>
      </c>
      <c r="DH20" s="668">
        <f>ROUND(+$CY20*'[5]II-F Alloc_Factor'!M$40,2)</f>
        <v>9791468.8900000006</v>
      </c>
      <c r="DI20" s="423"/>
      <c r="DJ20" s="668">
        <v>683413863.03000045</v>
      </c>
      <c r="DK20" s="668">
        <f>ROUND(+$DJ20*'[5]II-F Alloc_Factor'!E$40,2)</f>
        <v>317262888.51999998</v>
      </c>
      <c r="DL20" s="668">
        <f>ROUND(+$DJ20*'[5]II-F Alloc_Factor'!F$40,2)</f>
        <v>0</v>
      </c>
      <c r="DM20" s="668">
        <f>ROUND(+$DJ20*'[5]II-F Alloc_Factor'!G$40,2)</f>
        <v>404758.39000000001</v>
      </c>
      <c r="DN20" s="668">
        <f>ROUND(+$DJ20*'[5]II-F Alloc_Factor'!H$40,2)</f>
        <v>317667646.91000003</v>
      </c>
      <c r="DO20" s="668">
        <f>ROUND(+$DJ20*'[5]II-F Alloc_Factor'!I$40,2)</f>
        <v>344066680.25999999</v>
      </c>
      <c r="DP20" s="668">
        <f>ROUND(+$DJ20*'[5]II-F Alloc_Factor'!J$40,2)</f>
        <v>0</v>
      </c>
      <c r="DQ20" s="668">
        <f>ROUND(+$DJ20*'[5]II-F Alloc_Factor'!K$40,2)</f>
        <v>344066680.25999999</v>
      </c>
      <c r="DR20" s="668">
        <f>ROUND(+$DJ20*'[5]II-F Alloc_Factor'!L$40,2)</f>
        <v>11701278.75</v>
      </c>
      <c r="DS20" s="668">
        <f>ROUND(+$DJ20*'[5]II-F Alloc_Factor'!M$40,2)</f>
        <v>9978257.0999999996</v>
      </c>
      <c r="DT20" s="423"/>
      <c r="DU20" s="668">
        <v>696255436.41000056</v>
      </c>
      <c r="DV20" s="668">
        <f>ROUND(+$DU20*'[5]II-F Alloc_Factor'!E$40,2)</f>
        <v>323224363.52999997</v>
      </c>
      <c r="DW20" s="668">
        <f>ROUND(+$DU20*'[5]II-F Alloc_Factor'!F$40,2)</f>
        <v>0</v>
      </c>
      <c r="DX20" s="668">
        <f>ROUND(+$DU20*'[5]II-F Alloc_Factor'!G$40,2)</f>
        <v>412363.92999999999</v>
      </c>
      <c r="DY20" s="668">
        <f t="shared" si="1"/>
        <v>323636727.45999998</v>
      </c>
      <c r="DZ20" s="668">
        <f>ROUND(+$DU20*'[5]II-F Alloc_Factor'!I$40,2)</f>
        <v>350531807.42000002</v>
      </c>
      <c r="EA20" s="668">
        <f>ROUND(+$DU20*'[5]II-F Alloc_Factor'!J$40,2)</f>
        <v>0</v>
      </c>
      <c r="EB20" s="668">
        <f t="shared" si="2"/>
        <v>350531807.42000002</v>
      </c>
      <c r="EC20" s="668">
        <f>ROUND(+$DU20*'[5]II-F Alloc_Factor'!L$40,2)</f>
        <v>11921149.67</v>
      </c>
      <c r="ED20" s="668">
        <f>ROUND(+$DU20*'[5]II-F Alloc_Factor'!M$40,2)</f>
        <v>10165751.869999999</v>
      </c>
      <c r="EE20" s="754">
        <f>+DU20+'II-E-3.5'!K26</f>
        <v>0</v>
      </c>
      <c r="EF20" s="754">
        <f t="shared" si="3"/>
        <v>0.009999394416809082</v>
      </c>
      <c r="EH20" s="754"/>
    </row>
    <row r="21" spans="1:138" s="421" customFormat="1" ht="12.75">
      <c r="A21" s="524">
        <f t="shared" si="5"/>
        <v>9</v>
      </c>
      <c r="B21" s="184" t="s">
        <v>665</v>
      </c>
      <c r="C21" s="420" t="s">
        <v>798</v>
      </c>
      <c r="D21" s="668">
        <v>-2256031978.6799998</v>
      </c>
      <c r="E21" s="668">
        <f>ROUND(+$D21*'[5]II-F Alloc_Factor'!E$40,2)</f>
        <v>-1047323241.27</v>
      </c>
      <c r="F21" s="668">
        <f>ROUND(+$D21*'[5]II-F Alloc_Factor'!F$40,2)</f>
        <v>0</v>
      </c>
      <c r="G21" s="668">
        <f>ROUND(+$D21*'[5]II-F Alloc_Factor'!G$40,2)</f>
        <v>-1336156.49</v>
      </c>
      <c r="H21" s="668">
        <f>ROUND(+$D21*'[5]II-F Alloc_Factor'!H$40,2)</f>
        <v>-1048659397.76</v>
      </c>
      <c r="I21" s="668">
        <f>ROUND(+$D21*'[5]II-F Alloc_Factor'!I$40,2)</f>
        <v>-1135805805.9200001</v>
      </c>
      <c r="J21" s="668">
        <f>ROUND(+$D21*'[5]II-F Alloc_Factor'!J$40,2)</f>
        <v>0</v>
      </c>
      <c r="K21" s="668">
        <f>ROUND(+$D21*'[5]II-F Alloc_Factor'!K$40,2)</f>
        <v>-1135805805.9200001</v>
      </c>
      <c r="L21" s="668">
        <f>ROUND(+$D21*'[5]II-F Alloc_Factor'!L$40,2)</f>
        <v>-38627339.140000001</v>
      </c>
      <c r="M21" s="668">
        <f>ROUND(+$D21*'[5]II-F Alloc_Factor'!M$40,2)</f>
        <v>-32939435.870000001</v>
      </c>
      <c r="N21" s="669"/>
      <c r="O21" s="105">
        <v>-2271600682.4799995</v>
      </c>
      <c r="P21" s="668">
        <f>ROUND(+$O21*'[5]II-F Alloc_Factor'!E$40,2)</f>
        <v>-1054550738.7000001</v>
      </c>
      <c r="Q21" s="668">
        <f>ROUND(+$O21*'[5]II-F Alloc_Factor'!F$40,2)</f>
        <v>0</v>
      </c>
      <c r="R21" s="668">
        <f>ROUND(+$O21*'[5]II-F Alloc_Factor'!G$40,2)</f>
        <v>-1345377.2</v>
      </c>
      <c r="S21" s="668">
        <f>ROUND(+$O21*'[5]II-F Alloc_Factor'!H$40,2)</f>
        <v>-1055896115.9</v>
      </c>
      <c r="T21" s="668">
        <f>ROUND(+$O21*'[5]II-F Alloc_Factor'!I$40,2)</f>
        <v>-1143643914.75</v>
      </c>
      <c r="U21" s="668">
        <f>ROUND(+$O21*'[5]II-F Alloc_Factor'!J$40,2)</f>
        <v>0</v>
      </c>
      <c r="V21" s="668">
        <f>ROUND(+$O21*'[5]II-F Alloc_Factor'!K$40,2)</f>
        <v>-1143643914.75</v>
      </c>
      <c r="W21" s="668">
        <f>ROUND(+$O21*'[5]II-F Alloc_Factor'!L$40,2)</f>
        <v>-38893903.439999998</v>
      </c>
      <c r="X21" s="668">
        <f>ROUND(+$O21*'[5]II-F Alloc_Factor'!M$40,2)</f>
        <v>-33166748.390000001</v>
      </c>
      <c r="Y21" s="423"/>
      <c r="Z21" s="668">
        <v>-2180434803.6899996</v>
      </c>
      <c r="AA21" s="668">
        <f>ROUND(+$Z21*'[5]II-F Alloc_Factor'!E$40,2)</f>
        <v>-1012228579.89</v>
      </c>
      <c r="AB21" s="668">
        <f>ROUND(+$Z21*'[5]II-F Alloc_Factor'!F$40,2)</f>
        <v>0</v>
      </c>
      <c r="AC21" s="668">
        <f>ROUND(+$Z21*'[5]II-F Alloc_Factor'!G$40,2)</f>
        <v>-1291383.3400000001</v>
      </c>
      <c r="AD21" s="668">
        <f>ROUND(+$Z21*'[5]II-F Alloc_Factor'!H$40,2)</f>
        <v>-1013519963.23</v>
      </c>
      <c r="AE21" s="668">
        <f>ROUND(+$Z21*'[5]II-F Alloc_Factor'!I$40,2)</f>
        <v>-1097746190.1500001</v>
      </c>
      <c r="AF21" s="668">
        <f>ROUND(+$Z21*'[5]II-F Alloc_Factor'!J$40,2)</f>
        <v>0</v>
      </c>
      <c r="AG21" s="668">
        <f>ROUND(+$Z21*'[5]II-F Alloc_Factor'!K$40,2)</f>
        <v>-1097746190.1500001</v>
      </c>
      <c r="AH21" s="668">
        <f>ROUND(+$Z21*'[5]II-F Alloc_Factor'!L$40,2)</f>
        <v>-37332979.060000002</v>
      </c>
      <c r="AI21" s="668">
        <f>ROUND(+$Z21*'[5]II-F Alloc_Factor'!M$40,2)</f>
        <v>-31835671.239999998</v>
      </c>
      <c r="AJ21" s="423"/>
      <c r="AK21" s="668">
        <v>-2196131942.2099996</v>
      </c>
      <c r="AL21" s="668">
        <f>ROUND(+$AK21*'[5]II-F Alloc_Factor'!E$40,2)</f>
        <v>-1019515700.89</v>
      </c>
      <c r="AM21" s="668">
        <f>ROUND(+$AK21*'[5]II-F Alloc_Factor'!F$40,2)</f>
        <v>0</v>
      </c>
      <c r="AN21" s="668">
        <f>ROUND(+$AK21*'[5]II-F Alloc_Factor'!G$40,2)</f>
        <v>-1300680.1200000001</v>
      </c>
      <c r="AO21" s="668">
        <f>ROUND(+$AK21*'[5]II-F Alloc_Factor'!H$40,2)</f>
        <v>-1020816381.01</v>
      </c>
      <c r="AP21" s="668">
        <f>ROUND(+$AK21*'[5]II-F Alloc_Factor'!I$40,2)</f>
        <v>-1105648959.8099999</v>
      </c>
      <c r="AQ21" s="668">
        <f>ROUND(+$AK21*'[5]II-F Alloc_Factor'!J$40,2)</f>
        <v>0</v>
      </c>
      <c r="AR21" s="668">
        <f>ROUND(+$AK21*'[5]II-F Alloc_Factor'!K$40,2)</f>
        <v>-1105648959.8099999</v>
      </c>
      <c r="AS21" s="668">
        <f>ROUND(+$AK21*'[5]II-F Alloc_Factor'!L$40,2)</f>
        <v>-37601742.409999996</v>
      </c>
      <c r="AT21" s="668">
        <f>ROUND(+$AK21*'[5]II-F Alloc_Factor'!M$40,2)</f>
        <v>-32064858.989999998</v>
      </c>
      <c r="AU21" s="423"/>
      <c r="AV21" s="668">
        <v>-2211829080.7399998</v>
      </c>
      <c r="AW21" s="668">
        <f>ROUND(+$AV21*'[5]II-F Alloc_Factor'!E$40,2)</f>
        <v>-1026802821.88</v>
      </c>
      <c r="AX21" s="668">
        <f>ROUND(+$AV21*'[5]II-F Alloc_Factor'!F$40,2)</f>
        <v>0</v>
      </c>
      <c r="AY21" s="668">
        <f>ROUND(+$AV21*'[5]II-F Alloc_Factor'!G$40,2)</f>
        <v>-1309976.8999999999</v>
      </c>
      <c r="AZ21" s="668">
        <f>ROUND(+$AV21*'[5]II-F Alloc_Factor'!H$40,2)</f>
        <v>-1028112798.78</v>
      </c>
      <c r="BA21" s="668">
        <f>ROUND(+$AV21*'[5]II-F Alloc_Factor'!I$40,2)</f>
        <v>-1113551729.47</v>
      </c>
      <c r="BB21" s="668">
        <f>ROUND(+$AV21*'[5]II-F Alloc_Factor'!J$40,2)</f>
        <v>0</v>
      </c>
      <c r="BC21" s="668">
        <f>ROUND(+$AV21*'[5]II-F Alloc_Factor'!K$40,2)</f>
        <v>-1113551729.47</v>
      </c>
      <c r="BD21" s="668">
        <f>ROUND(+$AV21*'[5]II-F Alloc_Factor'!L$40,2)</f>
        <v>-37870505.75</v>
      </c>
      <c r="BE21" s="668">
        <f>ROUND(+$AV21*'[5]II-F Alloc_Factor'!M$40,2)</f>
        <v>-32294046.739999998</v>
      </c>
      <c r="BF21" s="423"/>
      <c r="BG21" s="668">
        <v>-2227189011.2799997</v>
      </c>
      <c r="BH21" s="668">
        <f>ROUND(+$BG21*'[5]II-F Alloc_Factor'!E$40,2)</f>
        <v>-1033933399.99</v>
      </c>
      <c r="BI21" s="668">
        <f>ROUND(+$BG21*'[5]II-F Alloc_Factor'!F$40,2)</f>
        <v>0</v>
      </c>
      <c r="BJ21" s="668">
        <f>ROUND(+$BG21*'[5]II-F Alloc_Factor'!G$40,2)</f>
        <v>-1319073.97</v>
      </c>
      <c r="BK21" s="668">
        <f>ROUND(+$BG21*'[5]II-F Alloc_Factor'!H$40,2)</f>
        <v>-1035252473.96</v>
      </c>
      <c r="BL21" s="668">
        <f>ROUND(+$BG21*'[5]II-F Alloc_Factor'!I$40,2)</f>
        <v>-1121284730.8</v>
      </c>
      <c r="BM21" s="668">
        <f>ROUND(+$BG21*'[5]II-F Alloc_Factor'!J$40,2)</f>
        <v>0</v>
      </c>
      <c r="BN21" s="668">
        <f>ROUND(+$BG21*'[5]II-F Alloc_Factor'!K$40,2)</f>
        <v>-1121284730.8</v>
      </c>
      <c r="BO21" s="668">
        <f>ROUND(+$BG21*'[5]II-F Alloc_Factor'!L$40,2)</f>
        <v>-38133495.479999997</v>
      </c>
      <c r="BP21" s="668">
        <f>ROUND(+$BG21*'[5]II-F Alloc_Factor'!M$40,2)</f>
        <v>-32518311.039999999</v>
      </c>
      <c r="BQ21" s="423"/>
      <c r="BR21" s="668">
        <v>-2242829948.4799995</v>
      </c>
      <c r="BS21" s="668">
        <f>ROUND(+$BR21*'[5]II-F Alloc_Factor'!E$40,2)</f>
        <v>-1041194430.51</v>
      </c>
      <c r="BT21" s="668">
        <f>ROUND(+$BR21*'[5]II-F Alloc_Factor'!F$40,2)</f>
        <v>0</v>
      </c>
      <c r="BU21" s="668">
        <f>ROUND(+$BR21*'[5]II-F Alloc_Factor'!G$40,2)</f>
        <v>-1328337.46</v>
      </c>
      <c r="BV21" s="668">
        <f>ROUND(+$BR21*'[5]II-F Alloc_Factor'!H$40,2)</f>
        <v>-1042522767.97</v>
      </c>
      <c r="BW21" s="668">
        <f>ROUND(+$BR21*'[5]II-F Alloc_Factor'!I$40,2)</f>
        <v>-1129159205.74</v>
      </c>
      <c r="BX21" s="668">
        <f>ROUND(+$BR21*'[5]II-F Alloc_Factor'!J$40,2)</f>
        <v>0</v>
      </c>
      <c r="BY21" s="668">
        <f>ROUND(+$BR21*'[5]II-F Alloc_Factor'!K$40,2)</f>
        <v>-1129159205.74</v>
      </c>
      <c r="BZ21" s="668">
        <f>ROUND(+$BR21*'[5]II-F Alloc_Factor'!L$40,2)</f>
        <v>-38401296.549999997</v>
      </c>
      <c r="CA21" s="668">
        <f>ROUND(+$BR21*'[5]II-F Alloc_Factor'!M$40,2)</f>
        <v>-32746678.219999999</v>
      </c>
      <c r="CB21" s="423"/>
      <c r="CC21" s="668">
        <v>-2258470885.6699996</v>
      </c>
      <c r="CD21" s="668">
        <f>ROUND(+$CC21*'[5]II-F Alloc_Factor'!E$40,2)</f>
        <v>-1048455461.02</v>
      </c>
      <c r="CE21" s="668">
        <f>ROUND(+$CC21*'[5]II-F Alloc_Factor'!F$40,2)</f>
        <v>0</v>
      </c>
      <c r="CF21" s="668">
        <f>ROUND(+$CC21*'[5]II-F Alloc_Factor'!G$40,2)</f>
        <v>-1337600.96</v>
      </c>
      <c r="CG21" s="668">
        <f>ROUND(+$CC21*'[5]II-F Alloc_Factor'!H$40,2)</f>
        <v>-1049793061.98</v>
      </c>
      <c r="CH21" s="668">
        <f>ROUND(+$CC21*'[5]II-F Alloc_Factor'!I$40,2)</f>
        <v>-1137033680.6800001</v>
      </c>
      <c r="CI21" s="668">
        <f>ROUND(+$CC21*'[5]II-F Alloc_Factor'!J$40,2)</f>
        <v>0</v>
      </c>
      <c r="CJ21" s="668">
        <f>ROUND(+$CC21*'[5]II-F Alloc_Factor'!K$40,2)</f>
        <v>-1137033680.6800001</v>
      </c>
      <c r="CK21" s="668">
        <f>ROUND(+$CC21*'[5]II-F Alloc_Factor'!L$40,2)</f>
        <v>-38669097.630000003</v>
      </c>
      <c r="CL21" s="668">
        <f>ROUND(+$CC21*'[5]II-F Alloc_Factor'!M$40,2)</f>
        <v>-32975045.390000001</v>
      </c>
      <c r="CM21" s="423"/>
      <c r="CN21" s="668">
        <v>-2266175051.2999997</v>
      </c>
      <c r="CO21" s="668">
        <f>ROUND(+$CN21*'[5]II-F Alloc_Factor'!E$40,2)</f>
        <v>-1052031984.67</v>
      </c>
      <c r="CP21" s="668">
        <f>ROUND(+$CN21*'[5]II-F Alloc_Factor'!F$40,2)</f>
        <v>0</v>
      </c>
      <c r="CQ21" s="668">
        <f>ROUND(+$CN21*'[5]II-F Alloc_Factor'!G$40,2)</f>
        <v>-1342163.8200000001</v>
      </c>
      <c r="CR21" s="668">
        <f>ROUND(+$CN21*'[5]II-F Alloc_Factor'!H$40,2)</f>
        <v>-1053374148.49</v>
      </c>
      <c r="CS21" s="668">
        <f>ROUND(+$CN21*'[5]II-F Alloc_Factor'!I$40,2)</f>
        <v>-1140912365.0799999</v>
      </c>
      <c r="CT21" s="668">
        <f>ROUND(+$CN21*'[5]II-F Alloc_Factor'!J$40,2)</f>
        <v>0</v>
      </c>
      <c r="CU21" s="668">
        <f>ROUND(+$CN21*'[5]II-F Alloc_Factor'!K$40,2)</f>
        <v>-1140912365.0799999</v>
      </c>
      <c r="CV21" s="668">
        <f>ROUND(+$CN21*'[5]II-F Alloc_Factor'!L$40,2)</f>
        <v>-38801006.850000001</v>
      </c>
      <c r="CW21" s="668">
        <f>ROUND(+$CN21*'[5]II-F Alloc_Factor'!M$40,2)</f>
        <v>-33087530.879999999</v>
      </c>
      <c r="CX21" s="423"/>
      <c r="CY21" s="668">
        <v>-2281626143.29</v>
      </c>
      <c r="CZ21" s="668">
        <f>ROUND(+$CY21*'[5]II-F Alloc_Factor'!E$40,2)</f>
        <v>-1059204882.88</v>
      </c>
      <c r="DA21" s="668">
        <f>ROUND(+$CY21*'[5]II-F Alloc_Factor'!F$40,2)</f>
        <v>0</v>
      </c>
      <c r="DB21" s="668">
        <f>ROUND(+$CY21*'[5]II-F Alloc_Factor'!G$40,2)</f>
        <v>-1351314.8799999999</v>
      </c>
      <c r="DC21" s="668">
        <f>ROUND(+$CY21*'[5]II-F Alloc_Factor'!H$40,2)</f>
        <v>-1060556197.76</v>
      </c>
      <c r="DD21" s="668">
        <f>ROUND(+$CY21*'[5]II-F Alloc_Factor'!I$40,2)</f>
        <v>-1148691261.9000001</v>
      </c>
      <c r="DE21" s="668">
        <f>ROUND(+$CY21*'[5]II-F Alloc_Factor'!J$40,2)</f>
        <v>0</v>
      </c>
      <c r="DF21" s="668">
        <f>ROUND(+$CY21*'[5]II-F Alloc_Factor'!K$40,2)</f>
        <v>-1148691261.9000001</v>
      </c>
      <c r="DG21" s="668">
        <f>ROUND(+$CY21*'[5]II-F Alloc_Factor'!L$40,2)</f>
        <v>-39065557.43</v>
      </c>
      <c r="DH21" s="668">
        <f>ROUND(+$CY21*'[5]II-F Alloc_Factor'!M$40,2)</f>
        <v>-33313126.199999999</v>
      </c>
      <c r="DI21" s="423"/>
      <c r="DJ21" s="668">
        <v>-2297077235.2699995</v>
      </c>
      <c r="DK21" s="668">
        <f>ROUND(+$DJ21*'[5]II-F Alloc_Factor'!E$40,2)</f>
        <v>-1066377781.09</v>
      </c>
      <c r="DL21" s="668">
        <f>ROUND(+$DJ21*'[5]II-F Alloc_Factor'!F$40,2)</f>
        <v>0</v>
      </c>
      <c r="DM21" s="668">
        <f>ROUND(+$DJ21*'[5]II-F Alloc_Factor'!G$40,2)</f>
        <v>-1360465.9299999999</v>
      </c>
      <c r="DN21" s="668">
        <f>ROUND(+$DJ21*'[5]II-F Alloc_Factor'!H$40,2)</f>
        <v>-1067738247.02</v>
      </c>
      <c r="DO21" s="668">
        <f>ROUND(+$DJ21*'[5]II-F Alloc_Factor'!I$40,2)</f>
        <v>-1156470158.72</v>
      </c>
      <c r="DP21" s="668">
        <f>ROUND(+$DJ21*'[5]II-F Alloc_Factor'!J$40,2)</f>
        <v>0</v>
      </c>
      <c r="DQ21" s="668">
        <f>ROUND(+$DJ21*'[5]II-F Alloc_Factor'!K$40,2)</f>
        <v>-1156470158.72</v>
      </c>
      <c r="DR21" s="668">
        <f>ROUND(+$DJ21*'[5]II-F Alloc_Factor'!L$40,2)</f>
        <v>-39330108.009999998</v>
      </c>
      <c r="DS21" s="668">
        <f>ROUND(+$DJ21*'[5]II-F Alloc_Factor'!M$40,2)</f>
        <v>-33538721.52</v>
      </c>
      <c r="DT21" s="423"/>
      <c r="DU21" s="668">
        <v>-2312257563.5799999</v>
      </c>
      <c r="DV21" s="668">
        <f>ROUND(+$DU21*'[5]II-F Alloc_Factor'!E$40,2)</f>
        <v>-1073424982.01</v>
      </c>
      <c r="DW21" s="668">
        <f>ROUND(+$DU21*'[5]II-F Alloc_Factor'!F$40,2)</f>
        <v>0</v>
      </c>
      <c r="DX21" s="668">
        <f>ROUND(+$DU21*'[5]II-F Alloc_Factor'!G$40,2)</f>
        <v>-1369456.6299999999</v>
      </c>
      <c r="DY21" s="668">
        <f t="shared" si="1"/>
        <v>-1074794438.6400001</v>
      </c>
      <c r="DZ21" s="668">
        <f>ROUND(+$DU21*'[5]II-F Alloc_Factor'!I$40,2)</f>
        <v>-1164112738.79</v>
      </c>
      <c r="EA21" s="668">
        <f>ROUND(+$DU21*'[5]II-F Alloc_Factor'!J$40,2)</f>
        <v>0</v>
      </c>
      <c r="EB21" s="668">
        <f t="shared" si="2"/>
        <v>-1164112738.79</v>
      </c>
      <c r="EC21" s="668">
        <f>ROUND(+$DU21*'[5]II-F Alloc_Factor'!L$40,2)</f>
        <v>-39590022.630000003</v>
      </c>
      <c r="ED21" s="668">
        <f>ROUND(+$DU21*'[5]II-F Alloc_Factor'!M$40,2)</f>
        <v>-33760363.530000001</v>
      </c>
      <c r="EE21" s="754">
        <f>+DU21+'II-E-3.5'!K27</f>
        <v>0</v>
      </c>
      <c r="EF21" s="754">
        <f t="shared" si="3"/>
        <v>-0.010000705718994141</v>
      </c>
      <c r="EH21" s="754"/>
    </row>
    <row r="22" spans="1:138" s="421" customFormat="1" ht="12.75">
      <c r="A22" s="524">
        <f t="shared" si="6" ref="A22:A75">1+A21</f>
        <v>10</v>
      </c>
      <c r="B22" s="184" t="s">
        <v>436</v>
      </c>
      <c r="C22" s="420" t="s">
        <v>798</v>
      </c>
      <c r="D22" s="668">
        <v>-168795699.59999999</v>
      </c>
      <c r="E22" s="668">
        <f>ROUND(+$D22*'[5]II-F Alloc_Factor'!E$40,2)</f>
        <v>-78360440.319999993</v>
      </c>
      <c r="F22" s="668">
        <f>ROUND(+$D22*'[5]II-F Alloc_Factor'!F$40,2)</f>
        <v>0</v>
      </c>
      <c r="G22" s="668">
        <f>ROUND(+$D22*'[5]II-F Alloc_Factor'!G$40,2)</f>
        <v>-99970.869999999995</v>
      </c>
      <c r="H22" s="668">
        <f>ROUND(+$D22*'[5]II-F Alloc_Factor'!H$40,2)</f>
        <v>-78460411.180000007</v>
      </c>
      <c r="I22" s="668">
        <f>ROUND(+$D22*'[5]II-F Alloc_Factor'!I$40,2)</f>
        <v>-84980681.760000005</v>
      </c>
      <c r="J22" s="668">
        <f>ROUND(+$D22*'[5]II-F Alloc_Factor'!J$40,2)</f>
        <v>0</v>
      </c>
      <c r="K22" s="668">
        <f>ROUND(+$D22*'[5]II-F Alloc_Factor'!K$40,2)</f>
        <v>-84980681.760000005</v>
      </c>
      <c r="L22" s="668">
        <f>ROUND(+$D22*'[5]II-F Alloc_Factor'!L$40,2)</f>
        <v>-2890087.02</v>
      </c>
      <c r="M22" s="668">
        <f>ROUND(+$D22*'[5]II-F Alloc_Factor'!M$40,2)</f>
        <v>-2464519.6400000001</v>
      </c>
      <c r="N22" s="669"/>
      <c r="O22" s="102">
        <v>-168795699.59999999</v>
      </c>
      <c r="P22" s="668">
        <f>ROUND(+$O22*'[5]II-F Alloc_Factor'!E$40,2)</f>
        <v>-78360440.319999993</v>
      </c>
      <c r="Q22" s="668">
        <f>ROUND(+$O22*'[5]II-F Alloc_Factor'!F$40,2)</f>
        <v>0</v>
      </c>
      <c r="R22" s="668">
        <f>ROUND(+$O22*'[5]II-F Alloc_Factor'!G$40,2)</f>
        <v>-99970.869999999995</v>
      </c>
      <c r="S22" s="668">
        <f>ROUND(+$O22*'[5]II-F Alloc_Factor'!H$40,2)</f>
        <v>-78460411.180000007</v>
      </c>
      <c r="T22" s="668">
        <f>ROUND(+$O22*'[5]II-F Alloc_Factor'!I$40,2)</f>
        <v>-84980681.760000005</v>
      </c>
      <c r="U22" s="668">
        <f>ROUND(+$O22*'[5]II-F Alloc_Factor'!J$40,2)</f>
        <v>0</v>
      </c>
      <c r="V22" s="668">
        <f>ROUND(+$O22*'[5]II-F Alloc_Factor'!K$40,2)</f>
        <v>-84980681.760000005</v>
      </c>
      <c r="W22" s="668">
        <f>ROUND(+$O22*'[5]II-F Alloc_Factor'!L$40,2)</f>
        <v>-2890087.02</v>
      </c>
      <c r="X22" s="668">
        <f>ROUND(+$O22*'[5]II-F Alloc_Factor'!M$40,2)</f>
        <v>-2464519.6400000001</v>
      </c>
      <c r="Y22" s="423"/>
      <c r="Z22" s="668">
        <v>-168795699.59999999</v>
      </c>
      <c r="AA22" s="668">
        <f>ROUND(+$Z22*'[5]II-F Alloc_Factor'!E$40,2)</f>
        <v>-78360440.319999993</v>
      </c>
      <c r="AB22" s="668">
        <f>ROUND(+$Z22*'[5]II-F Alloc_Factor'!F$40,2)</f>
        <v>0</v>
      </c>
      <c r="AC22" s="668">
        <f>ROUND(+$Z22*'[5]II-F Alloc_Factor'!G$40,2)</f>
        <v>-99970.869999999995</v>
      </c>
      <c r="AD22" s="668">
        <f>ROUND(+$Z22*'[5]II-F Alloc_Factor'!H$40,2)</f>
        <v>-78460411.180000007</v>
      </c>
      <c r="AE22" s="668">
        <f>ROUND(+$Z22*'[5]II-F Alloc_Factor'!I$40,2)</f>
        <v>-84980681.760000005</v>
      </c>
      <c r="AF22" s="668">
        <f>ROUND(+$Z22*'[5]II-F Alloc_Factor'!J$40,2)</f>
        <v>0</v>
      </c>
      <c r="AG22" s="668">
        <f>ROUND(+$Z22*'[5]II-F Alloc_Factor'!K$40,2)</f>
        <v>-84980681.760000005</v>
      </c>
      <c r="AH22" s="668">
        <f>ROUND(+$Z22*'[5]II-F Alloc_Factor'!L$40,2)</f>
        <v>-2890087.02</v>
      </c>
      <c r="AI22" s="668">
        <f>ROUND(+$Z22*'[5]II-F Alloc_Factor'!M$40,2)</f>
        <v>-2464519.6400000001</v>
      </c>
      <c r="AJ22" s="423"/>
      <c r="AK22" s="668">
        <v>-168795699.59999999</v>
      </c>
      <c r="AL22" s="668">
        <f>ROUND(+$AK22*'[5]II-F Alloc_Factor'!E$40,2)</f>
        <v>-78360440.319999993</v>
      </c>
      <c r="AM22" s="668">
        <f>ROUND(+$AK22*'[5]II-F Alloc_Factor'!F$40,2)</f>
        <v>0</v>
      </c>
      <c r="AN22" s="668">
        <f>ROUND(+$AK22*'[5]II-F Alloc_Factor'!G$40,2)</f>
        <v>-99970.869999999995</v>
      </c>
      <c r="AO22" s="668">
        <f>ROUND(+$AK22*'[5]II-F Alloc_Factor'!H$40,2)</f>
        <v>-78460411.180000007</v>
      </c>
      <c r="AP22" s="668">
        <f>ROUND(+$AK22*'[5]II-F Alloc_Factor'!I$40,2)</f>
        <v>-84980681.760000005</v>
      </c>
      <c r="AQ22" s="668">
        <f>ROUND(+$AK22*'[5]II-F Alloc_Factor'!J$40,2)</f>
        <v>0</v>
      </c>
      <c r="AR22" s="668">
        <f>ROUND(+$AK22*'[5]II-F Alloc_Factor'!K$40,2)</f>
        <v>-84980681.760000005</v>
      </c>
      <c r="AS22" s="668">
        <f>ROUND(+$AK22*'[5]II-F Alloc_Factor'!L$40,2)</f>
        <v>-2890087.02</v>
      </c>
      <c r="AT22" s="668">
        <f>ROUND(+$AK22*'[5]II-F Alloc_Factor'!M$40,2)</f>
        <v>-2464519.6400000001</v>
      </c>
      <c r="AU22" s="423"/>
      <c r="AV22" s="668">
        <v>-168795699.59999999</v>
      </c>
      <c r="AW22" s="668">
        <f>ROUND(+$AV22*'[5]II-F Alloc_Factor'!E$40,2)</f>
        <v>-78360440.319999993</v>
      </c>
      <c r="AX22" s="668">
        <f>ROUND(+$AV22*'[5]II-F Alloc_Factor'!F$40,2)</f>
        <v>0</v>
      </c>
      <c r="AY22" s="668">
        <f>ROUND(+$AV22*'[5]II-F Alloc_Factor'!G$40,2)</f>
        <v>-99970.869999999995</v>
      </c>
      <c r="AZ22" s="668">
        <f>ROUND(+$AV22*'[5]II-F Alloc_Factor'!H$40,2)</f>
        <v>-78460411.180000007</v>
      </c>
      <c r="BA22" s="668">
        <f>ROUND(+$AV22*'[5]II-F Alloc_Factor'!I$40,2)</f>
        <v>-84980681.760000005</v>
      </c>
      <c r="BB22" s="668">
        <f>ROUND(+$AV22*'[5]II-F Alloc_Factor'!J$40,2)</f>
        <v>0</v>
      </c>
      <c r="BC22" s="668">
        <f>ROUND(+$AV22*'[5]II-F Alloc_Factor'!K$40,2)</f>
        <v>-84980681.760000005</v>
      </c>
      <c r="BD22" s="668">
        <f>ROUND(+$AV22*'[5]II-F Alloc_Factor'!L$40,2)</f>
        <v>-2890087.02</v>
      </c>
      <c r="BE22" s="668">
        <f>ROUND(+$AV22*'[5]II-F Alloc_Factor'!M$40,2)</f>
        <v>-2464519.6400000001</v>
      </c>
      <c r="BF22" s="423"/>
      <c r="BG22" s="668">
        <v>-168795699.59999999</v>
      </c>
      <c r="BH22" s="668">
        <f>ROUND(+$BG22*'[5]II-F Alloc_Factor'!E$40,2)</f>
        <v>-78360440.319999993</v>
      </c>
      <c r="BI22" s="668">
        <f>ROUND(+$BG22*'[5]II-F Alloc_Factor'!F$40,2)</f>
        <v>0</v>
      </c>
      <c r="BJ22" s="668">
        <f>ROUND(+$BG22*'[5]II-F Alloc_Factor'!G$40,2)</f>
        <v>-99970.869999999995</v>
      </c>
      <c r="BK22" s="668">
        <f>ROUND(+$BG22*'[5]II-F Alloc_Factor'!H$40,2)</f>
        <v>-78460411.180000007</v>
      </c>
      <c r="BL22" s="668">
        <f>ROUND(+$BG22*'[5]II-F Alloc_Factor'!I$40,2)</f>
        <v>-84980681.760000005</v>
      </c>
      <c r="BM22" s="668">
        <f>ROUND(+$BG22*'[5]II-F Alloc_Factor'!J$40,2)</f>
        <v>0</v>
      </c>
      <c r="BN22" s="668">
        <f>ROUND(+$BG22*'[5]II-F Alloc_Factor'!K$40,2)</f>
        <v>-84980681.760000005</v>
      </c>
      <c r="BO22" s="668">
        <f>ROUND(+$BG22*'[5]II-F Alloc_Factor'!L$40,2)</f>
        <v>-2890087.02</v>
      </c>
      <c r="BP22" s="668">
        <f>ROUND(+$BG22*'[5]II-F Alloc_Factor'!M$40,2)</f>
        <v>-2464519.6400000001</v>
      </c>
      <c r="BQ22" s="423"/>
      <c r="BR22" s="668">
        <v>-168795699.59999999</v>
      </c>
      <c r="BS22" s="668">
        <f>ROUND(+$BR22*'[5]II-F Alloc_Factor'!E$40,2)</f>
        <v>-78360440.319999993</v>
      </c>
      <c r="BT22" s="668">
        <f>ROUND(+$BR22*'[5]II-F Alloc_Factor'!F$40,2)</f>
        <v>0</v>
      </c>
      <c r="BU22" s="668">
        <f>ROUND(+$BR22*'[5]II-F Alloc_Factor'!G$40,2)</f>
        <v>-99970.869999999995</v>
      </c>
      <c r="BV22" s="668">
        <f>ROUND(+$BR22*'[5]II-F Alloc_Factor'!H$40,2)</f>
        <v>-78460411.180000007</v>
      </c>
      <c r="BW22" s="668">
        <f>ROUND(+$BR22*'[5]II-F Alloc_Factor'!I$40,2)</f>
        <v>-84980681.760000005</v>
      </c>
      <c r="BX22" s="668">
        <f>ROUND(+$BR22*'[5]II-F Alloc_Factor'!J$40,2)</f>
        <v>0</v>
      </c>
      <c r="BY22" s="668">
        <f>ROUND(+$BR22*'[5]II-F Alloc_Factor'!K$40,2)</f>
        <v>-84980681.760000005</v>
      </c>
      <c r="BZ22" s="668">
        <f>ROUND(+$BR22*'[5]II-F Alloc_Factor'!L$40,2)</f>
        <v>-2890087.02</v>
      </c>
      <c r="CA22" s="668">
        <f>ROUND(+$BR22*'[5]II-F Alloc_Factor'!M$40,2)</f>
        <v>-2464519.6400000001</v>
      </c>
      <c r="CB22" s="423"/>
      <c r="CC22" s="668">
        <v>-168795699.59999999</v>
      </c>
      <c r="CD22" s="668">
        <f>ROUND(+$CC22*'[5]II-F Alloc_Factor'!E$40,2)</f>
        <v>-78360440.319999993</v>
      </c>
      <c r="CE22" s="668">
        <f>ROUND(+$CC22*'[5]II-F Alloc_Factor'!F$40,2)</f>
        <v>0</v>
      </c>
      <c r="CF22" s="668">
        <f>ROUND(+$CC22*'[5]II-F Alloc_Factor'!G$40,2)</f>
        <v>-99970.869999999995</v>
      </c>
      <c r="CG22" s="668">
        <f>ROUND(+$CC22*'[5]II-F Alloc_Factor'!H$40,2)</f>
        <v>-78460411.180000007</v>
      </c>
      <c r="CH22" s="668">
        <f>ROUND(+$CC22*'[5]II-F Alloc_Factor'!I$40,2)</f>
        <v>-84980681.760000005</v>
      </c>
      <c r="CI22" s="668">
        <f>ROUND(+$CC22*'[5]II-F Alloc_Factor'!J$40,2)</f>
        <v>0</v>
      </c>
      <c r="CJ22" s="668">
        <f>ROUND(+$CC22*'[5]II-F Alloc_Factor'!K$40,2)</f>
        <v>-84980681.760000005</v>
      </c>
      <c r="CK22" s="668">
        <f>ROUND(+$CC22*'[5]II-F Alloc_Factor'!L$40,2)</f>
        <v>-2890087.02</v>
      </c>
      <c r="CL22" s="668">
        <f>ROUND(+$CC22*'[5]II-F Alloc_Factor'!M$40,2)</f>
        <v>-2464519.6400000001</v>
      </c>
      <c r="CM22" s="423"/>
      <c r="CN22" s="668">
        <v>-168795699.59999999</v>
      </c>
      <c r="CO22" s="668">
        <f>ROUND(+$CN22*'[5]II-F Alloc_Factor'!E$40,2)</f>
        <v>-78360440.319999993</v>
      </c>
      <c r="CP22" s="668">
        <f>ROUND(+$CN22*'[5]II-F Alloc_Factor'!F$40,2)</f>
        <v>0</v>
      </c>
      <c r="CQ22" s="668">
        <f>ROUND(+$CN22*'[5]II-F Alloc_Factor'!G$40,2)</f>
        <v>-99970.869999999995</v>
      </c>
      <c r="CR22" s="668">
        <f>ROUND(+$CN22*'[5]II-F Alloc_Factor'!H$40,2)</f>
        <v>-78460411.180000007</v>
      </c>
      <c r="CS22" s="668">
        <f>ROUND(+$CN22*'[5]II-F Alloc_Factor'!I$40,2)</f>
        <v>-84980681.760000005</v>
      </c>
      <c r="CT22" s="668">
        <f>ROUND(+$CN22*'[5]II-F Alloc_Factor'!J$40,2)</f>
        <v>0</v>
      </c>
      <c r="CU22" s="668">
        <f>ROUND(+$CN22*'[5]II-F Alloc_Factor'!K$40,2)</f>
        <v>-84980681.760000005</v>
      </c>
      <c r="CV22" s="668">
        <f>ROUND(+$CN22*'[5]II-F Alloc_Factor'!L$40,2)</f>
        <v>-2890087.02</v>
      </c>
      <c r="CW22" s="668">
        <f>ROUND(+$CN22*'[5]II-F Alloc_Factor'!M$40,2)</f>
        <v>-2464519.6400000001</v>
      </c>
      <c r="CX22" s="423"/>
      <c r="CY22" s="668">
        <v>-168795699.59999999</v>
      </c>
      <c r="CZ22" s="668">
        <f>ROUND(+$CY22*'[5]II-F Alloc_Factor'!E$40,2)</f>
        <v>-78360440.319999993</v>
      </c>
      <c r="DA22" s="668">
        <f>ROUND(+$CY22*'[5]II-F Alloc_Factor'!F$40,2)</f>
        <v>0</v>
      </c>
      <c r="DB22" s="668">
        <f>ROUND(+$CY22*'[5]II-F Alloc_Factor'!G$40,2)</f>
        <v>-99970.869999999995</v>
      </c>
      <c r="DC22" s="668">
        <f>ROUND(+$CY22*'[5]II-F Alloc_Factor'!H$40,2)</f>
        <v>-78460411.180000007</v>
      </c>
      <c r="DD22" s="668">
        <f>ROUND(+$CY22*'[5]II-F Alloc_Factor'!I$40,2)</f>
        <v>-84980681.760000005</v>
      </c>
      <c r="DE22" s="668">
        <f>ROUND(+$CY22*'[5]II-F Alloc_Factor'!J$40,2)</f>
        <v>0</v>
      </c>
      <c r="DF22" s="668">
        <f>ROUND(+$CY22*'[5]II-F Alloc_Factor'!K$40,2)</f>
        <v>-84980681.760000005</v>
      </c>
      <c r="DG22" s="668">
        <f>ROUND(+$CY22*'[5]II-F Alloc_Factor'!L$40,2)</f>
        <v>-2890087.02</v>
      </c>
      <c r="DH22" s="668">
        <f>ROUND(+$CY22*'[5]II-F Alloc_Factor'!M$40,2)</f>
        <v>-2464519.6400000001</v>
      </c>
      <c r="DI22" s="423"/>
      <c r="DJ22" s="668">
        <v>-168795699.59999999</v>
      </c>
      <c r="DK22" s="668">
        <f>ROUND(+$DJ22*'[5]II-F Alloc_Factor'!E$40,2)</f>
        <v>-78360440.319999993</v>
      </c>
      <c r="DL22" s="668">
        <f>ROUND(+$DJ22*'[5]II-F Alloc_Factor'!F$40,2)</f>
        <v>0</v>
      </c>
      <c r="DM22" s="668">
        <f>ROUND(+$DJ22*'[5]II-F Alloc_Factor'!G$40,2)</f>
        <v>-99970.869999999995</v>
      </c>
      <c r="DN22" s="668">
        <f>ROUND(+$DJ22*'[5]II-F Alloc_Factor'!H$40,2)</f>
        <v>-78460411.180000007</v>
      </c>
      <c r="DO22" s="668">
        <f>ROUND(+$DJ22*'[5]II-F Alloc_Factor'!I$40,2)</f>
        <v>-84980681.760000005</v>
      </c>
      <c r="DP22" s="668">
        <f>ROUND(+$DJ22*'[5]II-F Alloc_Factor'!J$40,2)</f>
        <v>0</v>
      </c>
      <c r="DQ22" s="668">
        <f>ROUND(+$DJ22*'[5]II-F Alloc_Factor'!K$40,2)</f>
        <v>-84980681.760000005</v>
      </c>
      <c r="DR22" s="668">
        <f>ROUND(+$DJ22*'[5]II-F Alloc_Factor'!L$40,2)</f>
        <v>-2890087.02</v>
      </c>
      <c r="DS22" s="668">
        <f>ROUND(+$DJ22*'[5]II-F Alloc_Factor'!M$40,2)</f>
        <v>-2464519.6400000001</v>
      </c>
      <c r="DT22" s="423"/>
      <c r="DU22" s="668">
        <v>-168795699.59999999</v>
      </c>
      <c r="DV22" s="668">
        <f>ROUND(+$DU22*'[5]II-F Alloc_Factor'!E$40,2)</f>
        <v>-78360440.319999993</v>
      </c>
      <c r="DW22" s="668">
        <f>ROUND(+$DU22*'[5]II-F Alloc_Factor'!F$40,2)</f>
        <v>0</v>
      </c>
      <c r="DX22" s="668">
        <f>ROUND(+$DU22*'[5]II-F Alloc_Factor'!G$40,2)</f>
        <v>-99970.869999999995</v>
      </c>
      <c r="DY22" s="668">
        <f t="shared" si="1"/>
        <v>-78460411.189999998</v>
      </c>
      <c r="DZ22" s="668">
        <f>ROUND(+$DU22*'[5]II-F Alloc_Factor'!I$40,2)</f>
        <v>-84980681.760000005</v>
      </c>
      <c r="EA22" s="668">
        <f>ROUND(+$DU22*'[5]II-F Alloc_Factor'!J$40,2)</f>
        <v>0</v>
      </c>
      <c r="EB22" s="668">
        <f t="shared" si="2"/>
        <v>-84980681.760000005</v>
      </c>
      <c r="EC22" s="668">
        <f>ROUND(+$DU22*'[5]II-F Alloc_Factor'!L$40,2)</f>
        <v>-2890087.02</v>
      </c>
      <c r="ED22" s="668">
        <f>ROUND(+$DU22*'[5]II-F Alloc_Factor'!M$40,2)</f>
        <v>-2464519.6400000001</v>
      </c>
      <c r="EE22" s="754">
        <f>+DU22+'II-E-3.5'!K28</f>
        <v>0</v>
      </c>
      <c r="EF22" s="754">
        <f t="shared" si="3"/>
        <v>-0.0099999904632568359</v>
      </c>
      <c r="EH22" s="754"/>
    </row>
    <row r="23" spans="1:138" s="421" customFormat="1" ht="12.75">
      <c r="A23" s="524">
        <f t="shared" si="6"/>
        <v>11</v>
      </c>
      <c r="B23" s="184" t="s">
        <v>370</v>
      </c>
      <c r="C23" s="420" t="s">
        <v>798</v>
      </c>
      <c r="D23" s="668">
        <v>-5190674.8600000003</v>
      </c>
      <c r="E23" s="668">
        <f>ROUND(+$D23*'[5]II-F Alloc_Factor'!E$40,2)</f>
        <v>-2409679.6800000002</v>
      </c>
      <c r="F23" s="668">
        <f>ROUND(+$D23*'[5]II-F Alloc_Factor'!F$40,2)</f>
        <v>0</v>
      </c>
      <c r="G23" s="668">
        <f>ROUND(+$D23*'[5]II-F Alloc_Factor'!G$40,2)</f>
        <v>-3074.23</v>
      </c>
      <c r="H23" s="668">
        <f>ROUND(+$D23*'[5]II-F Alloc_Factor'!H$40,2)</f>
        <v>-2412753.9100000001</v>
      </c>
      <c r="I23" s="668">
        <f>ROUND(+$D23*'[5]II-F Alloc_Factor'!I$40,2)</f>
        <v>-2613260.23</v>
      </c>
      <c r="J23" s="668">
        <f>ROUND(+$D23*'[5]II-F Alloc_Factor'!J$40,2)</f>
        <v>0</v>
      </c>
      <c r="K23" s="668">
        <f>ROUND(+$D23*'[5]II-F Alloc_Factor'!K$40,2)</f>
        <v>-2613260.23</v>
      </c>
      <c r="L23" s="668">
        <f>ROUND(+$D23*'[5]II-F Alloc_Factor'!L$40,2)</f>
        <v>-88873.720000000001</v>
      </c>
      <c r="M23" s="668">
        <f>ROUND(+$D23*'[5]II-F Alloc_Factor'!M$40,2)</f>
        <v>-75787</v>
      </c>
      <c r="N23" s="669"/>
      <c r="O23" s="102">
        <v>-5190674.8600000003</v>
      </c>
      <c r="P23" s="668">
        <f>ROUND(+$O23*'[5]II-F Alloc_Factor'!E$40,2)</f>
        <v>-2409679.6800000002</v>
      </c>
      <c r="Q23" s="668">
        <f>ROUND(+$O23*'[5]II-F Alloc_Factor'!F$40,2)</f>
        <v>0</v>
      </c>
      <c r="R23" s="668">
        <f>ROUND(+$O23*'[5]II-F Alloc_Factor'!G$40,2)</f>
        <v>-3074.23</v>
      </c>
      <c r="S23" s="668">
        <f>ROUND(+$O23*'[5]II-F Alloc_Factor'!H$40,2)</f>
        <v>-2412753.9100000001</v>
      </c>
      <c r="T23" s="668">
        <f>ROUND(+$O23*'[5]II-F Alloc_Factor'!I$40,2)</f>
        <v>-2613260.23</v>
      </c>
      <c r="U23" s="668">
        <f>ROUND(+$O23*'[5]II-F Alloc_Factor'!J$40,2)</f>
        <v>0</v>
      </c>
      <c r="V23" s="668">
        <f>ROUND(+$O23*'[5]II-F Alloc_Factor'!K$40,2)</f>
        <v>-2613260.23</v>
      </c>
      <c r="W23" s="668">
        <f>ROUND(+$O23*'[5]II-F Alloc_Factor'!L$40,2)</f>
        <v>-88873.720000000001</v>
      </c>
      <c r="X23" s="668">
        <f>ROUND(+$O23*'[5]II-F Alloc_Factor'!M$40,2)</f>
        <v>-75787</v>
      </c>
      <c r="Y23" s="423"/>
      <c r="Z23" s="668">
        <v>-5190674.8600000003</v>
      </c>
      <c r="AA23" s="668">
        <f>ROUND(+$Z23*'[5]II-F Alloc_Factor'!E$40,2)</f>
        <v>-2409679.6800000002</v>
      </c>
      <c r="AB23" s="668">
        <f>ROUND(+$Z23*'[5]II-F Alloc_Factor'!F$40,2)</f>
        <v>0</v>
      </c>
      <c r="AC23" s="668">
        <f>ROUND(+$Z23*'[5]II-F Alloc_Factor'!G$40,2)</f>
        <v>-3074.23</v>
      </c>
      <c r="AD23" s="668">
        <f>ROUND(+$Z23*'[5]II-F Alloc_Factor'!H$40,2)</f>
        <v>-2412753.9100000001</v>
      </c>
      <c r="AE23" s="668">
        <f>ROUND(+$Z23*'[5]II-F Alloc_Factor'!I$40,2)</f>
        <v>-2613260.23</v>
      </c>
      <c r="AF23" s="668">
        <f>ROUND(+$Z23*'[5]II-F Alloc_Factor'!J$40,2)</f>
        <v>0</v>
      </c>
      <c r="AG23" s="668">
        <f>ROUND(+$Z23*'[5]II-F Alloc_Factor'!K$40,2)</f>
        <v>-2613260.23</v>
      </c>
      <c r="AH23" s="668">
        <f>ROUND(+$Z23*'[5]II-F Alloc_Factor'!L$40,2)</f>
        <v>-88873.720000000001</v>
      </c>
      <c r="AI23" s="668">
        <f>ROUND(+$Z23*'[5]II-F Alloc_Factor'!M$40,2)</f>
        <v>-75787</v>
      </c>
      <c r="AJ23" s="423"/>
      <c r="AK23" s="668">
        <v>-5190674.8600000003</v>
      </c>
      <c r="AL23" s="668">
        <f>ROUND(+$AK23*'[5]II-F Alloc_Factor'!E$40,2)</f>
        <v>-2409679.6800000002</v>
      </c>
      <c r="AM23" s="668">
        <f>ROUND(+$AK23*'[5]II-F Alloc_Factor'!F$40,2)</f>
        <v>0</v>
      </c>
      <c r="AN23" s="668">
        <f>ROUND(+$AK23*'[5]II-F Alloc_Factor'!G$40,2)</f>
        <v>-3074.23</v>
      </c>
      <c r="AO23" s="668">
        <f>ROUND(+$AK23*'[5]II-F Alloc_Factor'!H$40,2)</f>
        <v>-2412753.9100000001</v>
      </c>
      <c r="AP23" s="668">
        <f>ROUND(+$AK23*'[5]II-F Alloc_Factor'!I$40,2)</f>
        <v>-2613260.23</v>
      </c>
      <c r="AQ23" s="668">
        <f>ROUND(+$AK23*'[5]II-F Alloc_Factor'!J$40,2)</f>
        <v>0</v>
      </c>
      <c r="AR23" s="668">
        <f>ROUND(+$AK23*'[5]II-F Alloc_Factor'!K$40,2)</f>
        <v>-2613260.23</v>
      </c>
      <c r="AS23" s="668">
        <f>ROUND(+$AK23*'[5]II-F Alloc_Factor'!L$40,2)</f>
        <v>-88873.720000000001</v>
      </c>
      <c r="AT23" s="668">
        <f>ROUND(+$AK23*'[5]II-F Alloc_Factor'!M$40,2)</f>
        <v>-75787</v>
      </c>
      <c r="AU23" s="423"/>
      <c r="AV23" s="668">
        <v>-5190674.8600000003</v>
      </c>
      <c r="AW23" s="668">
        <f>ROUND(+$AV23*'[5]II-F Alloc_Factor'!E$40,2)</f>
        <v>-2409679.6800000002</v>
      </c>
      <c r="AX23" s="668">
        <f>ROUND(+$AV23*'[5]II-F Alloc_Factor'!F$40,2)</f>
        <v>0</v>
      </c>
      <c r="AY23" s="668">
        <f>ROUND(+$AV23*'[5]II-F Alloc_Factor'!G$40,2)</f>
        <v>-3074.23</v>
      </c>
      <c r="AZ23" s="668">
        <f>ROUND(+$AV23*'[5]II-F Alloc_Factor'!H$40,2)</f>
        <v>-2412753.9100000001</v>
      </c>
      <c r="BA23" s="668">
        <f>ROUND(+$AV23*'[5]II-F Alloc_Factor'!I$40,2)</f>
        <v>-2613260.23</v>
      </c>
      <c r="BB23" s="668">
        <f>ROUND(+$AV23*'[5]II-F Alloc_Factor'!J$40,2)</f>
        <v>0</v>
      </c>
      <c r="BC23" s="668">
        <f>ROUND(+$AV23*'[5]II-F Alloc_Factor'!K$40,2)</f>
        <v>-2613260.23</v>
      </c>
      <c r="BD23" s="668">
        <f>ROUND(+$AV23*'[5]II-F Alloc_Factor'!L$40,2)</f>
        <v>-88873.720000000001</v>
      </c>
      <c r="BE23" s="668">
        <f>ROUND(+$AV23*'[5]II-F Alloc_Factor'!M$40,2)</f>
        <v>-75787</v>
      </c>
      <c r="BF23" s="423"/>
      <c r="BG23" s="668">
        <v>-5190674.8600000003</v>
      </c>
      <c r="BH23" s="668">
        <f>ROUND(+$BG23*'[5]II-F Alloc_Factor'!E$40,2)</f>
        <v>-2409679.6800000002</v>
      </c>
      <c r="BI23" s="668">
        <f>ROUND(+$BG23*'[5]II-F Alloc_Factor'!F$40,2)</f>
        <v>0</v>
      </c>
      <c r="BJ23" s="668">
        <f>ROUND(+$BG23*'[5]II-F Alloc_Factor'!G$40,2)</f>
        <v>-3074.23</v>
      </c>
      <c r="BK23" s="668">
        <f>ROUND(+$BG23*'[5]II-F Alloc_Factor'!H$40,2)</f>
        <v>-2412753.9100000001</v>
      </c>
      <c r="BL23" s="668">
        <f>ROUND(+$BG23*'[5]II-F Alloc_Factor'!I$40,2)</f>
        <v>-2613260.23</v>
      </c>
      <c r="BM23" s="668">
        <f>ROUND(+$BG23*'[5]II-F Alloc_Factor'!J$40,2)</f>
        <v>0</v>
      </c>
      <c r="BN23" s="668">
        <f>ROUND(+$BG23*'[5]II-F Alloc_Factor'!K$40,2)</f>
        <v>-2613260.23</v>
      </c>
      <c r="BO23" s="668">
        <f>ROUND(+$BG23*'[5]II-F Alloc_Factor'!L$40,2)</f>
        <v>-88873.720000000001</v>
      </c>
      <c r="BP23" s="668">
        <f>ROUND(+$BG23*'[5]II-F Alloc_Factor'!M$40,2)</f>
        <v>-75787</v>
      </c>
      <c r="BQ23" s="423"/>
      <c r="BR23" s="668">
        <v>-5190674.8600000003</v>
      </c>
      <c r="BS23" s="668">
        <f>ROUND(+$BR23*'[5]II-F Alloc_Factor'!E$40,2)</f>
        <v>-2409679.6800000002</v>
      </c>
      <c r="BT23" s="668">
        <f>ROUND(+$BR23*'[5]II-F Alloc_Factor'!F$40,2)</f>
        <v>0</v>
      </c>
      <c r="BU23" s="668">
        <f>ROUND(+$BR23*'[5]II-F Alloc_Factor'!G$40,2)</f>
        <v>-3074.23</v>
      </c>
      <c r="BV23" s="668">
        <f>ROUND(+$BR23*'[5]II-F Alloc_Factor'!H$40,2)</f>
        <v>-2412753.9100000001</v>
      </c>
      <c r="BW23" s="668">
        <f>ROUND(+$BR23*'[5]II-F Alloc_Factor'!I$40,2)</f>
        <v>-2613260.23</v>
      </c>
      <c r="BX23" s="668">
        <f>ROUND(+$BR23*'[5]II-F Alloc_Factor'!J$40,2)</f>
        <v>0</v>
      </c>
      <c r="BY23" s="668">
        <f>ROUND(+$BR23*'[5]II-F Alloc_Factor'!K$40,2)</f>
        <v>-2613260.23</v>
      </c>
      <c r="BZ23" s="668">
        <f>ROUND(+$BR23*'[5]II-F Alloc_Factor'!L$40,2)</f>
        <v>-88873.720000000001</v>
      </c>
      <c r="CA23" s="668">
        <f>ROUND(+$BR23*'[5]II-F Alloc_Factor'!M$40,2)</f>
        <v>-75787</v>
      </c>
      <c r="CB23" s="423"/>
      <c r="CC23" s="668">
        <v>-5190674.8600000003</v>
      </c>
      <c r="CD23" s="668">
        <f>ROUND(+$CC23*'[5]II-F Alloc_Factor'!E$40,2)</f>
        <v>-2409679.6800000002</v>
      </c>
      <c r="CE23" s="668">
        <f>ROUND(+$CC23*'[5]II-F Alloc_Factor'!F$40,2)</f>
        <v>0</v>
      </c>
      <c r="CF23" s="668">
        <f>ROUND(+$CC23*'[5]II-F Alloc_Factor'!G$40,2)</f>
        <v>-3074.23</v>
      </c>
      <c r="CG23" s="668">
        <f>ROUND(+$CC23*'[5]II-F Alloc_Factor'!H$40,2)</f>
        <v>-2412753.9100000001</v>
      </c>
      <c r="CH23" s="668">
        <f>ROUND(+$CC23*'[5]II-F Alloc_Factor'!I$40,2)</f>
        <v>-2613260.23</v>
      </c>
      <c r="CI23" s="668">
        <f>ROUND(+$CC23*'[5]II-F Alloc_Factor'!J$40,2)</f>
        <v>0</v>
      </c>
      <c r="CJ23" s="668">
        <f>ROUND(+$CC23*'[5]II-F Alloc_Factor'!K$40,2)</f>
        <v>-2613260.23</v>
      </c>
      <c r="CK23" s="668">
        <f>ROUND(+$CC23*'[5]II-F Alloc_Factor'!L$40,2)</f>
        <v>-88873.720000000001</v>
      </c>
      <c r="CL23" s="668">
        <f>ROUND(+$CC23*'[5]II-F Alloc_Factor'!M$40,2)</f>
        <v>-75787</v>
      </c>
      <c r="CM23" s="423"/>
      <c r="CN23" s="668">
        <v>-5190674.8600000003</v>
      </c>
      <c r="CO23" s="668">
        <f>ROUND(+$CN23*'[5]II-F Alloc_Factor'!E$40,2)</f>
        <v>-2409679.6800000002</v>
      </c>
      <c r="CP23" s="668">
        <f>ROUND(+$CN23*'[5]II-F Alloc_Factor'!F$40,2)</f>
        <v>0</v>
      </c>
      <c r="CQ23" s="668">
        <f>ROUND(+$CN23*'[5]II-F Alloc_Factor'!G$40,2)</f>
        <v>-3074.23</v>
      </c>
      <c r="CR23" s="668">
        <f>ROUND(+$CN23*'[5]II-F Alloc_Factor'!H$40,2)</f>
        <v>-2412753.9100000001</v>
      </c>
      <c r="CS23" s="668">
        <f>ROUND(+$CN23*'[5]II-F Alloc_Factor'!I$40,2)</f>
        <v>-2613260.23</v>
      </c>
      <c r="CT23" s="668">
        <f>ROUND(+$CN23*'[5]II-F Alloc_Factor'!J$40,2)</f>
        <v>0</v>
      </c>
      <c r="CU23" s="668">
        <f>ROUND(+$CN23*'[5]II-F Alloc_Factor'!K$40,2)</f>
        <v>-2613260.23</v>
      </c>
      <c r="CV23" s="668">
        <f>ROUND(+$CN23*'[5]II-F Alloc_Factor'!L$40,2)</f>
        <v>-88873.720000000001</v>
      </c>
      <c r="CW23" s="668">
        <f>ROUND(+$CN23*'[5]II-F Alloc_Factor'!M$40,2)</f>
        <v>-75787</v>
      </c>
      <c r="CX23" s="423"/>
      <c r="CY23" s="668">
        <v>-5190674.8600000003</v>
      </c>
      <c r="CZ23" s="668">
        <f>ROUND(+$CY23*'[5]II-F Alloc_Factor'!E$40,2)</f>
        <v>-2409679.6800000002</v>
      </c>
      <c r="DA23" s="668">
        <f>ROUND(+$CY23*'[5]II-F Alloc_Factor'!F$40,2)</f>
        <v>0</v>
      </c>
      <c r="DB23" s="668">
        <f>ROUND(+$CY23*'[5]II-F Alloc_Factor'!G$40,2)</f>
        <v>-3074.23</v>
      </c>
      <c r="DC23" s="668">
        <f>ROUND(+$CY23*'[5]II-F Alloc_Factor'!H$40,2)</f>
        <v>-2412753.9100000001</v>
      </c>
      <c r="DD23" s="668">
        <f>ROUND(+$CY23*'[5]II-F Alloc_Factor'!I$40,2)</f>
        <v>-2613260.23</v>
      </c>
      <c r="DE23" s="668">
        <f>ROUND(+$CY23*'[5]II-F Alloc_Factor'!J$40,2)</f>
        <v>0</v>
      </c>
      <c r="DF23" s="668">
        <f>ROUND(+$CY23*'[5]II-F Alloc_Factor'!K$40,2)</f>
        <v>-2613260.23</v>
      </c>
      <c r="DG23" s="668">
        <f>ROUND(+$CY23*'[5]II-F Alloc_Factor'!L$40,2)</f>
        <v>-88873.720000000001</v>
      </c>
      <c r="DH23" s="668">
        <f>ROUND(+$CY23*'[5]II-F Alloc_Factor'!M$40,2)</f>
        <v>-75787</v>
      </c>
      <c r="DI23" s="423"/>
      <c r="DJ23" s="668">
        <v>-5190674.8600000003</v>
      </c>
      <c r="DK23" s="668">
        <f>ROUND(+$DJ23*'[5]II-F Alloc_Factor'!E$40,2)</f>
        <v>-2409679.6800000002</v>
      </c>
      <c r="DL23" s="668">
        <f>ROUND(+$DJ23*'[5]II-F Alloc_Factor'!F$40,2)</f>
        <v>0</v>
      </c>
      <c r="DM23" s="668">
        <f>ROUND(+$DJ23*'[5]II-F Alloc_Factor'!G$40,2)</f>
        <v>-3074.23</v>
      </c>
      <c r="DN23" s="668">
        <f>ROUND(+$DJ23*'[5]II-F Alloc_Factor'!H$40,2)</f>
        <v>-2412753.9100000001</v>
      </c>
      <c r="DO23" s="668">
        <f>ROUND(+$DJ23*'[5]II-F Alloc_Factor'!I$40,2)</f>
        <v>-2613260.23</v>
      </c>
      <c r="DP23" s="668">
        <f>ROUND(+$DJ23*'[5]II-F Alloc_Factor'!J$40,2)</f>
        <v>0</v>
      </c>
      <c r="DQ23" s="668">
        <f>ROUND(+$DJ23*'[5]II-F Alloc_Factor'!K$40,2)</f>
        <v>-2613260.23</v>
      </c>
      <c r="DR23" s="668">
        <f>ROUND(+$DJ23*'[5]II-F Alloc_Factor'!L$40,2)</f>
        <v>-88873.720000000001</v>
      </c>
      <c r="DS23" s="668">
        <f>ROUND(+$DJ23*'[5]II-F Alloc_Factor'!M$40,2)</f>
        <v>-75787</v>
      </c>
      <c r="DT23" s="423"/>
      <c r="DU23" s="668">
        <v>-5190674.8600000003</v>
      </c>
      <c r="DV23" s="668">
        <f>ROUND(+$DU23*'[5]II-F Alloc_Factor'!E$40,2)</f>
        <v>-2409679.6800000002</v>
      </c>
      <c r="DW23" s="668">
        <f>ROUND(+$DU23*'[5]II-F Alloc_Factor'!F$40,2)</f>
        <v>0</v>
      </c>
      <c r="DX23" s="668">
        <f>ROUND(+$DU23*'[5]II-F Alloc_Factor'!G$40,2)</f>
        <v>-3074.23</v>
      </c>
      <c r="DY23" s="668">
        <f t="shared" si="1"/>
        <v>-2412753.9100000001</v>
      </c>
      <c r="DZ23" s="668">
        <f>ROUND(+$DU23*'[5]II-F Alloc_Factor'!I$40,2)</f>
        <v>-2613260.23</v>
      </c>
      <c r="EA23" s="668">
        <f>ROUND(+$DU23*'[5]II-F Alloc_Factor'!J$40,2)</f>
        <v>0</v>
      </c>
      <c r="EB23" s="668">
        <f t="shared" si="2"/>
        <v>-2613260.23</v>
      </c>
      <c r="EC23" s="668">
        <f>ROUND(+$DU23*'[5]II-F Alloc_Factor'!L$40,2)</f>
        <v>-88873.720000000001</v>
      </c>
      <c r="ED23" s="668">
        <f>ROUND(+$DU23*'[5]II-F Alloc_Factor'!M$40,2)-0.01</f>
        <v>-75787.009999999995</v>
      </c>
      <c r="EE23" s="754">
        <f>+DU23+'II-E-3.5'!K29</f>
        <v>0</v>
      </c>
      <c r="EF23" s="754">
        <f t="shared" si="3"/>
        <v>-0.0099999997764825821</v>
      </c>
      <c r="EH23" s="754"/>
    </row>
    <row r="24" spans="1:138" s="421" customFormat="1" ht="12.75">
      <c r="A24" s="524">
        <f t="shared" si="6"/>
        <v>12</v>
      </c>
      <c r="B24" s="184" t="s">
        <v>418</v>
      </c>
      <c r="C24" s="420" t="s">
        <v>798</v>
      </c>
      <c r="D24" s="668">
        <v>-138352459.67999998</v>
      </c>
      <c r="E24" s="668">
        <f>ROUND(+$D24*'[5]II-F Alloc_Factor'!E$40,2)</f>
        <v>-64227700.619999997</v>
      </c>
      <c r="F24" s="668">
        <f>ROUND(+$D24*'[5]II-F Alloc_Factor'!F$40,2)</f>
        <v>0</v>
      </c>
      <c r="G24" s="668">
        <f>ROUND(+$D24*'[5]II-F Alloc_Factor'!G$40,2)</f>
        <v>-81940.570000000007</v>
      </c>
      <c r="H24" s="668">
        <f>ROUND(+$D24*'[5]II-F Alloc_Factor'!H$40,2)</f>
        <v>-64309641.18</v>
      </c>
      <c r="I24" s="668">
        <f>ROUND(+$D24*'[5]II-F Alloc_Factor'!I$40,2)</f>
        <v>-69653944.829999998</v>
      </c>
      <c r="J24" s="668">
        <f>ROUND(+$D24*'[5]II-F Alloc_Factor'!J$40,2)</f>
        <v>0</v>
      </c>
      <c r="K24" s="668">
        <f>ROUND(+$D24*'[5]II-F Alloc_Factor'!K$40,2)</f>
        <v>-69653944.829999998</v>
      </c>
      <c r="L24" s="668">
        <f>ROUND(+$D24*'[5]II-F Alloc_Factor'!L$40,2)</f>
        <v>-2368843.8100000001</v>
      </c>
      <c r="M24" s="668">
        <f>ROUND(+$D24*'[5]II-F Alloc_Factor'!M$40,2)</f>
        <v>-2020029.8600000001</v>
      </c>
      <c r="N24" s="669"/>
      <c r="O24" s="102">
        <v>-141803997.67999998</v>
      </c>
      <c r="P24" s="668">
        <f>ROUND(+$O24*'[5]II-F Alloc_Factor'!E$40,2)</f>
        <v>-65830016.539999999</v>
      </c>
      <c r="Q24" s="668">
        <f>ROUND(+$O24*'[5]II-F Alloc_Factor'!F$40,2)</f>
        <v>0</v>
      </c>
      <c r="R24" s="668">
        <f>ROUND(+$O24*'[5]II-F Alloc_Factor'!G$40,2)</f>
        <v>-83984.770000000004</v>
      </c>
      <c r="S24" s="668">
        <f>ROUND(+$O24*'[5]II-F Alloc_Factor'!H$40,2)</f>
        <v>-65914001.310000002</v>
      </c>
      <c r="T24" s="668">
        <f>ROUND(+$O24*'[5]II-F Alloc_Factor'!I$40,2)</f>
        <v>-71391631.590000004</v>
      </c>
      <c r="U24" s="668">
        <f>ROUND(+$O24*'[5]II-F Alloc_Factor'!J$40,2)</f>
        <v>0</v>
      </c>
      <c r="V24" s="668">
        <f>ROUND(+$O24*'[5]II-F Alloc_Factor'!K$40,2)</f>
        <v>-71391631.590000004</v>
      </c>
      <c r="W24" s="668">
        <f>ROUND(+$O24*'[5]II-F Alloc_Factor'!L$40,2)</f>
        <v>-2427940.3700000001</v>
      </c>
      <c r="X24" s="668">
        <f>ROUND(+$O24*'[5]II-F Alloc_Factor'!M$40,2)</f>
        <v>-2070424.4099999999</v>
      </c>
      <c r="Y24" s="423"/>
      <c r="Z24" s="668">
        <v>-147021952.44999999</v>
      </c>
      <c r="AA24" s="668">
        <f>ROUND(+$Z24*'[5]II-F Alloc_Factor'!E$40,2)</f>
        <v>-68252360.439999998</v>
      </c>
      <c r="AB24" s="668">
        <f>ROUND(+$Z24*'[5]II-F Alloc_Factor'!F$40,2)</f>
        <v>0</v>
      </c>
      <c r="AC24" s="668">
        <f>ROUND(+$Z24*'[5]II-F Alloc_Factor'!G$40,2)</f>
        <v>-87075.160000000003</v>
      </c>
      <c r="AD24" s="668">
        <f>ROUND(+$Z24*'[5]II-F Alloc_Factor'!H$40,2)</f>
        <v>-68339435.599999994</v>
      </c>
      <c r="AE24" s="668">
        <f>ROUND(+$Z24*'[5]II-F Alloc_Factor'!I$40,2)</f>
        <v>-74018625.959999993</v>
      </c>
      <c r="AF24" s="668">
        <f>ROUND(+$Z24*'[5]II-F Alloc_Factor'!J$40,2)</f>
        <v>0</v>
      </c>
      <c r="AG24" s="668">
        <f>ROUND(+$Z24*'[5]II-F Alloc_Factor'!K$40,2)</f>
        <v>-74018625.959999993</v>
      </c>
      <c r="AH24" s="668">
        <f>ROUND(+$Z24*'[5]II-F Alloc_Factor'!L$40,2)</f>
        <v>-2517281.1699999999</v>
      </c>
      <c r="AI24" s="668">
        <f>ROUND(+$Z24*'[5]II-F Alloc_Factor'!M$40,2)</f>
        <v>-2146609.7200000002</v>
      </c>
      <c r="AJ24" s="423"/>
      <c r="AK24" s="668">
        <v>-151062296.03</v>
      </c>
      <c r="AL24" s="668">
        <f>ROUND(+$AK24*'[5]II-F Alloc_Factor'!E$40,2)</f>
        <v>-70128019.019999996</v>
      </c>
      <c r="AM24" s="668">
        <f>ROUND(+$AK24*'[5]II-F Alloc_Factor'!F$40,2)</f>
        <v>0</v>
      </c>
      <c r="AN24" s="668">
        <f>ROUND(+$AK24*'[5]II-F Alloc_Factor'!G$40,2)</f>
        <v>-89468.089999999997</v>
      </c>
      <c r="AO24" s="668">
        <f>ROUND(+$AK24*'[5]II-F Alloc_Factor'!H$40,2)</f>
        <v>-70217487.109999999</v>
      </c>
      <c r="AP24" s="668">
        <f>ROUND(+$AK24*'[5]II-F Alloc_Factor'!I$40,2)</f>
        <v>-76052748.590000004</v>
      </c>
      <c r="AQ24" s="668">
        <f>ROUND(+$AK24*'[5]II-F Alloc_Factor'!J$40,2)</f>
        <v>0</v>
      </c>
      <c r="AR24" s="668">
        <f>ROUND(+$AK24*'[5]II-F Alloc_Factor'!K$40,2)</f>
        <v>-76052748.590000004</v>
      </c>
      <c r="AS24" s="668">
        <f>ROUND(+$AK24*'[5]II-F Alloc_Factor'!L$40,2)</f>
        <v>-2586459.1400000001</v>
      </c>
      <c r="AT24" s="668">
        <f>ROUND(+$AK24*'[5]II-F Alloc_Factor'!M$40,2)</f>
        <v>-2205601.1899999999</v>
      </c>
      <c r="AU24" s="423"/>
      <c r="AV24" s="668">
        <v>-155102639.62000001</v>
      </c>
      <c r="AW24" s="668">
        <f>ROUND(+$AV24*'[5]II-F Alloc_Factor'!E$40,2)</f>
        <v>-72003677.599999994</v>
      </c>
      <c r="AX24" s="668">
        <f>ROUND(+$AV24*'[5]II-F Alloc_Factor'!F$40,2)</f>
        <v>0</v>
      </c>
      <c r="AY24" s="668">
        <f>ROUND(+$AV24*'[5]II-F Alloc_Factor'!G$40,2)</f>
        <v>-91861.020000000004</v>
      </c>
      <c r="AZ24" s="668">
        <f>ROUND(+$AV24*'[5]II-F Alloc_Factor'!H$40,2)</f>
        <v>-72095538.620000005</v>
      </c>
      <c r="BA24" s="668">
        <f>ROUND(+$AV24*'[5]II-F Alloc_Factor'!I$40,2)</f>
        <v>-78086871.219999999</v>
      </c>
      <c r="BB24" s="668">
        <f>ROUND(+$AV24*'[5]II-F Alloc_Factor'!J$40,2)</f>
        <v>0</v>
      </c>
      <c r="BC24" s="668">
        <f>ROUND(+$AV24*'[5]II-F Alloc_Factor'!K$40,2)</f>
        <v>-78086871.219999999</v>
      </c>
      <c r="BD24" s="668">
        <f>ROUND(+$AV24*'[5]II-F Alloc_Factor'!L$40,2)</f>
        <v>-2655637.1200000001</v>
      </c>
      <c r="BE24" s="668">
        <f>ROUND(+$AV24*'[5]II-F Alloc_Factor'!M$40,2)</f>
        <v>-2264592.6600000001</v>
      </c>
      <c r="BF24" s="423"/>
      <c r="BG24" s="668">
        <v>-160186772.61000001</v>
      </c>
      <c r="BH24" s="668">
        <f>ROUND(+$BG24*'[5]II-F Alloc_Factor'!E$40,2)</f>
        <v>-74363897.090000004</v>
      </c>
      <c r="BI24" s="668">
        <f>ROUND(+$BG24*'[5]II-F Alloc_Factor'!F$40,2)</f>
        <v>0</v>
      </c>
      <c r="BJ24" s="668">
        <f>ROUND(+$BG24*'[5]II-F Alloc_Factor'!G$40,2)</f>
        <v>-94872.149999999994</v>
      </c>
      <c r="BK24" s="668">
        <f>ROUND(+$BG24*'[5]II-F Alloc_Factor'!H$40,2)</f>
        <v>-74458769.239999995</v>
      </c>
      <c r="BL24" s="668">
        <f>ROUND(+$BG24*'[5]II-F Alloc_Factor'!I$40,2)</f>
        <v>-80646492.640000001</v>
      </c>
      <c r="BM24" s="668">
        <f>ROUND(+$BG24*'[5]II-F Alloc_Factor'!J$40,2)</f>
        <v>0</v>
      </c>
      <c r="BN24" s="668">
        <f>ROUND(+$BG24*'[5]II-F Alloc_Factor'!K$40,2)</f>
        <v>-80646492.640000001</v>
      </c>
      <c r="BO24" s="668">
        <f>ROUND(+$BG24*'[5]II-F Alloc_Factor'!L$40,2)</f>
        <v>-2742686.6499999999</v>
      </c>
      <c r="BP24" s="668">
        <f>ROUND(+$BG24*'[5]II-F Alloc_Factor'!M$40,2)</f>
        <v>-2338824.0800000001</v>
      </c>
      <c r="BQ24" s="423"/>
      <c r="BR24" s="668">
        <v>-164401081.10000002</v>
      </c>
      <c r="BS24" s="668">
        <f>ROUND(+$BR24*'[5]II-F Alloc_Factor'!E$40,2)</f>
        <v>-76320315.829999998</v>
      </c>
      <c r="BT24" s="668">
        <f>ROUND(+$BR24*'[5]II-F Alloc_Factor'!F$40,2)</f>
        <v>0</v>
      </c>
      <c r="BU24" s="668">
        <f>ROUND(+$BR24*'[5]II-F Alloc_Factor'!G$40,2)</f>
        <v>-97368.110000000001</v>
      </c>
      <c r="BV24" s="668">
        <f>ROUND(+$BR24*'[5]II-F Alloc_Factor'!H$40,2)</f>
        <v>-76417683.939999998</v>
      </c>
      <c r="BW24" s="668">
        <f>ROUND(+$BR24*'[5]II-F Alloc_Factor'!I$40,2)</f>
        <v>-82768198.400000006</v>
      </c>
      <c r="BX24" s="668">
        <f>ROUND(+$BR24*'[5]II-F Alloc_Factor'!J$40,2)</f>
        <v>0</v>
      </c>
      <c r="BY24" s="668">
        <f>ROUND(+$BR24*'[5]II-F Alloc_Factor'!K$40,2)</f>
        <v>-82768198.400000006</v>
      </c>
      <c r="BZ24" s="668">
        <f>ROUND(+$BR24*'[5]II-F Alloc_Factor'!L$40,2)</f>
        <v>-2814843.2200000002</v>
      </c>
      <c r="CA24" s="668">
        <f>ROUND(+$BR24*'[5]II-F Alloc_Factor'!M$40,2)</f>
        <v>-2400355.54</v>
      </c>
      <c r="CB24" s="423"/>
      <c r="CC24" s="668">
        <v>-168615389.58000001</v>
      </c>
      <c r="CD24" s="668">
        <f>ROUND(+$CC24*'[5]II-F Alloc_Factor'!E$40,2)</f>
        <v>-78276734.549999997</v>
      </c>
      <c r="CE24" s="668">
        <f>ROUND(+$CC24*'[5]II-F Alloc_Factor'!F$40,2)</f>
        <v>0</v>
      </c>
      <c r="CF24" s="668">
        <f>ROUND(+$CC24*'[5]II-F Alloc_Factor'!G$40,2)</f>
        <v>-99864.080000000002</v>
      </c>
      <c r="CG24" s="668">
        <f>ROUND(+$CC24*'[5]II-F Alloc_Factor'!H$40,2)</f>
        <v>-78376598.629999995</v>
      </c>
      <c r="CH24" s="668">
        <f>ROUND(+$CC24*'[5]II-F Alloc_Factor'!I$40,2)</f>
        <v>-84889904.159999996</v>
      </c>
      <c r="CI24" s="668">
        <f>ROUND(+$CC24*'[5]II-F Alloc_Factor'!J$40,2)</f>
        <v>0</v>
      </c>
      <c r="CJ24" s="668">
        <f>ROUND(+$CC24*'[5]II-F Alloc_Factor'!K$40,2)</f>
        <v>-84889904.159999996</v>
      </c>
      <c r="CK24" s="668">
        <f>ROUND(+$CC24*'[5]II-F Alloc_Factor'!L$40,2)</f>
        <v>-2886999.7799999998</v>
      </c>
      <c r="CL24" s="668">
        <f>ROUND(+$CC24*'[5]II-F Alloc_Factor'!M$40,2)</f>
        <v>-2461887.0099999998</v>
      </c>
      <c r="CM24" s="423"/>
      <c r="CN24" s="668">
        <v>-167565013.60000002</v>
      </c>
      <c r="CO24" s="668">
        <f>ROUND(+$CN24*'[5]II-F Alloc_Factor'!E$40,2)</f>
        <v>-77789115.950000003</v>
      </c>
      <c r="CP24" s="668">
        <f>ROUND(+$CN24*'[5]II-F Alloc_Factor'!F$40,2)</f>
        <v>0</v>
      </c>
      <c r="CQ24" s="668">
        <f>ROUND(+$CN24*'[5]II-F Alloc_Factor'!G$40,2)</f>
        <v>-99241.979999999996</v>
      </c>
      <c r="CR24" s="668">
        <f>ROUND(+$CN24*'[5]II-F Alloc_Factor'!H$40,2)</f>
        <v>-77888357.930000007</v>
      </c>
      <c r="CS24" s="668">
        <f>ROUND(+$CN24*'[5]II-F Alloc_Factor'!I$40,2)</f>
        <v>-84361089.340000004</v>
      </c>
      <c r="CT24" s="668">
        <f>ROUND(+$CN24*'[5]II-F Alloc_Factor'!J$40,2)</f>
        <v>0</v>
      </c>
      <c r="CU24" s="668">
        <f>ROUND(+$CN24*'[5]II-F Alloc_Factor'!K$40,2)</f>
        <v>-84361089.340000004</v>
      </c>
      <c r="CV24" s="668">
        <f>ROUND(+$CN24*'[5]II-F Alloc_Factor'!L$40,2)</f>
        <v>-2869015.4500000002</v>
      </c>
      <c r="CW24" s="668">
        <f>ROUND(+$CN24*'[5]II-F Alloc_Factor'!M$40,2)</f>
        <v>-2446550.8799999999</v>
      </c>
      <c r="CX24" s="423"/>
      <c r="CY24" s="668">
        <v>-171458025.38000003</v>
      </c>
      <c r="CZ24" s="668">
        <f>ROUND(+$CY24*'[5]II-F Alloc_Factor'!E$40,2)</f>
        <v>-79596378.319999993</v>
      </c>
      <c r="DA24" s="668">
        <f>ROUND(+$CY24*'[5]II-F Alloc_Factor'!F$40,2)</f>
        <v>0</v>
      </c>
      <c r="DB24" s="668">
        <f>ROUND(+$CY24*'[5]II-F Alloc_Factor'!G$40,2)</f>
        <v>-101547.64999999999</v>
      </c>
      <c r="DC24" s="668">
        <f>ROUND(+$CY24*'[5]II-F Alloc_Factor'!H$40,2)</f>
        <v>-79697925.980000004</v>
      </c>
      <c r="DD24" s="668">
        <f>ROUND(+$CY24*'[5]II-F Alloc_Factor'!I$40,2)</f>
        <v>-86321037.349999994</v>
      </c>
      <c r="DE24" s="668">
        <f>ROUND(+$CY24*'[5]II-F Alloc_Factor'!J$40,2)</f>
        <v>0</v>
      </c>
      <c r="DF24" s="668">
        <f>ROUND(+$CY24*'[5]II-F Alloc_Factor'!K$40,2)</f>
        <v>-86321037.349999994</v>
      </c>
      <c r="DG24" s="668">
        <f>ROUND(+$CY24*'[5]II-F Alloc_Factor'!L$40,2)</f>
        <v>-2935670.8399999999</v>
      </c>
      <c r="DH24" s="668">
        <f>ROUND(+$CY24*'[5]II-F Alloc_Factor'!M$40,2)</f>
        <v>-2503391.21</v>
      </c>
      <c r="DI24" s="423"/>
      <c r="DJ24" s="668">
        <v>-175351037.14000002</v>
      </c>
      <c r="DK24" s="668">
        <f>ROUND(+$DJ24*'[5]II-F Alloc_Factor'!E$40,2)</f>
        <v>-81403640.689999998</v>
      </c>
      <c r="DL24" s="668">
        <f>ROUND(+$DJ24*'[5]II-F Alloc_Factor'!F$40,2)</f>
        <v>0</v>
      </c>
      <c r="DM24" s="668">
        <f>ROUND(+$DJ24*'[5]II-F Alloc_Factor'!G$40,2)</f>
        <v>-103853.33</v>
      </c>
      <c r="DN24" s="668">
        <f>ROUND(+$DJ24*'[5]II-F Alloc_Factor'!H$40,2)</f>
        <v>-81507494.019999996</v>
      </c>
      <c r="DO24" s="668">
        <f>ROUND(+$DJ24*'[5]II-F Alloc_Factor'!I$40,2)</f>
        <v>-88280985.349999994</v>
      </c>
      <c r="DP24" s="668">
        <f>ROUND(+$DJ24*'[5]II-F Alloc_Factor'!J$40,2)</f>
        <v>0</v>
      </c>
      <c r="DQ24" s="668">
        <f>ROUND(+$DJ24*'[5]II-F Alloc_Factor'!K$40,2)</f>
        <v>-88280985.349999994</v>
      </c>
      <c r="DR24" s="668">
        <f>ROUND(+$DJ24*'[5]II-F Alloc_Factor'!L$40,2)</f>
        <v>-3002326.23</v>
      </c>
      <c r="DS24" s="668">
        <f>ROUND(+$DJ24*'[5]II-F Alloc_Factor'!M$40,2)</f>
        <v>-2560231.5499999998</v>
      </c>
      <c r="DT24" s="423"/>
      <c r="DU24" s="668">
        <v>-164293029.32000002</v>
      </c>
      <c r="DV24" s="668">
        <f>ROUND(+$DU24*'[5]II-F Alloc_Factor'!E$40,2)</f>
        <v>-76270154.680000007</v>
      </c>
      <c r="DW24" s="668">
        <f>ROUND(+$DU24*'[5]II-F Alloc_Factor'!F$40,2)</f>
        <v>0</v>
      </c>
      <c r="DX24" s="668">
        <f>ROUND(+$DU24*'[5]II-F Alloc_Factor'!G$40,2)</f>
        <v>-97304.119999999995</v>
      </c>
      <c r="DY24" s="668">
        <f t="shared" si="1"/>
        <v>-76367458.800000012</v>
      </c>
      <c r="DZ24" s="668">
        <f>ROUND(+$DU24*'[5]II-F Alloc_Factor'!I$40,2)</f>
        <v>-82713799.420000002</v>
      </c>
      <c r="EA24" s="668">
        <f>ROUND(+$DU24*'[5]II-F Alloc_Factor'!J$40,2)</f>
        <v>0</v>
      </c>
      <c r="EB24" s="668">
        <f t="shared" si="2"/>
        <v>-82713799.420000002</v>
      </c>
      <c r="EC24" s="668">
        <f>ROUND(+$DU24*'[5]II-F Alloc_Factor'!L$40,2)</f>
        <v>-2812993.1800000002</v>
      </c>
      <c r="ED24" s="668">
        <f>ROUND(+$DU24*'[5]II-F Alloc_Factor'!M$40,2)</f>
        <v>-2398777.9199999999</v>
      </c>
      <c r="EE24" s="754">
        <f>+DU24+'II-E-3.5'!K30</f>
        <v>0</v>
      </c>
      <c r="EF24" s="754">
        <f t="shared" si="3"/>
        <v>0</v>
      </c>
      <c r="EH24" s="754"/>
    </row>
    <row r="25" spans="1:138" s="421" customFormat="1" ht="12.75">
      <c r="A25" s="524">
        <f t="shared" si="6"/>
        <v>13</v>
      </c>
      <c r="B25" s="184" t="s">
        <v>419</v>
      </c>
      <c r="C25" s="420" t="s">
        <v>798</v>
      </c>
      <c r="D25" s="668">
        <v>-6899292.1799999997</v>
      </c>
      <c r="E25" s="668">
        <f>ROUND(+$D25*'[5]II-F Alloc_Factor'!E$40,2)</f>
        <v>-3202875.2799999998</v>
      </c>
      <c r="F25" s="668">
        <f>ROUND(+$D25*'[5]II-F Alloc_Factor'!F$40,2)</f>
        <v>0</v>
      </c>
      <c r="G25" s="668">
        <f>ROUND(+$D25*'[5]II-F Alloc_Factor'!G$40,2)</f>
        <v>-4086.1700000000001</v>
      </c>
      <c r="H25" s="668">
        <f>ROUND(+$D25*'[5]II-F Alloc_Factor'!H$40,2)</f>
        <v>-3206961.4500000002</v>
      </c>
      <c r="I25" s="668">
        <f>ROUND(+$D25*'[5]II-F Alloc_Factor'!I$40,2)</f>
        <v>-3473468.5499999998</v>
      </c>
      <c r="J25" s="668">
        <f>ROUND(+$D25*'[5]II-F Alloc_Factor'!J$40,2)</f>
        <v>0</v>
      </c>
      <c r="K25" s="668">
        <f>ROUND(+$D25*'[5]II-F Alloc_Factor'!K$40,2)</f>
        <v>-3473468.5499999998</v>
      </c>
      <c r="L25" s="668">
        <f>ROUND(+$D25*'[5]II-F Alloc_Factor'!L$40,2)</f>
        <v>-118128.33</v>
      </c>
      <c r="M25" s="668">
        <f>ROUND(+$D25*'[5]II-F Alloc_Factor'!M$40,2)</f>
        <v>-100733.85000000001</v>
      </c>
      <c r="N25" s="669"/>
      <c r="O25" s="102">
        <v>-6800282.0899999999</v>
      </c>
      <c r="P25" s="668">
        <f>ROUND(+$O25*'[5]II-F Alloc_Factor'!E$40,2)</f>
        <v>-3156911.5800000001</v>
      </c>
      <c r="Q25" s="668">
        <f>ROUND(+$O25*'[5]II-F Alloc_Factor'!F$40,2)</f>
        <v>0</v>
      </c>
      <c r="R25" s="668">
        <f>ROUND(+$O25*'[5]II-F Alloc_Factor'!G$40,2)</f>
        <v>-4027.5300000000002</v>
      </c>
      <c r="S25" s="668">
        <f>ROUND(+$O25*'[5]II-F Alloc_Factor'!H$40,2)</f>
        <v>-3160939.1099999999</v>
      </c>
      <c r="T25" s="668">
        <f>ROUND(+$O25*'[5]II-F Alloc_Factor'!I$40,2)</f>
        <v>-3423621.6299999999</v>
      </c>
      <c r="U25" s="668">
        <f>ROUND(+$O25*'[5]II-F Alloc_Factor'!J$40,2)</f>
        <v>0</v>
      </c>
      <c r="V25" s="668">
        <f>ROUND(+$O25*'[5]II-F Alloc_Factor'!K$40,2)</f>
        <v>-3423621.6299999999</v>
      </c>
      <c r="W25" s="668">
        <f>ROUND(+$O25*'[5]II-F Alloc_Factor'!L$40,2)</f>
        <v>-116433.10000000001</v>
      </c>
      <c r="X25" s="668">
        <f>ROUND(+$O25*'[5]II-F Alloc_Factor'!M$40,2)</f>
        <v>-99288.240000000005</v>
      </c>
      <c r="Y25" s="423"/>
      <c r="Z25" s="668">
        <v>-6701272.0099999998</v>
      </c>
      <c r="AA25" s="668">
        <f>ROUND(+$Z25*'[5]II-F Alloc_Factor'!E$40,2)</f>
        <v>-3110947.8900000001</v>
      </c>
      <c r="AB25" s="668">
        <f>ROUND(+$Z25*'[5]II-F Alloc_Factor'!F$40,2)</f>
        <v>0</v>
      </c>
      <c r="AC25" s="668">
        <f>ROUND(+$Z25*'[5]II-F Alloc_Factor'!G$40,2)</f>
        <v>-3968.8899999999999</v>
      </c>
      <c r="AD25" s="668">
        <f>ROUND(+$Z25*'[5]II-F Alloc_Factor'!H$40,2)</f>
        <v>-3114916.7799999998</v>
      </c>
      <c r="AE25" s="668">
        <f>ROUND(+$Z25*'[5]II-F Alloc_Factor'!I$40,2)</f>
        <v>-3373774.7200000002</v>
      </c>
      <c r="AF25" s="668">
        <f>ROUND(+$Z25*'[5]II-F Alloc_Factor'!J$40,2)</f>
        <v>0</v>
      </c>
      <c r="AG25" s="668">
        <f>ROUND(+$Z25*'[5]II-F Alloc_Factor'!K$40,2)</f>
        <v>-3373774.7200000002</v>
      </c>
      <c r="AH25" s="668">
        <f>ROUND(+$Z25*'[5]II-F Alloc_Factor'!L$40,2)</f>
        <v>-114737.87</v>
      </c>
      <c r="AI25" s="668">
        <f>ROUND(+$Z25*'[5]II-F Alloc_Factor'!M$40,2)</f>
        <v>-97842.639999999999</v>
      </c>
      <c r="AJ25" s="423"/>
      <c r="AK25" s="668">
        <v>-6602261.9199999999</v>
      </c>
      <c r="AL25" s="668">
        <f>ROUND(+$AK25*'[5]II-F Alloc_Factor'!E$40,2)</f>
        <v>-3064984.1899999999</v>
      </c>
      <c r="AM25" s="668">
        <f>ROUND(+$AK25*'[5]II-F Alloc_Factor'!F$40,2)</f>
        <v>0</v>
      </c>
      <c r="AN25" s="668">
        <f>ROUND(+$AK25*'[5]II-F Alloc_Factor'!G$40,2)</f>
        <v>-3910.25</v>
      </c>
      <c r="AO25" s="668">
        <f>ROUND(+$AK25*'[5]II-F Alloc_Factor'!H$40,2)</f>
        <v>-3068894.4500000002</v>
      </c>
      <c r="AP25" s="668">
        <f>ROUND(+$AK25*'[5]II-F Alloc_Factor'!I$40,2)</f>
        <v>-3323927.7999999998</v>
      </c>
      <c r="AQ25" s="668">
        <f>ROUND(+$AK25*'[5]II-F Alloc_Factor'!J$40,2)</f>
        <v>0</v>
      </c>
      <c r="AR25" s="668">
        <f>ROUND(+$AK25*'[5]II-F Alloc_Factor'!K$40,2)</f>
        <v>-3323927.7999999998</v>
      </c>
      <c r="AS25" s="668">
        <f>ROUND(+$AK25*'[5]II-F Alloc_Factor'!L$40,2)</f>
        <v>-113042.64</v>
      </c>
      <c r="AT25" s="668">
        <f>ROUND(+$AK25*'[5]II-F Alloc_Factor'!M$40,2)</f>
        <v>-96397.029999999999</v>
      </c>
      <c r="AU25" s="423"/>
      <c r="AV25" s="668">
        <v>-6503251.8300000001</v>
      </c>
      <c r="AW25" s="668">
        <f>ROUND(+$AV25*'[5]II-F Alloc_Factor'!E$40,2)</f>
        <v>-3019020.5</v>
      </c>
      <c r="AX25" s="668">
        <f>ROUND(+$AV25*'[5]II-F Alloc_Factor'!F$40,2)</f>
        <v>0</v>
      </c>
      <c r="AY25" s="668">
        <f>ROUND(+$AV25*'[5]II-F Alloc_Factor'!G$40,2)</f>
        <v>-3851.6100000000001</v>
      </c>
      <c r="AZ25" s="668">
        <f>ROUND(+$AV25*'[5]II-F Alloc_Factor'!H$40,2)</f>
        <v>-3022872.1099999999</v>
      </c>
      <c r="BA25" s="668">
        <f>ROUND(+$AV25*'[5]II-F Alloc_Factor'!I$40,2)</f>
        <v>-3274080.8900000001</v>
      </c>
      <c r="BB25" s="668">
        <f>ROUND(+$AV25*'[5]II-F Alloc_Factor'!J$40,2)</f>
        <v>0</v>
      </c>
      <c r="BC25" s="668">
        <f>ROUND(+$AV25*'[5]II-F Alloc_Factor'!K$40,2)</f>
        <v>-3274080.8900000001</v>
      </c>
      <c r="BD25" s="668">
        <f>ROUND(+$AV25*'[5]II-F Alloc_Factor'!L$40,2)</f>
        <v>-111347.41</v>
      </c>
      <c r="BE25" s="668">
        <f>ROUND(+$AV25*'[5]II-F Alloc_Factor'!M$40,2)</f>
        <v>-94951.419999999998</v>
      </c>
      <c r="BF25" s="423"/>
      <c r="BG25" s="668">
        <v>-6404241.7400000002</v>
      </c>
      <c r="BH25" s="668">
        <f>ROUND(+$BG25*'[5]II-F Alloc_Factor'!E$40,2)</f>
        <v>-2973056.7999999998</v>
      </c>
      <c r="BI25" s="668">
        <f>ROUND(+$BG25*'[5]II-F Alloc_Factor'!F$40,2)</f>
        <v>0</v>
      </c>
      <c r="BJ25" s="668">
        <f>ROUND(+$BG25*'[5]II-F Alloc_Factor'!G$40,2)</f>
        <v>-3792.9699999999998</v>
      </c>
      <c r="BK25" s="668">
        <f>ROUND(+$BG25*'[5]II-F Alloc_Factor'!H$40,2)</f>
        <v>-2976849.77</v>
      </c>
      <c r="BL25" s="668">
        <f>ROUND(+$BG25*'[5]II-F Alloc_Factor'!I$40,2)</f>
        <v>-3224233.9700000002</v>
      </c>
      <c r="BM25" s="668">
        <f>ROUND(+$BG25*'[5]II-F Alloc_Factor'!J$40,2)</f>
        <v>0</v>
      </c>
      <c r="BN25" s="668">
        <f>ROUND(+$BG25*'[5]II-F Alloc_Factor'!K$40,2)</f>
        <v>-3224233.9700000002</v>
      </c>
      <c r="BO25" s="668">
        <f>ROUND(+$BG25*'[5]II-F Alloc_Factor'!L$40,2)</f>
        <v>-109652.17999999999</v>
      </c>
      <c r="BP25" s="668">
        <f>ROUND(+$BG25*'[5]II-F Alloc_Factor'!M$40,2)</f>
        <v>-93505.820000000007</v>
      </c>
      <c r="BQ25" s="423"/>
      <c r="BR25" s="668">
        <v>-6305231.6400000006</v>
      </c>
      <c r="BS25" s="668">
        <f>ROUND(+$BR25*'[5]II-F Alloc_Factor'!E$40,2)</f>
        <v>-2927093.1000000001</v>
      </c>
      <c r="BT25" s="668">
        <f>ROUND(+$BR25*'[5]II-F Alloc_Factor'!F$40,2)</f>
        <v>0</v>
      </c>
      <c r="BU25" s="668">
        <f>ROUND(+$BR25*'[5]II-F Alloc_Factor'!G$40,2)</f>
        <v>-3734.3299999999999</v>
      </c>
      <c r="BV25" s="668">
        <f>ROUND(+$BR25*'[5]II-F Alloc_Factor'!H$40,2)</f>
        <v>-2930827.4300000002</v>
      </c>
      <c r="BW25" s="668">
        <f>ROUND(+$BR25*'[5]II-F Alloc_Factor'!I$40,2)</f>
        <v>-3174387.0499999998</v>
      </c>
      <c r="BX25" s="668">
        <f>ROUND(+$BR25*'[5]II-F Alloc_Factor'!J$40,2)</f>
        <v>0</v>
      </c>
      <c r="BY25" s="668">
        <f>ROUND(+$BR25*'[5]II-F Alloc_Factor'!K$40,2)</f>
        <v>-3174387.0499999998</v>
      </c>
      <c r="BZ25" s="668">
        <f>ROUND(+$BR25*'[5]II-F Alloc_Factor'!L$40,2)</f>
        <v>-107956.95</v>
      </c>
      <c r="CA25" s="668">
        <f>ROUND(+$BR25*'[5]II-F Alloc_Factor'!M$40,2)</f>
        <v>-92060.210000000006</v>
      </c>
      <c r="CB25" s="423"/>
      <c r="CC25" s="668">
        <v>-6206221.5500000007</v>
      </c>
      <c r="CD25" s="668">
        <f>ROUND(+$CC25*'[5]II-F Alloc_Factor'!E$40,2)</f>
        <v>-2881129.3999999999</v>
      </c>
      <c r="CE25" s="668">
        <f>ROUND(+$CC25*'[5]II-F Alloc_Factor'!F$40,2)</f>
        <v>0</v>
      </c>
      <c r="CF25" s="668">
        <f>ROUND(+$CC25*'[5]II-F Alloc_Factor'!G$40,2)</f>
        <v>-3675.6900000000001</v>
      </c>
      <c r="CG25" s="668">
        <f>ROUND(+$CC25*'[5]II-F Alloc_Factor'!H$40,2)</f>
        <v>-2884805.1000000001</v>
      </c>
      <c r="CH25" s="668">
        <f>ROUND(+$CC25*'[5]II-F Alloc_Factor'!I$40,2)</f>
        <v>-3124540.1400000001</v>
      </c>
      <c r="CI25" s="668">
        <f>ROUND(+$CC25*'[5]II-F Alloc_Factor'!J$40,2)</f>
        <v>0</v>
      </c>
      <c r="CJ25" s="668">
        <f>ROUND(+$CC25*'[5]II-F Alloc_Factor'!K$40,2)</f>
        <v>-3124540.1400000001</v>
      </c>
      <c r="CK25" s="668">
        <f>ROUND(+$CC25*'[5]II-F Alloc_Factor'!L$40,2)</f>
        <v>-106261.71000000001</v>
      </c>
      <c r="CL25" s="668">
        <f>ROUND(+$CC25*'[5]II-F Alloc_Factor'!M$40,2)</f>
        <v>-90614.600000000006</v>
      </c>
      <c r="CM25" s="423"/>
      <c r="CN25" s="668">
        <v>-6107211.4700000007</v>
      </c>
      <c r="CO25" s="668">
        <f>ROUND(+$CN25*'[5]II-F Alloc_Factor'!E$40,2)</f>
        <v>-2835165.71</v>
      </c>
      <c r="CP25" s="668">
        <f>ROUND(+$CN25*'[5]II-F Alloc_Factor'!F$40,2)</f>
        <v>0</v>
      </c>
      <c r="CQ25" s="668">
        <f>ROUND(+$CN25*'[5]II-F Alloc_Factor'!G$40,2)</f>
        <v>-3617.0500000000002</v>
      </c>
      <c r="CR25" s="668">
        <f>ROUND(+$CN25*'[5]II-F Alloc_Factor'!H$40,2)</f>
        <v>-2838782.77</v>
      </c>
      <c r="CS25" s="668">
        <f>ROUND(+$CN25*'[5]II-F Alloc_Factor'!I$40,2)</f>
        <v>-3074693.23</v>
      </c>
      <c r="CT25" s="668">
        <f>ROUND(+$CN25*'[5]II-F Alloc_Factor'!J$40,2)</f>
        <v>0</v>
      </c>
      <c r="CU25" s="668">
        <f>ROUND(+$CN25*'[5]II-F Alloc_Factor'!K$40,2)</f>
        <v>-3074693.23</v>
      </c>
      <c r="CV25" s="668">
        <f>ROUND(+$CN25*'[5]II-F Alloc_Factor'!L$40,2)</f>
        <v>-104566.48</v>
      </c>
      <c r="CW25" s="668">
        <f>ROUND(+$CN25*'[5]II-F Alloc_Factor'!M$40,2)</f>
        <v>-89168.990000000005</v>
      </c>
      <c r="CX25" s="423"/>
      <c r="CY25" s="668">
        <v>-6008201.3800000008</v>
      </c>
      <c r="CZ25" s="668">
        <f>ROUND(+$CY25*'[5]II-F Alloc_Factor'!E$40,2)</f>
        <v>-2789202.02</v>
      </c>
      <c r="DA25" s="668">
        <f>ROUND(+$CY25*'[5]II-F Alloc_Factor'!F$40,2)</f>
        <v>0</v>
      </c>
      <c r="DB25" s="668">
        <f>ROUND(+$CY25*'[5]II-F Alloc_Factor'!G$40,2)</f>
        <v>-3558.4099999999999</v>
      </c>
      <c r="DC25" s="668">
        <f>ROUND(+$CY25*'[5]II-F Alloc_Factor'!H$40,2)</f>
        <v>-2792760.4300000002</v>
      </c>
      <c r="DD25" s="668">
        <f>ROUND(+$CY25*'[5]II-F Alloc_Factor'!I$40,2)</f>
        <v>-3024846.3100000001</v>
      </c>
      <c r="DE25" s="668">
        <f>ROUND(+$CY25*'[5]II-F Alloc_Factor'!J$40,2)</f>
        <v>0</v>
      </c>
      <c r="DF25" s="668">
        <f>ROUND(+$CY25*'[5]II-F Alloc_Factor'!K$40,2)</f>
        <v>-3024846.3100000001</v>
      </c>
      <c r="DG25" s="668">
        <f>ROUND(+$CY25*'[5]II-F Alloc_Factor'!L$40,2)</f>
        <v>-102871.25</v>
      </c>
      <c r="DH25" s="668">
        <f>ROUND(+$CY25*'[5]II-F Alloc_Factor'!M$40,2)</f>
        <v>-87723.389999999999</v>
      </c>
      <c r="DI25" s="423"/>
      <c r="DJ25" s="668">
        <v>-5909191.290000001</v>
      </c>
      <c r="DK25" s="668">
        <f>ROUND(+$DJ25*'[5]II-F Alloc_Factor'!E$40,2)</f>
        <v>-2743238.3199999998</v>
      </c>
      <c r="DL25" s="668">
        <f>ROUND(+$DJ25*'[5]II-F Alloc_Factor'!F$40,2)</f>
        <v>0</v>
      </c>
      <c r="DM25" s="668">
        <f>ROUND(+$DJ25*'[5]II-F Alloc_Factor'!G$40,2)</f>
        <v>-3499.77</v>
      </c>
      <c r="DN25" s="668">
        <f>ROUND(+$DJ25*'[5]II-F Alloc_Factor'!H$40,2)</f>
        <v>-2746738.1000000001</v>
      </c>
      <c r="DO25" s="668">
        <f>ROUND(+$DJ25*'[5]II-F Alloc_Factor'!I$40,2)</f>
        <v>-2974999.3999999999</v>
      </c>
      <c r="DP25" s="668">
        <f>ROUND(+$DJ25*'[5]II-F Alloc_Factor'!J$40,2)</f>
        <v>0</v>
      </c>
      <c r="DQ25" s="668">
        <f>ROUND(+$DJ25*'[5]II-F Alloc_Factor'!K$40,2)</f>
        <v>-2974999.3999999999</v>
      </c>
      <c r="DR25" s="668">
        <f>ROUND(+$DJ25*'[5]II-F Alloc_Factor'!L$40,2)</f>
        <v>-101176.02</v>
      </c>
      <c r="DS25" s="668">
        <f>ROUND(+$DJ25*'[5]II-F Alloc_Factor'!M$40,2)</f>
        <v>-86277.779999999999</v>
      </c>
      <c r="DT25" s="423"/>
      <c r="DU25" s="668">
        <v>-5810181.2000000011</v>
      </c>
      <c r="DV25" s="668">
        <f>ROUND(+$DU25*'[5]II-F Alloc_Factor'!E$40,2)</f>
        <v>-2697274.6200000001</v>
      </c>
      <c r="DW25" s="668">
        <f>ROUND(+$DU25*'[5]II-F Alloc_Factor'!F$40,2)</f>
        <v>0</v>
      </c>
      <c r="DX25" s="668">
        <f>ROUND(+$DU25*'[5]II-F Alloc_Factor'!G$40,2)</f>
        <v>-3441.1399999999999</v>
      </c>
      <c r="DY25" s="668">
        <f t="shared" si="1"/>
        <v>-2700715.7600000002</v>
      </c>
      <c r="DZ25" s="668">
        <f>ROUND(+$DU25*'[5]II-F Alloc_Factor'!I$40,2)</f>
        <v>-2925152.48</v>
      </c>
      <c r="EA25" s="668">
        <f>ROUND(+$DU25*'[5]II-F Alloc_Factor'!J$40,2)</f>
        <v>0</v>
      </c>
      <c r="EB25" s="668">
        <f t="shared" si="2"/>
        <v>-2925152.48</v>
      </c>
      <c r="EC25" s="668">
        <f>ROUND(+$DU25*'[5]II-F Alloc_Factor'!L$40,2)</f>
        <v>-99480.789999999994</v>
      </c>
      <c r="ED25" s="668">
        <f>ROUND(+$DU25*'[5]II-F Alloc_Factor'!M$40,2)</f>
        <v>-84832.169999999998</v>
      </c>
      <c r="EE25" s="754">
        <f>+DU25+'II-E-3.5'!K31</f>
        <v>0</v>
      </c>
      <c r="EF25" s="754">
        <f t="shared" si="3"/>
        <v>0</v>
      </c>
      <c r="EH25" s="754"/>
    </row>
    <row r="26" spans="1:138" s="421" customFormat="1" ht="12.75">
      <c r="A26" s="524">
        <f t="shared" si="6"/>
        <v>14</v>
      </c>
      <c r="B26" s="184" t="s">
        <v>336</v>
      </c>
      <c r="C26" s="420" t="s">
        <v>798</v>
      </c>
      <c r="D26" s="668">
        <v>-75846915.099999994</v>
      </c>
      <c r="E26" s="668">
        <f>ROUND(+$D26*'[5]II-F Alloc_Factor'!E$40,2)</f>
        <v>-35210598.840000004</v>
      </c>
      <c r="F26" s="668">
        <f>ROUND(+$D26*'[5]II-F Alloc_Factor'!F$40,2)</f>
        <v>0</v>
      </c>
      <c r="G26" s="668">
        <f>ROUND(+$D26*'[5]II-F Alloc_Factor'!G$40,2)</f>
        <v>-44921.059999999998</v>
      </c>
      <c r="H26" s="668">
        <f>ROUND(+$D26*'[5]II-F Alloc_Factor'!H$40,2)</f>
        <v>-35255519.899999999</v>
      </c>
      <c r="I26" s="668">
        <f>ROUND(+$D26*'[5]II-F Alloc_Factor'!I$40,2)</f>
        <v>-38185348.140000001</v>
      </c>
      <c r="J26" s="668">
        <f>ROUND(+$D26*'[5]II-F Alloc_Factor'!J$40,2)</f>
        <v>0</v>
      </c>
      <c r="K26" s="668">
        <f>ROUND(+$D26*'[5]II-F Alloc_Factor'!K$40,2)</f>
        <v>-38185348.140000001</v>
      </c>
      <c r="L26" s="668">
        <f>ROUND(+$D26*'[5]II-F Alloc_Factor'!L$40,2)</f>
        <v>-1298636.0700000001</v>
      </c>
      <c r="M26" s="668">
        <f>ROUND(+$D26*'[5]II-F Alloc_Factor'!M$40,2)</f>
        <v>-1107410.99</v>
      </c>
      <c r="N26" s="669"/>
      <c r="O26" s="105">
        <v>-77260388.399999991</v>
      </c>
      <c r="P26" s="668">
        <f>ROUND(+$O26*'[5]II-F Alloc_Factor'!E$40,2)</f>
        <v>-35866779</v>
      </c>
      <c r="Q26" s="668">
        <f>ROUND(+$O26*'[5]II-F Alloc_Factor'!F$40,2)</f>
        <v>0</v>
      </c>
      <c r="R26" s="668">
        <f>ROUND(+$O26*'[5]II-F Alloc_Factor'!G$40,2)</f>
        <v>-45758.199999999997</v>
      </c>
      <c r="S26" s="668">
        <f>ROUND(+$O26*'[5]II-F Alloc_Factor'!H$40,2)</f>
        <v>-35912537.200000003</v>
      </c>
      <c r="T26" s="668">
        <f>ROUND(+$O26*'[5]II-F Alloc_Factor'!I$40,2)</f>
        <v>-38896965.350000001</v>
      </c>
      <c r="U26" s="668">
        <f>ROUND(+$O26*'[5]II-F Alloc_Factor'!J$40,2)</f>
        <v>0</v>
      </c>
      <c r="V26" s="668">
        <f>ROUND(+$O26*'[5]II-F Alloc_Factor'!K$40,2)</f>
        <v>-38896965.350000001</v>
      </c>
      <c r="W26" s="668">
        <f>ROUND(+$O26*'[5]II-F Alloc_Factor'!L$40,2)</f>
        <v>-1322837.29</v>
      </c>
      <c r="X26" s="668">
        <f>ROUND(+$O26*'[5]II-F Alloc_Factor'!M$40,2)</f>
        <v>-1128048.5500000001</v>
      </c>
      <c r="Y26" s="423"/>
      <c r="Z26" s="668">
        <v>-79568812.079999998</v>
      </c>
      <c r="AA26" s="668">
        <f>ROUND(+$Z26*'[5]II-F Alloc_Factor'!E$40,2)</f>
        <v>-36938424.170000002</v>
      </c>
      <c r="AB26" s="668">
        <f>ROUND(+$Z26*'[5]II-F Alloc_Factor'!F$40,2)</f>
        <v>0</v>
      </c>
      <c r="AC26" s="668">
        <f>ROUND(+$Z26*'[5]II-F Alloc_Factor'!G$40,2)</f>
        <v>-47125.389999999999</v>
      </c>
      <c r="AD26" s="668">
        <f>ROUND(+$Z26*'[5]II-F Alloc_Factor'!H$40,2)</f>
        <v>-36985549.560000002</v>
      </c>
      <c r="AE26" s="668">
        <f>ROUND(+$Z26*'[5]II-F Alloc_Factor'!I$40,2)</f>
        <v>-40059147.909999996</v>
      </c>
      <c r="AF26" s="668">
        <f>ROUND(+$Z26*'[5]II-F Alloc_Factor'!J$40,2)</f>
        <v>0</v>
      </c>
      <c r="AG26" s="668">
        <f>ROUND(+$Z26*'[5]II-F Alloc_Factor'!K$40,2)</f>
        <v>-40059147.909999996</v>
      </c>
      <c r="AH26" s="668">
        <f>ROUND(+$Z26*'[5]II-F Alloc_Factor'!L$40,2)</f>
        <v>-1362361.6699999999</v>
      </c>
      <c r="AI26" s="668">
        <f>ROUND(+$Z26*'[5]II-F Alloc_Factor'!M$40,2)</f>
        <v>-1161752.9399999999</v>
      </c>
      <c r="AJ26" s="423"/>
      <c r="AK26" s="668">
        <v>-81281832.569999993</v>
      </c>
      <c r="AL26" s="668">
        <f>ROUND(+$AK26*'[5]II-F Alloc_Factor'!E$40,2)</f>
        <v>-37733663.859999999</v>
      </c>
      <c r="AM26" s="668">
        <f>ROUND(+$AK26*'[5]II-F Alloc_Factor'!F$40,2)</f>
        <v>0</v>
      </c>
      <c r="AN26" s="668">
        <f>ROUND(+$AK26*'[5]II-F Alloc_Factor'!G$40,2)</f>
        <v>-48139.940000000002</v>
      </c>
      <c r="AO26" s="668">
        <f>ROUND(+$AK26*'[5]II-F Alloc_Factor'!H$40,2)</f>
        <v>-37781803.799999997</v>
      </c>
      <c r="AP26" s="668">
        <f>ROUND(+$AK26*'[5]II-F Alloc_Factor'!I$40,2)</f>
        <v>-40921573.020000003</v>
      </c>
      <c r="AQ26" s="668">
        <f>ROUND(+$AK26*'[5]II-F Alloc_Factor'!J$40,2)</f>
        <v>0</v>
      </c>
      <c r="AR26" s="668">
        <f>ROUND(+$AK26*'[5]II-F Alloc_Factor'!K$40,2)</f>
        <v>-40921573.020000003</v>
      </c>
      <c r="AS26" s="668">
        <f>ROUND(+$AK26*'[5]II-F Alloc_Factor'!L$40,2)</f>
        <v>-1391691.6699999999</v>
      </c>
      <c r="AT26" s="668">
        <f>ROUND(+$AK26*'[5]II-F Alloc_Factor'!M$40,2)</f>
        <v>-1186764.0800000001</v>
      </c>
      <c r="AU26" s="423"/>
      <c r="AV26" s="668">
        <v>-82994853.069999993</v>
      </c>
      <c r="AW26" s="668">
        <f>ROUND(+$AV26*'[5]II-F Alloc_Factor'!E$40,2)</f>
        <v>-38528903.560000002</v>
      </c>
      <c r="AX26" s="668">
        <f>ROUND(+$AV26*'[5]II-F Alloc_Factor'!F$40,2)</f>
        <v>0</v>
      </c>
      <c r="AY26" s="668">
        <f>ROUND(+$AV26*'[5]II-F Alloc_Factor'!G$40,2)</f>
        <v>-49154.489999999998</v>
      </c>
      <c r="AZ26" s="668">
        <f>ROUND(+$AV26*'[5]II-F Alloc_Factor'!H$40,2)</f>
        <v>-38578058.049999997</v>
      </c>
      <c r="BA26" s="668">
        <f>ROUND(+$AV26*'[5]II-F Alloc_Factor'!I$40,2)</f>
        <v>-41783998.130000003</v>
      </c>
      <c r="BB26" s="668">
        <f>ROUND(+$AV26*'[5]II-F Alloc_Factor'!J$40,2)</f>
        <v>0</v>
      </c>
      <c r="BC26" s="668">
        <f>ROUND(+$AV26*'[5]II-F Alloc_Factor'!K$40,2)</f>
        <v>-41783998.130000003</v>
      </c>
      <c r="BD26" s="668">
        <f>ROUND(+$AV26*'[5]II-F Alloc_Factor'!L$40,2)</f>
        <v>-1421021.6699999999</v>
      </c>
      <c r="BE26" s="668">
        <f>ROUND(+$AV26*'[5]II-F Alloc_Factor'!M$40,2)</f>
        <v>-1211775.22</v>
      </c>
      <c r="BF26" s="423"/>
      <c r="BG26" s="668">
        <v>-85047190.469999999</v>
      </c>
      <c r="BH26" s="668">
        <f>ROUND(+$BG26*'[5]II-F Alloc_Factor'!E$40,2)</f>
        <v>-39481665.159999996</v>
      </c>
      <c r="BI26" s="668">
        <f>ROUND(+$BG26*'[5]II-F Alloc_Factor'!F$40,2)</f>
        <v>0</v>
      </c>
      <c r="BJ26" s="668">
        <f>ROUND(+$BG26*'[5]II-F Alloc_Factor'!G$40,2)</f>
        <v>-50370.010000000002</v>
      </c>
      <c r="BK26" s="668">
        <f>ROUND(+$BG26*'[5]II-F Alloc_Factor'!H$40,2)</f>
        <v>-39532035.18</v>
      </c>
      <c r="BL26" s="668">
        <f>ROUND(+$BG26*'[5]II-F Alloc_Factor'!I$40,2)</f>
        <v>-42817253.310000002</v>
      </c>
      <c r="BM26" s="668">
        <f>ROUND(+$BG26*'[5]II-F Alloc_Factor'!J$40,2)</f>
        <v>0</v>
      </c>
      <c r="BN26" s="668">
        <f>ROUND(+$BG26*'[5]II-F Alloc_Factor'!K$40,2)</f>
        <v>-42817253.310000002</v>
      </c>
      <c r="BO26" s="668">
        <f>ROUND(+$BG26*'[5]II-F Alloc_Factor'!L$40,2)</f>
        <v>-1456161.3899999999</v>
      </c>
      <c r="BP26" s="668">
        <f>ROUND(+$BG26*'[5]II-F Alloc_Factor'!M$40,2)</f>
        <v>-1241740.5900000001</v>
      </c>
      <c r="BQ26" s="423"/>
      <c r="BR26" s="668">
        <v>-86816763.780000001</v>
      </c>
      <c r="BS26" s="668">
        <f>ROUND(+$BR26*'[5]II-F Alloc_Factor'!E$40,2)</f>
        <v>-40303158.509999998</v>
      </c>
      <c r="BT26" s="668">
        <f>ROUND(+$BR26*'[5]II-F Alloc_Factor'!F$40,2)</f>
        <v>0</v>
      </c>
      <c r="BU26" s="668">
        <f>ROUND(+$BR26*'[5]II-F Alloc_Factor'!G$40,2)</f>
        <v>-51418.059999999998</v>
      </c>
      <c r="BV26" s="668">
        <f>ROUND(+$BR26*'[5]II-F Alloc_Factor'!H$40,2)</f>
        <v>-40354576.57</v>
      </c>
      <c r="BW26" s="668">
        <f>ROUND(+$BR26*'[5]II-F Alloc_Factor'!I$40,2)</f>
        <v>-43708150.100000001</v>
      </c>
      <c r="BX26" s="668">
        <f>ROUND(+$BR26*'[5]II-F Alloc_Factor'!J$40,2)</f>
        <v>0</v>
      </c>
      <c r="BY26" s="668">
        <f>ROUND(+$BR26*'[5]II-F Alloc_Factor'!K$40,2)</f>
        <v>-43708150.100000001</v>
      </c>
      <c r="BZ26" s="668">
        <f>ROUND(+$BR26*'[5]II-F Alloc_Factor'!L$40,2)</f>
        <v>-1486459.6799999999</v>
      </c>
      <c r="CA26" s="668">
        <f>ROUND(+$BR26*'[5]II-F Alloc_Factor'!M$40,2)</f>
        <v>-1267577.4299999999</v>
      </c>
      <c r="CB26" s="423"/>
      <c r="CC26" s="668">
        <v>-88586337.099999994</v>
      </c>
      <c r="CD26" s="668">
        <f>ROUND(+$CC26*'[5]II-F Alloc_Factor'!E$40,2)</f>
        <v>-41124651.859999999</v>
      </c>
      <c r="CE26" s="668">
        <f>ROUND(+$CC26*'[5]II-F Alloc_Factor'!F$40,2)</f>
        <v>0</v>
      </c>
      <c r="CF26" s="668">
        <f>ROUND(+$CC26*'[5]II-F Alloc_Factor'!G$40,2)</f>
        <v>-52466.099999999999</v>
      </c>
      <c r="CG26" s="668">
        <f>ROUND(+$CC26*'[5]II-F Alloc_Factor'!H$40,2)</f>
        <v>-41177117.960000001</v>
      </c>
      <c r="CH26" s="668">
        <f>ROUND(+$CC26*'[5]II-F Alloc_Factor'!I$40,2)</f>
        <v>-44599046.890000001</v>
      </c>
      <c r="CI26" s="668">
        <f>ROUND(+$CC26*'[5]II-F Alloc_Factor'!J$40,2)</f>
        <v>0</v>
      </c>
      <c r="CJ26" s="668">
        <f>ROUND(+$CC26*'[5]II-F Alloc_Factor'!K$40,2)</f>
        <v>-44599046.890000001</v>
      </c>
      <c r="CK26" s="668">
        <f>ROUND(+$CC26*'[5]II-F Alloc_Factor'!L$40,2)</f>
        <v>-1516757.97</v>
      </c>
      <c r="CL26" s="668">
        <f>ROUND(+$CC26*'[5]II-F Alloc_Factor'!M$40,2)</f>
        <v>-1293414.28</v>
      </c>
      <c r="CM26" s="423"/>
      <c r="CN26" s="668">
        <v>-91579496.390000001</v>
      </c>
      <c r="CO26" s="668">
        <f>ROUND(+$CN26*'[5]II-F Alloc_Factor'!E$40,2)</f>
        <v>-42514173.509999998</v>
      </c>
      <c r="CP26" s="668">
        <f>ROUND(+$CN26*'[5]II-F Alloc_Factor'!F$40,2)</f>
        <v>0</v>
      </c>
      <c r="CQ26" s="668">
        <f>ROUND(+$CN26*'[5]II-F Alloc_Factor'!G$40,2)</f>
        <v>-54238.830000000002</v>
      </c>
      <c r="CR26" s="668">
        <f>ROUND(+$CN26*'[5]II-F Alloc_Factor'!H$40,2)</f>
        <v>-42568412.340000004</v>
      </c>
      <c r="CS26" s="668">
        <f>ROUND(+$CN26*'[5]II-F Alloc_Factor'!I$40,2)</f>
        <v>-46105961.57</v>
      </c>
      <c r="CT26" s="668">
        <f>ROUND(+$CN26*'[5]II-F Alloc_Factor'!J$40,2)</f>
        <v>0</v>
      </c>
      <c r="CU26" s="668">
        <f>ROUND(+$CN26*'[5]II-F Alloc_Factor'!K$40,2)</f>
        <v>-46105961.57</v>
      </c>
      <c r="CV26" s="668">
        <f>ROUND(+$CN26*'[5]II-F Alloc_Factor'!L$40,2)</f>
        <v>-1568006.26</v>
      </c>
      <c r="CW26" s="668">
        <f>ROUND(+$CN26*'[5]II-F Alloc_Factor'!M$40,2)</f>
        <v>-1337116.22</v>
      </c>
      <c r="CX26" s="423"/>
      <c r="CY26" s="668">
        <v>-93485023.700000003</v>
      </c>
      <c r="CZ26" s="668">
        <f>ROUND(+$CY26*'[5]II-F Alloc_Factor'!E$40,2)</f>
        <v>-43398781.119999997</v>
      </c>
      <c r="DA26" s="668">
        <f>ROUND(+$CY26*'[5]II-F Alloc_Factor'!F$40,2)</f>
        <v>0</v>
      </c>
      <c r="DB26" s="668">
        <f>ROUND(+$CY26*'[5]II-F Alloc_Factor'!G$40,2)</f>
        <v>-55367.400000000001</v>
      </c>
      <c r="DC26" s="668">
        <f>ROUND(+$CY26*'[5]II-F Alloc_Factor'!H$40,2)</f>
        <v>-43454148.509999998</v>
      </c>
      <c r="DD26" s="668">
        <f>ROUND(+$CY26*'[5]II-F Alloc_Factor'!I$40,2)</f>
        <v>-47065304.789999999</v>
      </c>
      <c r="DE26" s="668">
        <f>ROUND(+$CY26*'[5]II-F Alloc_Factor'!J$40,2)</f>
        <v>0</v>
      </c>
      <c r="DF26" s="668">
        <f>ROUND(+$CY26*'[5]II-F Alloc_Factor'!K$40,2)</f>
        <v>-47065304.789999999</v>
      </c>
      <c r="DG26" s="668">
        <f>ROUND(+$CY26*'[5]II-F Alloc_Factor'!L$40,2)</f>
        <v>-1600632.3300000001</v>
      </c>
      <c r="DH26" s="668">
        <f>ROUND(+$CY26*'[5]II-F Alloc_Factor'!M$40,2)</f>
        <v>-1364938.0700000001</v>
      </c>
      <c r="DI26" s="423"/>
      <c r="DJ26" s="668">
        <v>-95390551.010000005</v>
      </c>
      <c r="DK26" s="668">
        <f>ROUND(+$DJ26*'[5]II-F Alloc_Factor'!E$40,2)</f>
        <v>-44283388.719999999</v>
      </c>
      <c r="DL26" s="668">
        <f>ROUND(+$DJ26*'[5]II-F Alloc_Factor'!F$40,2)</f>
        <v>0</v>
      </c>
      <c r="DM26" s="668">
        <f>ROUND(+$DJ26*'[5]II-F Alloc_Factor'!G$40,2)</f>
        <v>-56495.970000000001</v>
      </c>
      <c r="DN26" s="668">
        <f>ROUND(+$DJ26*'[5]II-F Alloc_Factor'!H$40,2)</f>
        <v>-44339884.68</v>
      </c>
      <c r="DO26" s="668">
        <f>ROUND(+$DJ26*'[5]II-F Alloc_Factor'!I$40,2)</f>
        <v>-48024648.009999998</v>
      </c>
      <c r="DP26" s="668">
        <f>ROUND(+$DJ26*'[5]II-F Alloc_Factor'!J$40,2)</f>
        <v>0</v>
      </c>
      <c r="DQ26" s="668">
        <f>ROUND(+$DJ26*'[5]II-F Alloc_Factor'!K$40,2)</f>
        <v>-48024648.009999998</v>
      </c>
      <c r="DR26" s="668">
        <f>ROUND(+$DJ26*'[5]II-F Alloc_Factor'!L$40,2)</f>
        <v>-1633258.3899999999</v>
      </c>
      <c r="DS26" s="668">
        <f>ROUND(+$DJ26*'[5]II-F Alloc_Factor'!M$40,2)</f>
        <v>-1392759.9299999999</v>
      </c>
      <c r="DT26" s="423"/>
      <c r="DU26" s="668">
        <v>-101505570.18000001</v>
      </c>
      <c r="DV26" s="668">
        <f>ROUND(+$DU26*'[5]II-F Alloc_Factor'!E$40,2)</f>
        <v>-47122179.020000003</v>
      </c>
      <c r="DW26" s="668">
        <f>ROUND(+$DU26*'[5]II-F Alloc_Factor'!F$40,2)</f>
        <v>0</v>
      </c>
      <c r="DX26" s="668">
        <f>ROUND(+$DU26*'[5]II-F Alloc_Factor'!G$40,2)</f>
        <v>-60117.639999999999</v>
      </c>
      <c r="DY26" s="668">
        <f t="shared" si="1"/>
        <v>-47182296.660000004</v>
      </c>
      <c r="DZ26" s="668">
        <f>ROUND(+$DU26*'[5]II-F Alloc_Factor'!I$40,2)</f>
        <v>-51103272.039999999</v>
      </c>
      <c r="EA26" s="668">
        <f>ROUND(+$DU26*'[5]II-F Alloc_Factor'!J$40,2)</f>
        <v>0</v>
      </c>
      <c r="EB26" s="668">
        <f t="shared" si="2"/>
        <v>-51103272.039999999</v>
      </c>
      <c r="EC26" s="668">
        <f>ROUND(+$DU26*'[5]II-F Alloc_Factor'!L$40,2)</f>
        <v>-1737958.5600000001</v>
      </c>
      <c r="ED26" s="668">
        <f>ROUND(+$DU26*'[5]II-F Alloc_Factor'!M$40,2)</f>
        <v>-1482042.9199999999</v>
      </c>
      <c r="EE26" s="754">
        <f>+DU26+'II-E-3.5'!K32</f>
        <v>0</v>
      </c>
      <c r="EF26" s="754">
        <f t="shared" si="3"/>
        <v>0</v>
      </c>
      <c r="EH26" s="754"/>
    </row>
    <row r="27" spans="1:138" s="421" customFormat="1" ht="12.75">
      <c r="A27" s="524">
        <f t="shared" si="6"/>
        <v>15</v>
      </c>
      <c r="B27" s="184" t="s">
        <v>437</v>
      </c>
      <c r="C27" s="420" t="s">
        <v>798</v>
      </c>
      <c r="D27" s="668">
        <v>-26341564.93</v>
      </c>
      <c r="E27" s="668">
        <f>ROUND(+$D27*'[5]II-F Alloc_Factor'!E$40,2)</f>
        <v>-12228609.09</v>
      </c>
      <c r="F27" s="668">
        <f>ROUND(+$D27*'[5]II-F Alloc_Factor'!F$40,2)</f>
        <v>0</v>
      </c>
      <c r="G27" s="668">
        <f>ROUND(+$D27*'[5]II-F Alloc_Factor'!G$40,2)</f>
        <v>-15601.040000000001</v>
      </c>
      <c r="H27" s="668">
        <f>ROUND(+$D27*'[5]II-F Alloc_Factor'!H$40,2)</f>
        <v>-12244210.130000001</v>
      </c>
      <c r="I27" s="668">
        <f>ROUND(+$D27*'[5]II-F Alloc_Factor'!I$40,2)</f>
        <v>-13261736.83</v>
      </c>
      <c r="J27" s="668">
        <f>ROUND(+$D27*'[5]II-F Alloc_Factor'!J$40,2)</f>
        <v>0</v>
      </c>
      <c r="K27" s="668">
        <f>ROUND(+$D27*'[5]II-F Alloc_Factor'!K$40,2)</f>
        <v>-13261736.83</v>
      </c>
      <c r="L27" s="668">
        <f>ROUND(+$D27*'[5]II-F Alloc_Factor'!L$40,2)</f>
        <v>-451015.13</v>
      </c>
      <c r="M27" s="668">
        <f>ROUND(+$D27*'[5]II-F Alloc_Factor'!M$40,2)</f>
        <v>-384602.83000000002</v>
      </c>
      <c r="N27" s="669"/>
      <c r="O27" s="102">
        <v>-26732994.41</v>
      </c>
      <c r="P27" s="668">
        <f>ROUND(+$O27*'[5]II-F Alloc_Factor'!E$40,2)</f>
        <v>-12410323.35</v>
      </c>
      <c r="Q27" s="668">
        <f>ROUND(+$O27*'[5]II-F Alloc_Factor'!F$40,2)</f>
        <v>0</v>
      </c>
      <c r="R27" s="668">
        <f>ROUND(+$O27*'[5]II-F Alloc_Factor'!G$40,2)</f>
        <v>-15832.870000000001</v>
      </c>
      <c r="S27" s="668">
        <f>ROUND(+$O27*'[5]II-F Alloc_Factor'!H$40,2)</f>
        <v>-12426156.23</v>
      </c>
      <c r="T27" s="668">
        <f>ROUND(+$O27*'[5]II-F Alloc_Factor'!I$40,2)</f>
        <v>-13458803.130000001</v>
      </c>
      <c r="U27" s="668">
        <f>ROUND(+$O27*'[5]II-F Alloc_Factor'!J$40,2)</f>
        <v>0</v>
      </c>
      <c r="V27" s="668">
        <f>ROUND(+$O27*'[5]II-F Alloc_Factor'!K$40,2)</f>
        <v>-13458803.130000001</v>
      </c>
      <c r="W27" s="668">
        <f>ROUND(+$O27*'[5]II-F Alloc_Factor'!L$40,2)</f>
        <v>-457717.10999999999</v>
      </c>
      <c r="X27" s="668">
        <f>ROUND(+$O27*'[5]II-F Alloc_Factor'!M$40,2)</f>
        <v>-390317.94</v>
      </c>
      <c r="Y27" s="423"/>
      <c r="Z27" s="668">
        <v>-27134688.800000001</v>
      </c>
      <c r="AA27" s="668">
        <f>ROUND(+$Z27*'[5]II-F Alloc_Factor'!E$40,2)</f>
        <v>-12596802.92</v>
      </c>
      <c r="AB27" s="668">
        <f>ROUND(+$Z27*'[5]II-F Alloc_Factor'!F$40,2)</f>
        <v>0</v>
      </c>
      <c r="AC27" s="668">
        <f>ROUND(+$Z27*'[5]II-F Alloc_Factor'!G$40,2)</f>
        <v>-16070.780000000001</v>
      </c>
      <c r="AD27" s="668">
        <f>ROUND(+$Z27*'[5]II-F Alloc_Factor'!H$40,2)</f>
        <v>-12612873.699999999</v>
      </c>
      <c r="AE27" s="668">
        <f>ROUND(+$Z27*'[5]II-F Alloc_Factor'!I$40,2)</f>
        <v>-13661037.33</v>
      </c>
      <c r="AF27" s="668">
        <f>ROUND(+$Z27*'[5]II-F Alloc_Factor'!J$40,2)</f>
        <v>0</v>
      </c>
      <c r="AG27" s="668">
        <f>ROUND(+$Z27*'[5]II-F Alloc_Factor'!K$40,2)</f>
        <v>-13661037.33</v>
      </c>
      <c r="AH27" s="668">
        <f>ROUND(+$Z27*'[5]II-F Alloc_Factor'!L$40,2)</f>
        <v>-464594.84000000003</v>
      </c>
      <c r="AI27" s="668">
        <f>ROUND(+$Z27*'[5]II-F Alloc_Factor'!M$40,2)</f>
        <v>-396182.91999999998</v>
      </c>
      <c r="AJ27" s="423"/>
      <c r="AK27" s="668">
        <v>-27529539.920000002</v>
      </c>
      <c r="AL27" s="668">
        <f>ROUND(+$AK27*'[5]II-F Alloc_Factor'!E$40,2)</f>
        <v>-12780105.619999999</v>
      </c>
      <c r="AM27" s="668">
        <f>ROUND(+$AK27*'[5]II-F Alloc_Factor'!F$40,2)</f>
        <v>0</v>
      </c>
      <c r="AN27" s="668">
        <f>ROUND(+$AK27*'[5]II-F Alloc_Factor'!G$40,2)</f>
        <v>-16304.629999999999</v>
      </c>
      <c r="AO27" s="668">
        <f>ROUND(+$AK27*'[5]II-F Alloc_Factor'!H$40,2)</f>
        <v>-12796410.26</v>
      </c>
      <c r="AP27" s="668">
        <f>ROUND(+$AK27*'[5]II-F Alloc_Factor'!I$40,2)</f>
        <v>-13859826.27</v>
      </c>
      <c r="AQ27" s="668">
        <f>ROUND(+$AK27*'[5]II-F Alloc_Factor'!J$40,2)</f>
        <v>0</v>
      </c>
      <c r="AR27" s="668">
        <f>ROUND(+$AK27*'[5]II-F Alloc_Factor'!K$40,2)</f>
        <v>-13859826.27</v>
      </c>
      <c r="AS27" s="668">
        <f>ROUND(+$AK27*'[5]II-F Alloc_Factor'!L$40,2)</f>
        <v>-471355.40999999997</v>
      </c>
      <c r="AT27" s="668">
        <f>ROUND(+$AK27*'[5]II-F Alloc_Factor'!M$40,2)</f>
        <v>-401947.98999999999</v>
      </c>
      <c r="AU27" s="423"/>
      <c r="AV27" s="668">
        <v>-27924391.030000001</v>
      </c>
      <c r="AW27" s="668">
        <f>ROUND(+$AV27*'[5]II-F Alloc_Factor'!E$40,2)</f>
        <v>-12963408.32</v>
      </c>
      <c r="AX27" s="668">
        <f>ROUND(+$AV27*'[5]II-F Alloc_Factor'!F$40,2)</f>
        <v>0</v>
      </c>
      <c r="AY27" s="668">
        <f>ROUND(+$AV27*'[5]II-F Alloc_Factor'!G$40,2)</f>
        <v>-16538.490000000002</v>
      </c>
      <c r="AZ27" s="668">
        <f>ROUND(+$AV27*'[5]II-F Alloc_Factor'!H$40,2)</f>
        <v>-12979946.810000001</v>
      </c>
      <c r="BA27" s="668">
        <f>ROUND(+$AV27*'[5]II-F Alloc_Factor'!I$40,2)</f>
        <v>-14058615.199999999</v>
      </c>
      <c r="BB27" s="668">
        <f>ROUND(+$AV27*'[5]II-F Alloc_Factor'!J$40,2)</f>
        <v>0</v>
      </c>
      <c r="BC27" s="668">
        <f>ROUND(+$AV27*'[5]II-F Alloc_Factor'!K$40,2)</f>
        <v>-14058615.199999999</v>
      </c>
      <c r="BD27" s="668">
        <f>ROUND(+$AV27*'[5]II-F Alloc_Factor'!L$40,2)</f>
        <v>-478115.96999999997</v>
      </c>
      <c r="BE27" s="668">
        <f>ROUND(+$AV27*'[5]II-F Alloc_Factor'!M$40,2)</f>
        <v>-407713.04999999999</v>
      </c>
      <c r="BF27" s="423"/>
      <c r="BG27" s="668">
        <v>-28322265.690000001</v>
      </c>
      <c r="BH27" s="668">
        <f>ROUND(+$BG27*'[5]II-F Alloc_Factor'!E$40,2)</f>
        <v>-13148114.65</v>
      </c>
      <c r="BI27" s="668">
        <f>ROUND(+$BG27*'[5]II-F Alloc_Factor'!F$40,2)</f>
        <v>0</v>
      </c>
      <c r="BJ27" s="668">
        <f>ROUND(+$BG27*'[5]II-F Alloc_Factor'!G$40,2)</f>
        <v>-16774.130000000001</v>
      </c>
      <c r="BK27" s="668">
        <f>ROUND(+$BG27*'[5]II-F Alloc_Factor'!H$40,2)</f>
        <v>-13164888.779999999</v>
      </c>
      <c r="BL27" s="668">
        <f>ROUND(+$BG27*'[5]II-F Alloc_Factor'!I$40,2)</f>
        <v>-14258926.34</v>
      </c>
      <c r="BM27" s="668">
        <f>ROUND(+$BG27*'[5]II-F Alloc_Factor'!J$40,2)</f>
        <v>0</v>
      </c>
      <c r="BN27" s="668">
        <f>ROUND(+$BG27*'[5]II-F Alloc_Factor'!K$40,2)</f>
        <v>-14258926.34</v>
      </c>
      <c r="BO27" s="668">
        <f>ROUND(+$BG27*'[5]II-F Alloc_Factor'!L$40,2)</f>
        <v>-484928.29999999999</v>
      </c>
      <c r="BP27" s="668">
        <f>ROUND(+$BG27*'[5]II-F Alloc_Factor'!M$40,2)</f>
        <v>-413522.27000000002</v>
      </c>
      <c r="BQ27" s="423"/>
      <c r="BR27" s="668">
        <v>-28717620.720000003</v>
      </c>
      <c r="BS27" s="668">
        <f>ROUND(+$BR27*'[5]II-F Alloc_Factor'!E$40,2)</f>
        <v>-13331651.279999999</v>
      </c>
      <c r="BT27" s="668">
        <f>ROUND(+$BR27*'[5]II-F Alloc_Factor'!F$40,2)</f>
        <v>0</v>
      </c>
      <c r="BU27" s="668">
        <f>ROUND(+$BR27*'[5]II-F Alloc_Factor'!G$40,2)</f>
        <v>-17008.290000000001</v>
      </c>
      <c r="BV27" s="668">
        <f>ROUND(+$BR27*'[5]II-F Alloc_Factor'!H$40,2)</f>
        <v>-13348659.560000001</v>
      </c>
      <c r="BW27" s="668">
        <f>ROUND(+$BR27*'[5]II-F Alloc_Factor'!I$40,2)</f>
        <v>-14457968.970000001</v>
      </c>
      <c r="BX27" s="668">
        <f>ROUND(+$BR27*'[5]II-F Alloc_Factor'!J$40,2)</f>
        <v>0</v>
      </c>
      <c r="BY27" s="668">
        <f>ROUND(+$BR27*'[5]II-F Alloc_Factor'!K$40,2)</f>
        <v>-14457968.970000001</v>
      </c>
      <c r="BZ27" s="668">
        <f>ROUND(+$BR27*'[5]II-F Alloc_Factor'!L$40,2)</f>
        <v>-491697.5</v>
      </c>
      <c r="CA27" s="668">
        <f>ROUND(+$BR27*'[5]II-F Alloc_Factor'!M$40,2)</f>
        <v>-419294.69</v>
      </c>
      <c r="CB27" s="423"/>
      <c r="CC27" s="668">
        <v>-29112975.770000003</v>
      </c>
      <c r="CD27" s="668">
        <f>ROUND(+$CC27*'[5]II-F Alloc_Factor'!E$40,2)</f>
        <v>-13515187.92</v>
      </c>
      <c r="CE27" s="668">
        <f>ROUND(+$CC27*'[5]II-F Alloc_Factor'!F$40,2)</f>
        <v>0</v>
      </c>
      <c r="CF27" s="668">
        <f>ROUND(+$CC27*'[5]II-F Alloc_Factor'!G$40,2)</f>
        <v>-17242.439999999999</v>
      </c>
      <c r="CG27" s="668">
        <f>ROUND(+$CC27*'[5]II-F Alloc_Factor'!H$40,2)</f>
        <v>-13532430.359999999</v>
      </c>
      <c r="CH27" s="668">
        <f>ROUND(+$CC27*'[5]II-F Alloc_Factor'!I$40,2)</f>
        <v>-14657011.609999999</v>
      </c>
      <c r="CI27" s="668">
        <f>ROUND(+$CC27*'[5]II-F Alloc_Factor'!J$40,2)</f>
        <v>0</v>
      </c>
      <c r="CJ27" s="668">
        <f>ROUND(+$CC27*'[5]II-F Alloc_Factor'!K$40,2)</f>
        <v>-14657011.609999999</v>
      </c>
      <c r="CK27" s="668">
        <f>ROUND(+$CC27*'[5]II-F Alloc_Factor'!L$40,2)</f>
        <v>-498466.69</v>
      </c>
      <c r="CL27" s="668">
        <f>ROUND(+$CC27*'[5]II-F Alloc_Factor'!M$40,2)</f>
        <v>-425067.10999999999</v>
      </c>
      <c r="CM27" s="423"/>
      <c r="CN27" s="668">
        <v>-29794950.310000002</v>
      </c>
      <c r="CO27" s="668">
        <f>ROUND(+$CN27*'[5]II-F Alloc_Factor'!E$40,2)</f>
        <v>-13831782.630000001</v>
      </c>
      <c r="CP27" s="668">
        <f>ROUND(+$CN27*'[5]II-F Alloc_Factor'!F$40,2)</f>
        <v>0</v>
      </c>
      <c r="CQ27" s="668">
        <f>ROUND(+$CN27*'[5]II-F Alloc_Factor'!G$40,2)</f>
        <v>-17646.34</v>
      </c>
      <c r="CR27" s="668">
        <f>ROUND(+$CN27*'[5]II-F Alloc_Factor'!H$40,2)</f>
        <v>-13849428.970000001</v>
      </c>
      <c r="CS27" s="668">
        <f>ROUND(+$CN27*'[5]II-F Alloc_Factor'!I$40,2)</f>
        <v>-15000353.66</v>
      </c>
      <c r="CT27" s="668">
        <f>ROUND(+$CN27*'[5]II-F Alloc_Factor'!J$40,2)</f>
        <v>0</v>
      </c>
      <c r="CU27" s="668">
        <f>ROUND(+$CN27*'[5]II-F Alloc_Factor'!K$40,2)</f>
        <v>-15000353.66</v>
      </c>
      <c r="CV27" s="668">
        <f>ROUND(+$CN27*'[5]II-F Alloc_Factor'!L$40,2)</f>
        <v>-510143.32000000001</v>
      </c>
      <c r="CW27" s="668">
        <f>ROUND(+$CN27*'[5]II-F Alloc_Factor'!M$40,2)</f>
        <v>-435024.34999999998</v>
      </c>
      <c r="CX27" s="423"/>
      <c r="CY27" s="668">
        <v>-30190588.590000004</v>
      </c>
      <c r="CZ27" s="668">
        <f>ROUND(+$CY27*'[5]II-F Alloc_Factor'!E$40,2)</f>
        <v>-14015450.75</v>
      </c>
      <c r="DA27" s="668">
        <f>ROUND(+$CY27*'[5]II-F Alloc_Factor'!F$40,2)</f>
        <v>0</v>
      </c>
      <c r="DB27" s="668">
        <f>ROUND(+$CY27*'[5]II-F Alloc_Factor'!G$40,2)</f>
        <v>-17880.66</v>
      </c>
      <c r="DC27" s="668">
        <f>ROUND(+$CY27*'[5]II-F Alloc_Factor'!H$40,2)</f>
        <v>-14033331.42</v>
      </c>
      <c r="DD27" s="668">
        <f>ROUND(+$CY27*'[5]II-F Alloc_Factor'!I$40,2)</f>
        <v>-15199538.890000001</v>
      </c>
      <c r="DE27" s="668">
        <f>ROUND(+$CY27*'[5]II-F Alloc_Factor'!J$40,2)</f>
        <v>0</v>
      </c>
      <c r="DF27" s="668">
        <f>ROUND(+$CY27*'[5]II-F Alloc_Factor'!K$40,2)</f>
        <v>-15199538.890000001</v>
      </c>
      <c r="DG27" s="668">
        <f>ROUND(+$CY27*'[5]II-F Alloc_Factor'!L$40,2)</f>
        <v>-516917.35999999999</v>
      </c>
      <c r="DH27" s="668">
        <f>ROUND(+$CY27*'[5]II-F Alloc_Factor'!M$40,2)</f>
        <v>-440800.90999999997</v>
      </c>
      <c r="DI27" s="423"/>
      <c r="DJ27" s="668">
        <v>-30586226.850000005</v>
      </c>
      <c r="DK27" s="668">
        <f>ROUND(+$DJ27*'[5]II-F Alloc_Factor'!E$40,2)</f>
        <v>-14199118.869999999</v>
      </c>
      <c r="DL27" s="668">
        <f>ROUND(+$DJ27*'[5]II-F Alloc_Factor'!F$40,2)</f>
        <v>0</v>
      </c>
      <c r="DM27" s="668">
        <f>ROUND(+$DJ27*'[5]II-F Alloc_Factor'!G$40,2)</f>
        <v>-18114.990000000002</v>
      </c>
      <c r="DN27" s="668">
        <f>ROUND(+$DJ27*'[5]II-F Alloc_Factor'!H$40,2)</f>
        <v>-14217233.859999999</v>
      </c>
      <c r="DO27" s="668">
        <f>ROUND(+$DJ27*'[5]II-F Alloc_Factor'!I$40,2)</f>
        <v>-15398724.119999999</v>
      </c>
      <c r="DP27" s="668">
        <f>ROUND(+$DJ27*'[5]II-F Alloc_Factor'!J$40,2)</f>
        <v>0</v>
      </c>
      <c r="DQ27" s="668">
        <f>ROUND(+$DJ27*'[5]II-F Alloc_Factor'!K$40,2)</f>
        <v>-15398724.119999999</v>
      </c>
      <c r="DR27" s="668">
        <f>ROUND(+$DJ27*'[5]II-F Alloc_Factor'!L$40,2)</f>
        <v>-523691.40999999997</v>
      </c>
      <c r="DS27" s="668">
        <f>ROUND(+$DJ27*'[5]II-F Alloc_Factor'!M$40,2)</f>
        <v>-446577.46999999997</v>
      </c>
      <c r="DT27" s="423"/>
      <c r="DU27" s="668">
        <v>-33838459.540000007</v>
      </c>
      <c r="DV27" s="668">
        <f>ROUND(+$DU27*'[5]II-F Alloc_Factor'!E$40,2)</f>
        <v>-15708910.800000001</v>
      </c>
      <c r="DW27" s="668">
        <f>ROUND(+$DU27*'[5]II-F Alloc_Factor'!F$40,2)</f>
        <v>0</v>
      </c>
      <c r="DX27" s="668">
        <f>ROUND(+$DU27*'[5]II-F Alloc_Factor'!G$40,2)</f>
        <v>-20041.150000000001</v>
      </c>
      <c r="DY27" s="668">
        <f t="shared" si="1"/>
        <v>-15728951.950000001</v>
      </c>
      <c r="DZ27" s="668">
        <f>ROUND(+$DU27*'[5]II-F Alloc_Factor'!I$40,2)</f>
        <v>-17036070.039999999</v>
      </c>
      <c r="EA27" s="668">
        <f>ROUND(+$DU27*'[5]II-F Alloc_Factor'!J$40,2)</f>
        <v>0</v>
      </c>
      <c r="EB27" s="668">
        <f t="shared" si="2"/>
        <v>-17036070.039999999</v>
      </c>
      <c r="EC27" s="668">
        <f>ROUND(+$DU27*'[5]II-F Alloc_Factor'!L$40,2)</f>
        <v>-579375.5</v>
      </c>
      <c r="ED27" s="668">
        <f>ROUND(+$DU27*'[5]II-F Alloc_Factor'!M$40,2)</f>
        <v>-494062.03999999998</v>
      </c>
      <c r="EE27" s="754">
        <f>+DU27+'II-E-3.5'!K33</f>
        <v>0</v>
      </c>
      <c r="EF27" s="754">
        <f t="shared" si="3"/>
        <v>0.01000000536441803</v>
      </c>
      <c r="EH27" s="754"/>
    </row>
    <row r="28" spans="1:138" s="421" customFormat="1" ht="12.75">
      <c r="A28" s="524">
        <f t="shared" si="6"/>
        <v>16</v>
      </c>
      <c r="B28" s="184" t="s">
        <v>1201</v>
      </c>
      <c r="C28" s="420" t="s">
        <v>798</v>
      </c>
      <c r="D28" s="668">
        <v>49479284.609999999</v>
      </c>
      <c r="E28" s="668">
        <f>ROUND(+$D28*'[5]II-F Alloc_Factor'!E$40,2)</f>
        <v>22969889.27</v>
      </c>
      <c r="F28" s="668">
        <f>ROUND(+$D28*'[5]II-F Alloc_Factor'!F$40,2)</f>
        <v>0</v>
      </c>
      <c r="G28" s="668">
        <f>ROUND(+$D28*'[5]II-F Alloc_Factor'!G$40,2)</f>
        <v>29304.580000000002</v>
      </c>
      <c r="H28" s="668">
        <f>ROUND(+$D28*'[5]II-F Alloc_Factor'!H$40,2)</f>
        <v>22999193.850000001</v>
      </c>
      <c r="I28" s="668">
        <f>ROUND(+$D28*'[5]II-F Alloc_Factor'!I$40,2)</f>
        <v>24910488.530000001</v>
      </c>
      <c r="J28" s="668">
        <f>ROUND(+$D28*'[5]II-F Alloc_Factor'!J$40,2)</f>
        <v>0</v>
      </c>
      <c r="K28" s="668">
        <f>ROUND(+$D28*'[5]II-F Alloc_Factor'!K$40,2)</f>
        <v>24910488.530000001</v>
      </c>
      <c r="L28" s="668">
        <f>ROUND(+$D28*'[5]II-F Alloc_Factor'!L$40,2)</f>
        <v>847174.65000000002</v>
      </c>
      <c r="M28" s="668">
        <f>ROUND(+$D28*'[5]II-F Alloc_Factor'!M$40,2)</f>
        <v>722427.57999999996</v>
      </c>
      <c r="N28" s="669"/>
      <c r="O28" s="102">
        <v>50218074.719999999</v>
      </c>
      <c r="P28" s="668">
        <f>ROUND(+$O28*'[5]II-F Alloc_Factor'!E$40,2)</f>
        <v>23312859.609999999</v>
      </c>
      <c r="Q28" s="668">
        <f>ROUND(+$O28*'[5]II-F Alloc_Factor'!F$40,2)</f>
        <v>0</v>
      </c>
      <c r="R28" s="668">
        <f>ROUND(+$O28*'[5]II-F Alloc_Factor'!G$40,2)</f>
        <v>29742.130000000001</v>
      </c>
      <c r="S28" s="668">
        <f>ROUND(+$O28*'[5]II-F Alloc_Factor'!H$40,2)</f>
        <v>23342601.739999998</v>
      </c>
      <c r="T28" s="668">
        <f>ROUND(+$O28*'[5]II-F Alloc_Factor'!I$40,2)</f>
        <v>25282434.539999999</v>
      </c>
      <c r="U28" s="668">
        <f>ROUND(+$O28*'[5]II-F Alloc_Factor'!J$40,2)</f>
        <v>0</v>
      </c>
      <c r="V28" s="668">
        <f>ROUND(+$O28*'[5]II-F Alloc_Factor'!K$40,2)</f>
        <v>25282434.539999999</v>
      </c>
      <c r="W28" s="668">
        <f>ROUND(+$O28*'[5]II-F Alloc_Factor'!L$40,2)</f>
        <v>859824.06999999995</v>
      </c>
      <c r="X28" s="668">
        <f>ROUND(+$O28*'[5]II-F Alloc_Factor'!M$40,2)</f>
        <v>733214.35999999999</v>
      </c>
      <c r="Y28" s="423"/>
      <c r="Z28" s="668">
        <v>51068210.039999999</v>
      </c>
      <c r="AA28" s="668">
        <f>ROUND(+$Z28*'[5]II-F Alloc_Factor'!E$40,2)</f>
        <v>23707520</v>
      </c>
      <c r="AB28" s="668">
        <f>ROUND(+$Z28*'[5]II-F Alloc_Factor'!F$40,2)</f>
        <v>0</v>
      </c>
      <c r="AC28" s="668">
        <f>ROUND(+$Z28*'[5]II-F Alloc_Factor'!G$40,2)</f>
        <v>30245.639999999999</v>
      </c>
      <c r="AD28" s="668">
        <f>ROUND(+$Z28*'[5]II-F Alloc_Factor'!H$40,2)</f>
        <v>23737765.640000001</v>
      </c>
      <c r="AE28" s="668">
        <f>ROUND(+$Z28*'[5]II-F Alloc_Factor'!I$40,2)</f>
        <v>25710437.620000001</v>
      </c>
      <c r="AF28" s="668">
        <f>ROUND(+$Z28*'[5]II-F Alloc_Factor'!J$40,2)</f>
        <v>0</v>
      </c>
      <c r="AG28" s="668">
        <f>ROUND(+$Z28*'[5]II-F Alloc_Factor'!K$40,2)</f>
        <v>25710437.620000001</v>
      </c>
      <c r="AH28" s="668">
        <f>ROUND(+$Z28*'[5]II-F Alloc_Factor'!L$40,2)</f>
        <v>874379.92000000004</v>
      </c>
      <c r="AI28" s="668">
        <f>ROUND(+$Z28*'[5]II-F Alloc_Factor'!M$40,2)</f>
        <v>745626.85999999999</v>
      </c>
      <c r="AJ28" s="423"/>
      <c r="AK28" s="668">
        <v>51844115.219999999</v>
      </c>
      <c r="AL28" s="668">
        <f>ROUND(+$AK28*'[5]II-F Alloc_Factor'!E$40,2)</f>
        <v>24067720.359999999</v>
      </c>
      <c r="AM28" s="668">
        <f>ROUND(+$AK28*'[5]II-F Alloc_Factor'!F$40,2)</f>
        <v>0</v>
      </c>
      <c r="AN28" s="668">
        <f>ROUND(+$AK28*'[5]II-F Alloc_Factor'!G$40,2)</f>
        <v>30705.169999999998</v>
      </c>
      <c r="AO28" s="668">
        <f>ROUND(+$AK28*'[5]II-F Alloc_Factor'!H$40,2)</f>
        <v>24098425.539999999</v>
      </c>
      <c r="AP28" s="668">
        <f>ROUND(+$AK28*'[5]II-F Alloc_Factor'!I$40,2)</f>
        <v>26101069.32</v>
      </c>
      <c r="AQ28" s="668">
        <f>ROUND(+$AK28*'[5]II-F Alloc_Factor'!J$40,2)</f>
        <v>0</v>
      </c>
      <c r="AR28" s="668">
        <f>ROUND(+$AK28*'[5]II-F Alloc_Factor'!K$40,2)</f>
        <v>26101069.32</v>
      </c>
      <c r="AS28" s="668">
        <f>ROUND(+$AK28*'[5]II-F Alloc_Factor'!L$40,2)</f>
        <v>887664.81999999995</v>
      </c>
      <c r="AT28" s="668">
        <f>ROUND(+$AK28*'[5]II-F Alloc_Factor'!M$40,2)</f>
        <v>756955.54000000004</v>
      </c>
      <c r="AU28" s="423"/>
      <c r="AV28" s="668">
        <v>52620020.409999996</v>
      </c>
      <c r="AW28" s="668">
        <f>ROUND(+$AV28*'[5]II-F Alloc_Factor'!E$40,2)</f>
        <v>24427920.73</v>
      </c>
      <c r="AX28" s="668">
        <f>ROUND(+$AV28*'[5]II-F Alloc_Factor'!F$40,2)</f>
        <v>0</v>
      </c>
      <c r="AY28" s="668">
        <f>ROUND(+$AV28*'[5]II-F Alloc_Factor'!G$40,2)</f>
        <v>31164.709999999999</v>
      </c>
      <c r="AZ28" s="668">
        <f>ROUND(+$AV28*'[5]II-F Alloc_Factor'!H$40,2)</f>
        <v>24459085.440000001</v>
      </c>
      <c r="BA28" s="668">
        <f>ROUND(+$AV28*'[5]II-F Alloc_Factor'!I$40,2)</f>
        <v>26491701.030000001</v>
      </c>
      <c r="BB28" s="668">
        <f>ROUND(+$AV28*'[5]II-F Alloc_Factor'!J$40,2)</f>
        <v>0</v>
      </c>
      <c r="BC28" s="668">
        <f>ROUND(+$AV28*'[5]II-F Alloc_Factor'!K$40,2)</f>
        <v>26491701.030000001</v>
      </c>
      <c r="BD28" s="668">
        <f>ROUND(+$AV28*'[5]II-F Alloc_Factor'!L$40,2)</f>
        <v>900949.71999999997</v>
      </c>
      <c r="BE28" s="668">
        <f>ROUND(+$AV28*'[5]II-F Alloc_Factor'!M$40,2)</f>
        <v>768284.22999999998</v>
      </c>
      <c r="BF28" s="423"/>
      <c r="BG28" s="668">
        <v>53984760.449999996</v>
      </c>
      <c r="BH28" s="668">
        <f>ROUND(+$BG28*'[5]II-F Alloc_Factor'!E$40,2)</f>
        <v>25061477.329999998</v>
      </c>
      <c r="BI28" s="668">
        <f>ROUND(+$BG28*'[5]II-F Alloc_Factor'!F$40,2)</f>
        <v>0</v>
      </c>
      <c r="BJ28" s="668">
        <f>ROUND(+$BG28*'[5]II-F Alloc_Factor'!G$40,2)</f>
        <v>31972.990000000002</v>
      </c>
      <c r="BK28" s="668">
        <f>ROUND(+$BG28*'[5]II-F Alloc_Factor'!H$40,2)</f>
        <v>25093450.32</v>
      </c>
      <c r="BL28" s="668">
        <f>ROUND(+$BG28*'[5]II-F Alloc_Factor'!I$40,2)</f>
        <v>27178783.34</v>
      </c>
      <c r="BM28" s="668">
        <f>ROUND(+$BG28*'[5]II-F Alloc_Factor'!J$40,2)</f>
        <v>0</v>
      </c>
      <c r="BN28" s="668">
        <f>ROUND(+$BG28*'[5]II-F Alloc_Factor'!K$40,2)</f>
        <v>27178783.34</v>
      </c>
      <c r="BO28" s="668">
        <f>ROUND(+$BG28*'[5]II-F Alloc_Factor'!L$40,2)</f>
        <v>924316.53000000003</v>
      </c>
      <c r="BP28" s="668">
        <f>ROUND(+$BG28*'[5]II-F Alloc_Factor'!M$40,2)</f>
        <v>788210.26000000001</v>
      </c>
      <c r="BQ28" s="423"/>
      <c r="BR28" s="668">
        <v>54858804.769999996</v>
      </c>
      <c r="BS28" s="668">
        <f>ROUND(+$BR28*'[5]II-F Alloc_Factor'!E$40,2)</f>
        <v>25467237.059999999</v>
      </c>
      <c r="BT28" s="668">
        <f>ROUND(+$BR28*'[5]II-F Alloc_Factor'!F$40,2)</f>
        <v>0</v>
      </c>
      <c r="BU28" s="668">
        <f>ROUND(+$BR28*'[5]II-F Alloc_Factor'!G$40,2)</f>
        <v>32490.650000000001</v>
      </c>
      <c r="BV28" s="668">
        <f>ROUND(+$BR28*'[5]II-F Alloc_Factor'!H$40,2)</f>
        <v>25499727.710000001</v>
      </c>
      <c r="BW28" s="668">
        <f>ROUND(+$BR28*'[5]II-F Alloc_Factor'!I$40,2)</f>
        <v>27618823.469999999</v>
      </c>
      <c r="BX28" s="668">
        <f>ROUND(+$BR28*'[5]II-F Alloc_Factor'!J$40,2)</f>
        <v>0</v>
      </c>
      <c r="BY28" s="668">
        <f>ROUND(+$BR28*'[5]II-F Alloc_Factor'!K$40,2)</f>
        <v>27618823.469999999</v>
      </c>
      <c r="BZ28" s="668">
        <f>ROUND(+$BR28*'[5]II-F Alloc_Factor'!L$40,2)</f>
        <v>939281.75</v>
      </c>
      <c r="CA28" s="668">
        <f>ROUND(+$BR28*'[5]II-F Alloc_Factor'!M$40,2)</f>
        <v>800971.83999999997</v>
      </c>
      <c r="CB28" s="423"/>
      <c r="CC28" s="668">
        <v>55732849.099999994</v>
      </c>
      <c r="CD28" s="668">
        <f>ROUND(+$CC28*'[5]II-F Alloc_Factor'!E$40,2)</f>
        <v>25872996.800000001</v>
      </c>
      <c r="CE28" s="668">
        <f>ROUND(+$CC28*'[5]II-F Alloc_Factor'!F$40,2)</f>
        <v>0</v>
      </c>
      <c r="CF28" s="668">
        <f>ROUND(+$CC28*'[5]II-F Alloc_Factor'!G$40,2)</f>
        <v>33008.309999999998</v>
      </c>
      <c r="CG28" s="668">
        <f>ROUND(+$CC28*'[5]II-F Alloc_Factor'!H$40,2)</f>
        <v>25906005.109999999</v>
      </c>
      <c r="CH28" s="668">
        <f>ROUND(+$CC28*'[5]II-F Alloc_Factor'!I$40,2)</f>
        <v>28058863.609999999</v>
      </c>
      <c r="CI28" s="668">
        <f>ROUND(+$CC28*'[5]II-F Alloc_Factor'!J$40,2)</f>
        <v>0</v>
      </c>
      <c r="CJ28" s="668">
        <f>ROUND(+$CC28*'[5]II-F Alloc_Factor'!K$40,2)</f>
        <v>28058863.609999999</v>
      </c>
      <c r="CK28" s="668">
        <f>ROUND(+$CC28*'[5]II-F Alloc_Factor'!L$40,2)</f>
        <v>954246.95999999996</v>
      </c>
      <c r="CL28" s="668">
        <f>ROUND(+$CC28*'[5]II-F Alloc_Factor'!M$40,2)</f>
        <v>813733.42000000004</v>
      </c>
      <c r="CM28" s="423"/>
      <c r="CN28" s="668">
        <v>58981001.409999996</v>
      </c>
      <c r="CO28" s="668">
        <f>ROUND(+$CN28*'[5]II-F Alloc_Factor'!E$40,2)</f>
        <v>27380894.489999998</v>
      </c>
      <c r="CP28" s="668">
        <f>ROUND(+$CN28*'[5]II-F Alloc_Factor'!F$40,2)</f>
        <v>0</v>
      </c>
      <c r="CQ28" s="668">
        <f>ROUND(+$CN28*'[5]II-F Alloc_Factor'!G$40,2)</f>
        <v>34932.059999999998</v>
      </c>
      <c r="CR28" s="668">
        <f>ROUND(+$CN28*'[5]II-F Alloc_Factor'!H$40,2)</f>
        <v>27415826.550000001</v>
      </c>
      <c r="CS28" s="668">
        <f>ROUND(+$CN28*'[5]II-F Alloc_Factor'!I$40,2)</f>
        <v>29694155.260000002</v>
      </c>
      <c r="CT28" s="668">
        <f>ROUND(+$CN28*'[5]II-F Alloc_Factor'!J$40,2)</f>
        <v>0</v>
      </c>
      <c r="CU28" s="668">
        <f>ROUND(+$CN28*'[5]II-F Alloc_Factor'!K$40,2)</f>
        <v>29694155.260000002</v>
      </c>
      <c r="CV28" s="668">
        <f>ROUND(+$CN28*'[5]II-F Alloc_Factor'!L$40,2)</f>
        <v>1009861.1899999999</v>
      </c>
      <c r="CW28" s="668">
        <f>ROUND(+$CN28*'[5]II-F Alloc_Factor'!M$40,2)</f>
        <v>861158.41000000003</v>
      </c>
      <c r="CX28" s="423"/>
      <c r="CY28" s="668">
        <v>59958813</v>
      </c>
      <c r="CZ28" s="668">
        <f>ROUND(+$CY28*'[5]II-F Alloc_Factor'!E$40,2)</f>
        <v>27834826.350000001</v>
      </c>
      <c r="DA28" s="668">
        <f>ROUND(+$CY28*'[5]II-F Alloc_Factor'!F$40,2)</f>
        <v>0</v>
      </c>
      <c r="DB28" s="668">
        <f>ROUND(+$CY28*'[5]II-F Alloc_Factor'!G$40,2)</f>
        <v>35511.18</v>
      </c>
      <c r="DC28" s="668">
        <f>ROUND(+$CY28*'[5]II-F Alloc_Factor'!H$40,2)</f>
        <v>27870337.530000001</v>
      </c>
      <c r="DD28" s="668">
        <f>ROUND(+$CY28*'[5]II-F Alloc_Factor'!I$40,2)</f>
        <v>30186437.32</v>
      </c>
      <c r="DE28" s="668">
        <f>ROUND(+$CY28*'[5]II-F Alloc_Factor'!J$40,2)</f>
        <v>0</v>
      </c>
      <c r="DF28" s="668">
        <f>ROUND(+$CY28*'[5]II-F Alloc_Factor'!K$40,2)</f>
        <v>30186437.32</v>
      </c>
      <c r="DG28" s="668">
        <f>ROUND(+$CY28*'[5]II-F Alloc_Factor'!L$40,2)</f>
        <v>1026603.09</v>
      </c>
      <c r="DH28" s="668">
        <f>ROUND(+$CY28*'[5]II-F Alloc_Factor'!M$40,2)</f>
        <v>875435.05000000005</v>
      </c>
      <c r="DI28" s="423"/>
      <c r="DJ28" s="668">
        <v>60936624.579999998</v>
      </c>
      <c r="DK28" s="668">
        <f>ROUND(+$DJ28*'[5]II-F Alloc_Factor'!E$40,2)</f>
        <v>28288758.210000001</v>
      </c>
      <c r="DL28" s="668">
        <f>ROUND(+$DJ28*'[5]II-F Alloc_Factor'!F$40,2)</f>
        <v>0</v>
      </c>
      <c r="DM28" s="668">
        <f>ROUND(+$DJ28*'[5]II-F Alloc_Factor'!G$40,2)</f>
        <v>36090.300000000003</v>
      </c>
      <c r="DN28" s="668">
        <f>ROUND(+$DJ28*'[5]II-F Alloc_Factor'!H$40,2)</f>
        <v>28324848.510000002</v>
      </c>
      <c r="DO28" s="668">
        <f>ROUND(+$DJ28*'[5]II-F Alloc_Factor'!I$40,2)</f>
        <v>30678719.379999999</v>
      </c>
      <c r="DP28" s="668">
        <f>ROUND(+$DJ28*'[5]II-F Alloc_Factor'!J$40,2)</f>
        <v>0</v>
      </c>
      <c r="DQ28" s="668">
        <f>ROUND(+$DJ28*'[5]II-F Alloc_Factor'!K$40,2)</f>
        <v>30678719.379999999</v>
      </c>
      <c r="DR28" s="668">
        <f>ROUND(+$DJ28*'[5]II-F Alloc_Factor'!L$40,2)</f>
        <v>1043344.99</v>
      </c>
      <c r="DS28" s="668">
        <f>ROUND(+$DJ28*'[5]II-F Alloc_Factor'!M$40,2)</f>
        <v>889711.69999999995</v>
      </c>
      <c r="DT28" s="423"/>
      <c r="DU28" s="668">
        <v>60441679.939999998</v>
      </c>
      <c r="DV28" s="668">
        <f>ROUND(+$DU28*'[5]II-F Alloc_Factor'!E$40,2)</f>
        <v>28058988.850000001</v>
      </c>
      <c r="DW28" s="668">
        <f>ROUND(+$DU28*'[5]II-F Alloc_Factor'!F$40,2)</f>
        <v>0</v>
      </c>
      <c r="DX28" s="668">
        <f>ROUND(+$DU28*'[5]II-F Alloc_Factor'!G$40,2)</f>
        <v>35797.160000000003</v>
      </c>
      <c r="DY28" s="668">
        <f t="shared" si="1"/>
        <v>28094786.010000002</v>
      </c>
      <c r="DZ28" s="668">
        <f>ROUND(+$DU28*'[5]II-F Alloc_Factor'!I$40,2)</f>
        <v>30429538.079999998</v>
      </c>
      <c r="EA28" s="668">
        <f>ROUND(+$DU28*'[5]II-F Alloc_Factor'!J$40,2)</f>
        <v>0</v>
      </c>
      <c r="EB28" s="668">
        <f t="shared" si="2"/>
        <v>30429538.079999998</v>
      </c>
      <c r="EC28" s="668">
        <f>ROUND(+$DU28*'[5]II-F Alloc_Factor'!L$40,2)</f>
        <v>1034870.65</v>
      </c>
      <c r="ED28" s="668">
        <f>ROUND(+$DU28*'[5]II-F Alloc_Factor'!M$40,2)</f>
        <v>882485.19999999995</v>
      </c>
      <c r="EE28" s="754">
        <f>+DU28+'II-E-3.5'!K34</f>
        <v>0</v>
      </c>
      <c r="EF28" s="754">
        <f t="shared" si="3"/>
        <v>0</v>
      </c>
      <c r="EH28" s="754"/>
    </row>
    <row r="29" spans="1:138" s="421" customFormat="1" ht="12.75">
      <c r="A29" s="524">
        <f t="shared" si="6"/>
        <v>17</v>
      </c>
      <c r="B29" s="184" t="s">
        <v>783</v>
      </c>
      <c r="C29" s="420" t="s">
        <v>798</v>
      </c>
      <c r="D29" s="668">
        <v>20287622.810000002</v>
      </c>
      <c r="E29" s="668">
        <f>ROUND(+$D29*'[5]II-F Alloc_Factor'!E$40,2)</f>
        <v>9418172.7400000002</v>
      </c>
      <c r="F29" s="668">
        <f>ROUND(+$D29*'[5]II-F Alloc_Factor'!F$40,2)</f>
        <v>0</v>
      </c>
      <c r="G29" s="668">
        <f>ROUND(+$D29*'[5]II-F Alloc_Factor'!G$40,2)</f>
        <v>12015.540000000001</v>
      </c>
      <c r="H29" s="668">
        <f>ROUND(+$D29*'[5]II-F Alloc_Factor'!H$40,2)</f>
        <v>9430188.2799999993</v>
      </c>
      <c r="I29" s="668">
        <f>ROUND(+$D29*'[5]II-F Alloc_Factor'!I$40,2)</f>
        <v>10213862.210000001</v>
      </c>
      <c r="J29" s="668">
        <f>ROUND(+$D29*'[5]II-F Alloc_Factor'!J$40,2)</f>
        <v>0</v>
      </c>
      <c r="K29" s="668">
        <f>ROUND(+$D29*'[5]II-F Alloc_Factor'!K$40,2)</f>
        <v>10213862.210000001</v>
      </c>
      <c r="L29" s="668">
        <f>ROUND(+$D29*'[5]II-F Alloc_Factor'!L$40,2)</f>
        <v>347360.71999999997</v>
      </c>
      <c r="M29" s="668">
        <f>ROUND(+$D29*'[5]II-F Alloc_Factor'!M$40,2)</f>
        <v>296211.59999999998</v>
      </c>
      <c r="N29" s="669"/>
      <c r="O29" s="105">
        <v>20774175.310000002</v>
      </c>
      <c r="P29" s="668">
        <f>ROUND(+$O29*'[5]II-F Alloc_Factor'!E$40,2)</f>
        <v>9644046.1999999993</v>
      </c>
      <c r="Q29" s="668">
        <f>ROUND(+$O29*'[5]II-F Alloc_Factor'!F$40,2)</f>
        <v>0</v>
      </c>
      <c r="R29" s="668">
        <f>ROUND(+$O29*'[5]II-F Alloc_Factor'!G$40,2)</f>
        <v>12303.700000000001</v>
      </c>
      <c r="S29" s="668">
        <f>ROUND(+$O29*'[5]II-F Alloc_Factor'!H$40,2)</f>
        <v>9656349.9000000004</v>
      </c>
      <c r="T29" s="668">
        <f>ROUND(+$O29*'[5]II-F Alloc_Factor'!I$40,2)</f>
        <v>10458818.470000001</v>
      </c>
      <c r="U29" s="668">
        <f>ROUND(+$O29*'[5]II-F Alloc_Factor'!J$40,2)</f>
        <v>0</v>
      </c>
      <c r="V29" s="668">
        <f>ROUND(+$O29*'[5]II-F Alloc_Factor'!K$40,2)</f>
        <v>10458818.470000001</v>
      </c>
      <c r="W29" s="668">
        <f>ROUND(+$O29*'[5]II-F Alloc_Factor'!L$40,2)</f>
        <v>355691.37</v>
      </c>
      <c r="X29" s="668">
        <f>ROUND(+$O29*'[5]II-F Alloc_Factor'!M$40,2)</f>
        <v>303315.57000000001</v>
      </c>
      <c r="Y29" s="423"/>
      <c r="Z29" s="668">
        <v>21173157.810000002</v>
      </c>
      <c r="AA29" s="668">
        <f>ROUND(+$Z29*'[5]II-F Alloc_Factor'!E$40,2)</f>
        <v>9829266.8200000003</v>
      </c>
      <c r="AB29" s="668">
        <f>ROUND(+$Z29*'[5]II-F Alloc_Factor'!F$40,2)</f>
        <v>0</v>
      </c>
      <c r="AC29" s="668">
        <f>ROUND(+$Z29*'[5]II-F Alloc_Factor'!G$40,2)</f>
        <v>12540</v>
      </c>
      <c r="AD29" s="668">
        <f>ROUND(+$Z29*'[5]II-F Alloc_Factor'!H$40,2)</f>
        <v>9841806.8200000003</v>
      </c>
      <c r="AE29" s="668">
        <f>ROUND(+$Z29*'[5]II-F Alloc_Factor'!I$40,2)</f>
        <v>10659687.359999999</v>
      </c>
      <c r="AF29" s="668">
        <f>ROUND(+$Z29*'[5]II-F Alloc_Factor'!J$40,2)</f>
        <v>0</v>
      </c>
      <c r="AG29" s="668">
        <f>ROUND(+$Z29*'[5]II-F Alloc_Factor'!K$40,2)</f>
        <v>10659687.359999999</v>
      </c>
      <c r="AH29" s="668">
        <f>ROUND(+$Z29*'[5]II-F Alloc_Factor'!L$40,2)</f>
        <v>362522.66999999998</v>
      </c>
      <c r="AI29" s="668">
        <f>ROUND(+$Z29*'[5]II-F Alloc_Factor'!M$40,2)</f>
        <v>309140.95000000001</v>
      </c>
      <c r="AJ29" s="423"/>
      <c r="AK29" s="668">
        <v>21630520.310000002</v>
      </c>
      <c r="AL29" s="668">
        <f>ROUND(+$AK29*'[5]II-F Alloc_Factor'!E$40,2)</f>
        <v>10041589.33</v>
      </c>
      <c r="AM29" s="668">
        <f>ROUND(+$AK29*'[5]II-F Alloc_Factor'!F$40,2)</f>
        <v>0</v>
      </c>
      <c r="AN29" s="668">
        <f>ROUND(+$AK29*'[5]II-F Alloc_Factor'!G$40,2)</f>
        <v>12810.879999999999</v>
      </c>
      <c r="AO29" s="668">
        <f>ROUND(+$AK29*'[5]II-F Alloc_Factor'!H$40,2)</f>
        <v>10054400.210000001</v>
      </c>
      <c r="AP29" s="668">
        <f>ROUND(+$AK29*'[5]II-F Alloc_Factor'!I$40,2)</f>
        <v>10889947.83</v>
      </c>
      <c r="AQ29" s="668">
        <f>ROUND(+$AK29*'[5]II-F Alloc_Factor'!J$40,2)</f>
        <v>0</v>
      </c>
      <c r="AR29" s="668">
        <f>ROUND(+$AK29*'[5]II-F Alloc_Factor'!K$40,2)</f>
        <v>10889947.83</v>
      </c>
      <c r="AS29" s="668">
        <f>ROUND(+$AK29*'[5]II-F Alloc_Factor'!L$40,2)</f>
        <v>370353.54999999999</v>
      </c>
      <c r="AT29" s="668">
        <f>ROUND(+$AK29*'[5]II-F Alloc_Factor'!M$40,2)</f>
        <v>315818.71999999997</v>
      </c>
      <c r="AU29" s="423"/>
      <c r="AV29" s="668">
        <v>22087882.820000004</v>
      </c>
      <c r="AW29" s="668">
        <f>ROUND(+$AV29*'[5]II-F Alloc_Factor'!E$40,2)</f>
        <v>10253911.84</v>
      </c>
      <c r="AX29" s="668">
        <f>ROUND(+$AV29*'[5]II-F Alloc_Factor'!F$40,2)</f>
        <v>0</v>
      </c>
      <c r="AY29" s="668">
        <f>ROUND(+$AV29*'[5]II-F Alloc_Factor'!G$40,2)</f>
        <v>13081.76</v>
      </c>
      <c r="AZ29" s="668">
        <f>ROUND(+$AV29*'[5]II-F Alloc_Factor'!H$40,2)</f>
        <v>10266993.6</v>
      </c>
      <c r="BA29" s="668">
        <f>ROUND(+$AV29*'[5]II-F Alloc_Factor'!I$40,2)</f>
        <v>11120208.310000001</v>
      </c>
      <c r="BB29" s="668">
        <f>ROUND(+$AV29*'[5]II-F Alloc_Factor'!J$40,2)</f>
        <v>0</v>
      </c>
      <c r="BC29" s="668">
        <f>ROUND(+$AV29*'[5]II-F Alloc_Factor'!K$40,2)</f>
        <v>11120208.310000001</v>
      </c>
      <c r="BD29" s="668">
        <f>ROUND(+$AV29*'[5]II-F Alloc_Factor'!L$40,2)</f>
        <v>378184.41999999998</v>
      </c>
      <c r="BE29" s="668">
        <f>ROUND(+$AV29*'[5]II-F Alloc_Factor'!M$40,2)</f>
        <v>322496.48999999999</v>
      </c>
      <c r="BF29" s="423"/>
      <c r="BG29" s="668">
        <v>22052375.310000002</v>
      </c>
      <c r="BH29" s="668">
        <f>ROUND(+$BG29*'[5]II-F Alloc_Factor'!E$40,2)</f>
        <v>10237428.109999999</v>
      </c>
      <c r="BI29" s="668">
        <f>ROUND(+$BG29*'[5]II-F Alloc_Factor'!F$40,2)</f>
        <v>0</v>
      </c>
      <c r="BJ29" s="668">
        <f>ROUND(+$BG29*'[5]II-F Alloc_Factor'!G$40,2)</f>
        <v>13060.73</v>
      </c>
      <c r="BK29" s="668">
        <f>ROUND(+$BG29*'[5]II-F Alloc_Factor'!H$40,2)</f>
        <v>10250488.84</v>
      </c>
      <c r="BL29" s="668">
        <f>ROUND(+$BG29*'[5]II-F Alloc_Factor'!I$40,2)</f>
        <v>11102331.949999999</v>
      </c>
      <c r="BM29" s="668">
        <f>ROUND(+$BG29*'[5]II-F Alloc_Factor'!J$40,2)</f>
        <v>0</v>
      </c>
      <c r="BN29" s="668">
        <f>ROUND(+$BG29*'[5]II-F Alloc_Factor'!K$40,2)</f>
        <v>11102331.949999999</v>
      </c>
      <c r="BO29" s="668">
        <f>ROUND(+$BG29*'[5]II-F Alloc_Factor'!L$40,2)</f>
        <v>377576.46999999997</v>
      </c>
      <c r="BP29" s="668">
        <f>ROUND(+$BG29*'[5]II-F Alloc_Factor'!M$40,2)</f>
        <v>321978.06</v>
      </c>
      <c r="BQ29" s="423"/>
      <c r="BR29" s="668">
        <v>22427592.810000002</v>
      </c>
      <c r="BS29" s="668">
        <f>ROUND(+$BR29*'[5]II-F Alloc_Factor'!E$40,2)</f>
        <v>10411616.24</v>
      </c>
      <c r="BT29" s="668">
        <f>ROUND(+$BR29*'[5]II-F Alloc_Factor'!F$40,2)</f>
        <v>0</v>
      </c>
      <c r="BU29" s="668">
        <f>ROUND(+$BR29*'[5]II-F Alloc_Factor'!G$40,2)</f>
        <v>13282.959999999999</v>
      </c>
      <c r="BV29" s="668">
        <f>ROUND(+$BR29*'[5]II-F Alloc_Factor'!H$40,2)</f>
        <v>10424899.199999999</v>
      </c>
      <c r="BW29" s="668">
        <f>ROUND(+$BR29*'[5]II-F Alloc_Factor'!I$40,2)</f>
        <v>11291236.279999999</v>
      </c>
      <c r="BX29" s="668">
        <f>ROUND(+$BR29*'[5]II-F Alloc_Factor'!J$40,2)</f>
        <v>0</v>
      </c>
      <c r="BY29" s="668">
        <f>ROUND(+$BR29*'[5]II-F Alloc_Factor'!K$40,2)</f>
        <v>11291236.279999999</v>
      </c>
      <c r="BZ29" s="668">
        <f>ROUND(+$BR29*'[5]II-F Alloc_Factor'!L$40,2)</f>
        <v>384000.87</v>
      </c>
      <c r="CA29" s="668">
        <f>ROUND(+$BR29*'[5]II-F Alloc_Factor'!M$40,2)</f>
        <v>327456.46000000002</v>
      </c>
      <c r="CB29" s="423"/>
      <c r="CC29" s="668">
        <v>22802810.310000002</v>
      </c>
      <c r="CD29" s="668">
        <f>ROUND(+$CC29*'[5]II-F Alloc_Factor'!E$40,2)</f>
        <v>10585804.380000001</v>
      </c>
      <c r="CE29" s="668">
        <f>ROUND(+$CC29*'[5]II-F Alloc_Factor'!F$40,2)</f>
        <v>0</v>
      </c>
      <c r="CF29" s="668">
        <f>ROUND(+$CC29*'[5]II-F Alloc_Factor'!G$40,2)</f>
        <v>13505.18</v>
      </c>
      <c r="CG29" s="668">
        <f>ROUND(+$CC29*'[5]II-F Alloc_Factor'!H$40,2)</f>
        <v>10599309.560000001</v>
      </c>
      <c r="CH29" s="668">
        <f>ROUND(+$CC29*'[5]II-F Alloc_Factor'!I$40,2)</f>
        <v>11480140.609999999</v>
      </c>
      <c r="CI29" s="668">
        <f>ROUND(+$CC29*'[5]II-F Alloc_Factor'!J$40,2)</f>
        <v>0</v>
      </c>
      <c r="CJ29" s="668">
        <f>ROUND(+$CC29*'[5]II-F Alloc_Factor'!K$40,2)</f>
        <v>11480140.609999999</v>
      </c>
      <c r="CK29" s="668">
        <f>ROUND(+$CC29*'[5]II-F Alloc_Factor'!L$40,2)</f>
        <v>390425.27000000002</v>
      </c>
      <c r="CL29" s="668">
        <f>ROUND(+$CC29*'[5]II-F Alloc_Factor'!M$40,2)</f>
        <v>332934.87</v>
      </c>
      <c r="CM29" s="423"/>
      <c r="CN29" s="668">
        <v>20791482.810000002</v>
      </c>
      <c r="CO29" s="668">
        <f>ROUND(+$CN29*'[5]II-F Alloc_Factor'!E$40,2)</f>
        <v>9652080.9000000004</v>
      </c>
      <c r="CP29" s="668">
        <f>ROUND(+$CN29*'[5]II-F Alloc_Factor'!F$40,2)</f>
        <v>0</v>
      </c>
      <c r="CQ29" s="668">
        <f>ROUND(+$CN29*'[5]II-F Alloc_Factor'!G$40,2)</f>
        <v>12313.950000000001</v>
      </c>
      <c r="CR29" s="668">
        <f>ROUND(+$CN29*'[5]II-F Alloc_Factor'!H$40,2)</f>
        <v>9664394.8499999996</v>
      </c>
      <c r="CS29" s="668">
        <f>ROUND(+$CN29*'[5]II-F Alloc_Factor'!I$40,2)</f>
        <v>10467531.98</v>
      </c>
      <c r="CT29" s="668">
        <f>ROUND(+$CN29*'[5]II-F Alloc_Factor'!J$40,2)</f>
        <v>0</v>
      </c>
      <c r="CU29" s="668">
        <f>ROUND(+$CN29*'[5]II-F Alloc_Factor'!K$40,2)</f>
        <v>10467531.98</v>
      </c>
      <c r="CV29" s="668">
        <f>ROUND(+$CN29*'[5]II-F Alloc_Factor'!L$40,2)</f>
        <v>355987.71000000002</v>
      </c>
      <c r="CW29" s="668">
        <f>ROUND(+$CN29*'[5]II-F Alloc_Factor'!M$40,2)</f>
        <v>303568.27000000002</v>
      </c>
      <c r="CX29" s="423"/>
      <c r="CY29" s="668">
        <v>21135025.310000002</v>
      </c>
      <c r="CZ29" s="668">
        <f>ROUND(+$CY29*'[5]II-F Alloc_Factor'!E$40,2)</f>
        <v>9811564.4700000007</v>
      </c>
      <c r="DA29" s="668">
        <f>ROUND(+$CY29*'[5]II-F Alloc_Factor'!F$40,2)</f>
        <v>0</v>
      </c>
      <c r="DB29" s="668">
        <f>ROUND(+$CY29*'[5]II-F Alloc_Factor'!G$40,2)</f>
        <v>12517.42</v>
      </c>
      <c r="DC29" s="668">
        <f>ROUND(+$CY29*'[5]II-F Alloc_Factor'!H$40,2)</f>
        <v>9824081.8900000006</v>
      </c>
      <c r="DD29" s="668">
        <f>ROUND(+$CY29*'[5]II-F Alloc_Factor'!I$40,2)</f>
        <v>10640489.44</v>
      </c>
      <c r="DE29" s="668">
        <f>ROUND(+$CY29*'[5]II-F Alloc_Factor'!J$40,2)</f>
        <v>0</v>
      </c>
      <c r="DF29" s="668">
        <f>ROUND(+$CY29*'[5]II-F Alloc_Factor'!K$40,2)</f>
        <v>10640489.44</v>
      </c>
      <c r="DG29" s="668">
        <f>ROUND(+$CY29*'[5]II-F Alloc_Factor'!L$40,2)</f>
        <v>361869.78000000003</v>
      </c>
      <c r="DH29" s="668">
        <f>ROUND(+$CY29*'[5]II-F Alloc_Factor'!M$40,2)</f>
        <v>308584.19</v>
      </c>
      <c r="DI29" s="423"/>
      <c r="DJ29" s="668">
        <v>21478567.810000002</v>
      </c>
      <c r="DK29" s="668">
        <f>ROUND(+$DJ29*'[5]II-F Alloc_Factor'!E$40,2)</f>
        <v>9971048.0500000007</v>
      </c>
      <c r="DL29" s="668">
        <f>ROUND(+$DJ29*'[5]II-F Alloc_Factor'!F$40,2)</f>
        <v>0</v>
      </c>
      <c r="DM29" s="668">
        <f>ROUND(+$DJ29*'[5]II-F Alloc_Factor'!G$40,2)</f>
        <v>12720.889999999999</v>
      </c>
      <c r="DN29" s="668">
        <f>ROUND(+$DJ29*'[5]II-F Alloc_Factor'!H$40,2)</f>
        <v>9983768.9299999997</v>
      </c>
      <c r="DO29" s="668">
        <f>ROUND(+$DJ29*'[5]II-F Alloc_Factor'!I$40,2)</f>
        <v>10813446.91</v>
      </c>
      <c r="DP29" s="668">
        <f>ROUND(+$DJ29*'[5]II-F Alloc_Factor'!J$40,2)</f>
        <v>0</v>
      </c>
      <c r="DQ29" s="668">
        <f>ROUND(+$DJ29*'[5]II-F Alloc_Factor'!K$40,2)</f>
        <v>10813446.91</v>
      </c>
      <c r="DR29" s="668">
        <f>ROUND(+$DJ29*'[5]II-F Alloc_Factor'!L$40,2)</f>
        <v>367751.84999999998</v>
      </c>
      <c r="DS29" s="668">
        <f>ROUND(+$DJ29*'[5]II-F Alloc_Factor'!M$40,2)</f>
        <v>313600.12</v>
      </c>
      <c r="DT29" s="423"/>
      <c r="DU29" s="668">
        <v>21461330.300000001</v>
      </c>
      <c r="DV29" s="668">
        <f>ROUND(+$DU29*'[5]II-F Alloc_Factor'!E$40,2)</f>
        <v>9963045.8399999999</v>
      </c>
      <c r="DW29" s="668">
        <f>ROUND(+$DU29*'[5]II-F Alloc_Factor'!F$40,2)</f>
        <v>0</v>
      </c>
      <c r="DX29" s="668">
        <f>ROUND(+$DU29*'[5]II-F Alloc_Factor'!G$40,2)</f>
        <v>12710.68</v>
      </c>
      <c r="DY29" s="668">
        <f t="shared" si="1"/>
        <v>9975756.5199999996</v>
      </c>
      <c r="DZ29" s="668">
        <f>ROUND(+$DU29*'[5]II-F Alloc_Factor'!I$40,2)</f>
        <v>10804768.630000001</v>
      </c>
      <c r="EA29" s="668">
        <f>ROUND(+$DU29*'[5]II-F Alloc_Factor'!J$40,2)</f>
        <v>0</v>
      </c>
      <c r="EB29" s="668">
        <f t="shared" si="2"/>
        <v>10804768.630000001</v>
      </c>
      <c r="EC29" s="668">
        <f>ROUND(+$DU29*'[5]II-F Alloc_Factor'!L$40,2)</f>
        <v>367456.71000000002</v>
      </c>
      <c r="ED29" s="668">
        <f>ROUND(+$DU29*'[5]II-F Alloc_Factor'!M$40,2)</f>
        <v>313348.45000000001</v>
      </c>
      <c r="EE29" s="754">
        <f>+DU29+'II-E-3.5'!K35</f>
        <v>0</v>
      </c>
      <c r="EF29" s="754">
        <f t="shared" si="3"/>
        <v>0.0099999979138374329</v>
      </c>
      <c r="EH29" s="754"/>
    </row>
    <row r="30" spans="1:138" s="421" customFormat="1" ht="12.75">
      <c r="A30" s="524">
        <f t="shared" si="6"/>
        <v>18</v>
      </c>
      <c r="B30" s="184" t="s">
        <v>28</v>
      </c>
      <c r="C30" s="420" t="s">
        <v>798</v>
      </c>
      <c r="D30" s="668">
        <v>-12995171.57</v>
      </c>
      <c r="E30" s="668">
        <f>ROUND(+$D30*'[5]II-F Alloc_Factor'!E$40,2)</f>
        <v>-6032780.2699999996</v>
      </c>
      <c r="F30" s="668">
        <f>ROUND(+$D30*'[5]II-F Alloc_Factor'!F$40,2)</f>
        <v>0</v>
      </c>
      <c r="G30" s="668">
        <f>ROUND(+$D30*'[5]II-F Alloc_Factor'!G$40,2)</f>
        <v>-7696.5100000000002</v>
      </c>
      <c r="H30" s="668">
        <f>ROUND(+$D30*'[5]II-F Alloc_Factor'!H$40,2)</f>
        <v>-6040476.7800000003</v>
      </c>
      <c r="I30" s="668">
        <f>ROUND(+$D30*'[5]II-F Alloc_Factor'!I$40,2)</f>
        <v>-6542456.5999999996</v>
      </c>
      <c r="J30" s="668">
        <f>ROUND(+$D30*'[5]II-F Alloc_Factor'!J$40,2)</f>
        <v>0</v>
      </c>
      <c r="K30" s="668">
        <f>ROUND(+$D30*'[5]II-F Alloc_Factor'!K$40,2)</f>
        <v>-6542456.5999999996</v>
      </c>
      <c r="L30" s="668">
        <f>ROUND(+$D30*'[5]II-F Alloc_Factor'!L$40,2)</f>
        <v>-222500.79000000001</v>
      </c>
      <c r="M30" s="668">
        <f>ROUND(+$D30*'[5]II-F Alloc_Factor'!M$40,2)</f>
        <v>-189737.39000000001</v>
      </c>
      <c r="N30" s="669"/>
      <c r="O30" s="105">
        <v>-13222165.460000001</v>
      </c>
      <c r="P30" s="668">
        <f>ROUND(+$O30*'[5]II-F Alloc_Factor'!E$40,2)</f>
        <v>-6138158.2000000002</v>
      </c>
      <c r="Q30" s="668">
        <f>ROUND(+$O30*'[5]II-F Alloc_Factor'!F$40,2)</f>
        <v>0</v>
      </c>
      <c r="R30" s="668">
        <f>ROUND(+$O30*'[5]II-F Alloc_Factor'!G$40,2)</f>
        <v>-7830.9499999999998</v>
      </c>
      <c r="S30" s="668">
        <f>ROUND(+$O30*'[5]II-F Alloc_Factor'!H$40,2)</f>
        <v>-6145989.1500000004</v>
      </c>
      <c r="T30" s="668">
        <f>ROUND(+$O30*'[5]II-F Alloc_Factor'!I$40,2)</f>
        <v>-6656737.3300000001</v>
      </c>
      <c r="U30" s="668">
        <f>ROUND(+$O30*'[5]II-F Alloc_Factor'!J$40,2)</f>
        <v>0</v>
      </c>
      <c r="V30" s="668">
        <f>ROUND(+$O30*'[5]II-F Alloc_Factor'!K$40,2)</f>
        <v>-6656737.3300000001</v>
      </c>
      <c r="W30" s="668">
        <f>ROUND(+$O30*'[5]II-F Alloc_Factor'!L$40,2)</f>
        <v>-226387.34</v>
      </c>
      <c r="X30" s="668">
        <f>ROUND(+$O30*'[5]II-F Alloc_Factor'!M$40,2)</f>
        <v>-193051.64000000001</v>
      </c>
      <c r="Y30" s="423"/>
      <c r="Z30" s="668">
        <v>-13457604.620000001</v>
      </c>
      <c r="AA30" s="668">
        <f>ROUND(+$Z30*'[5]II-F Alloc_Factor'!E$40,2)</f>
        <v>-6247456.7000000002</v>
      </c>
      <c r="AB30" s="668">
        <f>ROUND(+$Z30*'[5]II-F Alloc_Factor'!F$40,2)</f>
        <v>0</v>
      </c>
      <c r="AC30" s="668">
        <f>ROUND(+$Z30*'[5]II-F Alloc_Factor'!G$40,2)</f>
        <v>-7970.3900000000003</v>
      </c>
      <c r="AD30" s="668">
        <f>ROUND(+$Z30*'[5]II-F Alloc_Factor'!H$40,2)</f>
        <v>-6255427.0899999999</v>
      </c>
      <c r="AE30" s="668">
        <f>ROUND(+$Z30*'[5]II-F Alloc_Factor'!I$40,2)</f>
        <v>-6775269.8600000003</v>
      </c>
      <c r="AF30" s="668">
        <f>ROUND(+$Z30*'[5]II-F Alloc_Factor'!J$40,2)</f>
        <v>0</v>
      </c>
      <c r="AG30" s="668">
        <f>ROUND(+$Z30*'[5]II-F Alloc_Factor'!K$40,2)</f>
        <v>-6775269.8600000003</v>
      </c>
      <c r="AH30" s="668">
        <f>ROUND(+$Z30*'[5]II-F Alloc_Factor'!L$40,2)</f>
        <v>-230418.48000000001</v>
      </c>
      <c r="AI30" s="668">
        <f>ROUND(+$Z30*'[5]II-F Alloc_Factor'!M$40,2)</f>
        <v>-196489.19</v>
      </c>
      <c r="AJ30" s="423"/>
      <c r="AK30" s="668">
        <v>-13710694.4</v>
      </c>
      <c r="AL30" s="668">
        <f>ROUND(+$AK30*'[5]II-F Alloc_Factor'!E$40,2)</f>
        <v>-6364949.1799999997</v>
      </c>
      <c r="AM30" s="668">
        <f>ROUND(+$AK30*'[5]II-F Alloc_Factor'!F$40,2)</f>
        <v>0</v>
      </c>
      <c r="AN30" s="668">
        <f>ROUND(+$AK30*'[5]II-F Alloc_Factor'!G$40,2)</f>
        <v>-8120.29</v>
      </c>
      <c r="AO30" s="668">
        <f>ROUND(+$AK30*'[5]II-F Alloc_Factor'!H$40,2)</f>
        <v>-6373069.4699999997</v>
      </c>
      <c r="AP30" s="668">
        <f>ROUND(+$AK30*'[5]II-F Alloc_Factor'!I$40,2)</f>
        <v>-6902688.6399999997</v>
      </c>
      <c r="AQ30" s="668">
        <f>ROUND(+$AK30*'[5]II-F Alloc_Factor'!J$40,2)</f>
        <v>0</v>
      </c>
      <c r="AR30" s="668">
        <f>ROUND(+$AK30*'[5]II-F Alloc_Factor'!K$40,2)</f>
        <v>-6902688.6399999997</v>
      </c>
      <c r="AS30" s="668">
        <f>ROUND(+$AK30*'[5]II-F Alloc_Factor'!L$40,2)</f>
        <v>-234751.82999999999</v>
      </c>
      <c r="AT30" s="668">
        <f>ROUND(+$AK30*'[5]II-F Alloc_Factor'!M$40,2)</f>
        <v>-200184.45999999999</v>
      </c>
      <c r="AU30" s="423"/>
      <c r="AV30" s="668">
        <v>-13993433.44</v>
      </c>
      <c r="AW30" s="668">
        <f>ROUND(+$AV30*'[5]II-F Alloc_Factor'!E$40,2)</f>
        <v>-6496205.8200000003</v>
      </c>
      <c r="AX30" s="668">
        <f>ROUND(+$AV30*'[5]II-F Alloc_Factor'!F$40,2)</f>
        <v>0</v>
      </c>
      <c r="AY30" s="668">
        <f>ROUND(+$AV30*'[5]II-F Alloc_Factor'!G$40,2)</f>
        <v>-8287.7399999999998</v>
      </c>
      <c r="AZ30" s="668">
        <f>ROUND(+$AV30*'[5]II-F Alloc_Factor'!H$40,2)</f>
        <v>-6504493.5599999996</v>
      </c>
      <c r="BA30" s="668">
        <f>ROUND(+$AV30*'[5]II-F Alloc_Factor'!I$40,2)</f>
        <v>-7045034.4199999999</v>
      </c>
      <c r="BB30" s="668">
        <f>ROUND(+$AV30*'[5]II-F Alloc_Factor'!J$40,2)</f>
        <v>0</v>
      </c>
      <c r="BC30" s="668">
        <f>ROUND(+$AV30*'[5]II-F Alloc_Factor'!K$40,2)</f>
        <v>-7045034.4199999999</v>
      </c>
      <c r="BD30" s="668">
        <f>ROUND(+$AV30*'[5]II-F Alloc_Factor'!L$40,2)</f>
        <v>-239592.84</v>
      </c>
      <c r="BE30" s="668">
        <f>ROUND(+$AV30*'[5]II-F Alloc_Factor'!M$40,2)</f>
        <v>-204312.62</v>
      </c>
      <c r="BF30" s="423"/>
      <c r="BG30" s="668">
        <v>-14246898.74</v>
      </c>
      <c r="BH30" s="668">
        <f>ROUND(+$BG30*'[5]II-F Alloc_Factor'!E$40,2)</f>
        <v>-6613872.6299999999</v>
      </c>
      <c r="BI30" s="668">
        <f>ROUND(+$BG30*'[5]II-F Alloc_Factor'!F$40,2)</f>
        <v>0</v>
      </c>
      <c r="BJ30" s="668">
        <f>ROUND(+$BG30*'[5]II-F Alloc_Factor'!G$40,2)</f>
        <v>-8437.8600000000006</v>
      </c>
      <c r="BK30" s="668">
        <f>ROUND(+$BG30*'[5]II-F Alloc_Factor'!H$40,2)</f>
        <v>-6622310.5</v>
      </c>
      <c r="BL30" s="668">
        <f>ROUND(+$BG30*'[5]II-F Alloc_Factor'!I$40,2)</f>
        <v>-7172642.2599999998</v>
      </c>
      <c r="BM30" s="668">
        <f>ROUND(+$BG30*'[5]II-F Alloc_Factor'!J$40,2)</f>
        <v>0</v>
      </c>
      <c r="BN30" s="668">
        <f>ROUND(+$BG30*'[5]II-F Alloc_Factor'!K$40,2)</f>
        <v>-7172642.2599999998</v>
      </c>
      <c r="BO30" s="668">
        <f>ROUND(+$BG30*'[5]II-F Alloc_Factor'!L$40,2)</f>
        <v>-243932.62</v>
      </c>
      <c r="BP30" s="668">
        <f>ROUND(+$BG30*'[5]II-F Alloc_Factor'!M$40,2)</f>
        <v>-208013.37</v>
      </c>
      <c r="BQ30" s="423"/>
      <c r="BR30" s="668">
        <v>-14432333.779999999</v>
      </c>
      <c r="BS30" s="668">
        <f>ROUND(+$BR30*'[5]II-F Alloc_Factor'!E$40,2)</f>
        <v>-6699957.5999999996</v>
      </c>
      <c r="BT30" s="668">
        <f>ROUND(+$BR30*'[5]II-F Alloc_Factor'!F$40,2)</f>
        <v>0</v>
      </c>
      <c r="BU30" s="668">
        <f>ROUND(+$BR30*'[5]II-F Alloc_Factor'!G$40,2)</f>
        <v>-8547.6900000000005</v>
      </c>
      <c r="BV30" s="668">
        <f>ROUND(+$BR30*'[5]II-F Alloc_Factor'!H$40,2)</f>
        <v>-6708505.2800000003</v>
      </c>
      <c r="BW30" s="668">
        <f>ROUND(+$BR30*'[5]II-F Alloc_Factor'!I$40,2)</f>
        <v>-7266000.0599999996</v>
      </c>
      <c r="BX30" s="668">
        <f>ROUND(+$BR30*'[5]II-F Alloc_Factor'!J$40,2)</f>
        <v>0</v>
      </c>
      <c r="BY30" s="668">
        <f>ROUND(+$BR30*'[5]II-F Alloc_Factor'!K$40,2)</f>
        <v>-7266000.0599999996</v>
      </c>
      <c r="BZ30" s="668">
        <f>ROUND(+$BR30*'[5]II-F Alloc_Factor'!L$40,2)</f>
        <v>-247107.60000000001</v>
      </c>
      <c r="CA30" s="668">
        <f>ROUND(+$BR30*'[5]II-F Alloc_Factor'!M$40,2)</f>
        <v>-210720.82999999999</v>
      </c>
      <c r="CB30" s="423"/>
      <c r="CC30" s="668">
        <v>-14639341.969999999</v>
      </c>
      <c r="CD30" s="668">
        <f>ROUND(+$CC30*'[5]II-F Alloc_Factor'!E$40,2)</f>
        <v>-6796057.5099999998</v>
      </c>
      <c r="CE30" s="668">
        <f>ROUND(+$CC30*'[5]II-F Alloc_Factor'!F$40,2)</f>
        <v>0</v>
      </c>
      <c r="CF30" s="668">
        <f>ROUND(+$CC30*'[5]II-F Alloc_Factor'!G$40,2)</f>
        <v>-8670.2900000000009</v>
      </c>
      <c r="CG30" s="668">
        <f>ROUND(+$CC30*'[5]II-F Alloc_Factor'!H$40,2)</f>
        <v>-6804727.7999999998</v>
      </c>
      <c r="CH30" s="668">
        <f>ROUND(+$CC30*'[5]II-F Alloc_Factor'!I$40,2)</f>
        <v>-7370218.9299999997</v>
      </c>
      <c r="CI30" s="668">
        <f>ROUND(+$CC30*'[5]II-F Alloc_Factor'!J$40,2)</f>
        <v>0</v>
      </c>
      <c r="CJ30" s="668">
        <f>ROUND(+$CC30*'[5]II-F Alloc_Factor'!K$40,2)</f>
        <v>-7370218.9299999997</v>
      </c>
      <c r="CK30" s="668">
        <f>ROUND(+$CC30*'[5]II-F Alloc_Factor'!L$40,2)</f>
        <v>-250651.95999999999</v>
      </c>
      <c r="CL30" s="668">
        <f>ROUND(+$CC30*'[5]II-F Alloc_Factor'!M$40,2)</f>
        <v>-213743.28</v>
      </c>
      <c r="CM30" s="423"/>
      <c r="CN30" s="668">
        <v>-14887455.27</v>
      </c>
      <c r="CO30" s="668">
        <f>ROUND(+$CN30*'[5]II-F Alloc_Factor'!E$40,2)</f>
        <v>-6911239.7599999998</v>
      </c>
      <c r="CP30" s="668">
        <f>ROUND(+$CN30*'[5]II-F Alloc_Factor'!F$40,2)</f>
        <v>0</v>
      </c>
      <c r="CQ30" s="668">
        <f>ROUND(+$CN30*'[5]II-F Alloc_Factor'!G$40,2)</f>
        <v>-8817.2399999999998</v>
      </c>
      <c r="CR30" s="668">
        <f>ROUND(+$CN30*'[5]II-F Alloc_Factor'!H$40,2)</f>
        <v>-6920057</v>
      </c>
      <c r="CS30" s="668">
        <f>ROUND(+$CN30*'[5]II-F Alloc_Factor'!I$40,2)</f>
        <v>-7495132.29</v>
      </c>
      <c r="CT30" s="668">
        <f>ROUND(+$CN30*'[5]II-F Alloc_Factor'!J$40,2)</f>
        <v>0</v>
      </c>
      <c r="CU30" s="668">
        <f>ROUND(+$CN30*'[5]II-F Alloc_Factor'!K$40,2)</f>
        <v>-7495132.29</v>
      </c>
      <c r="CV30" s="668">
        <f>ROUND(+$CN30*'[5]II-F Alloc_Factor'!L$40,2)</f>
        <v>-254900.10000000001</v>
      </c>
      <c r="CW30" s="668">
        <f>ROUND(+$CN30*'[5]II-F Alloc_Factor'!M$40,2)</f>
        <v>-217365.88000000001</v>
      </c>
      <c r="CX30" s="423"/>
      <c r="CY30" s="668">
        <v>-15171182.07</v>
      </c>
      <c r="CZ30" s="668">
        <f>ROUND(+$CY30*'[5]II-F Alloc_Factor'!E$40,2)</f>
        <v>-7042954.9400000004</v>
      </c>
      <c r="DA30" s="668">
        <f>ROUND(+$CY30*'[5]II-F Alloc_Factor'!F$40,2)</f>
        <v>0</v>
      </c>
      <c r="DB30" s="668">
        <f>ROUND(+$CY30*'[5]II-F Alloc_Factor'!G$40,2)</f>
        <v>-8985.2800000000007</v>
      </c>
      <c r="DC30" s="668">
        <f>ROUND(+$CY30*'[5]II-F Alloc_Factor'!H$40,2)</f>
        <v>-7051940.2199999997</v>
      </c>
      <c r="DD30" s="668">
        <f>ROUND(+$CY30*'[5]II-F Alloc_Factor'!I$40,2)</f>
        <v>-7637975.3700000001</v>
      </c>
      <c r="DE30" s="668">
        <f>ROUND(+$CY30*'[5]II-F Alloc_Factor'!J$40,2)</f>
        <v>0</v>
      </c>
      <c r="DF30" s="668">
        <f>ROUND(+$CY30*'[5]II-F Alloc_Factor'!K$40,2)</f>
        <v>-7637975.3700000001</v>
      </c>
      <c r="DG30" s="668">
        <f>ROUND(+$CY30*'[5]II-F Alloc_Factor'!L$40,2)</f>
        <v>-259758.01999999999</v>
      </c>
      <c r="DH30" s="668">
        <f>ROUND(+$CY30*'[5]II-F Alloc_Factor'!M$40,2)</f>
        <v>-221508.45999999999</v>
      </c>
      <c r="DI30" s="423"/>
      <c r="DJ30" s="668">
        <v>-15485320.76</v>
      </c>
      <c r="DK30" s="668">
        <f>ROUND(+$DJ30*'[5]II-F Alloc_Factor'!E$40,2)</f>
        <v>-7188788.3200000003</v>
      </c>
      <c r="DL30" s="668">
        <f>ROUND(+$DJ30*'[5]II-F Alloc_Factor'!F$40,2)</f>
        <v>0</v>
      </c>
      <c r="DM30" s="668">
        <f>ROUND(+$DJ30*'[5]II-F Alloc_Factor'!G$40,2)</f>
        <v>-9171.3299999999999</v>
      </c>
      <c r="DN30" s="668">
        <f>ROUND(+$DJ30*'[5]II-F Alloc_Factor'!H$40,2)</f>
        <v>-7197959.6500000004</v>
      </c>
      <c r="DO30" s="668">
        <f>ROUND(+$DJ30*'[5]II-F Alloc_Factor'!I$40,2)</f>
        <v>-7796129.4000000004</v>
      </c>
      <c r="DP30" s="668">
        <f>ROUND(+$DJ30*'[5]II-F Alloc_Factor'!J$40,2)</f>
        <v>0</v>
      </c>
      <c r="DQ30" s="668">
        <f>ROUND(+$DJ30*'[5]II-F Alloc_Factor'!K$40,2)</f>
        <v>-7796129.4000000004</v>
      </c>
      <c r="DR30" s="668">
        <f>ROUND(+$DJ30*'[5]II-F Alloc_Factor'!L$40,2)</f>
        <v>-265136.64000000001</v>
      </c>
      <c r="DS30" s="668">
        <f>ROUND(+$DJ30*'[5]II-F Alloc_Factor'!M$40,2)</f>
        <v>-226095.07999999999</v>
      </c>
      <c r="DT30" s="423"/>
      <c r="DU30" s="668">
        <v>-15771869.869999999</v>
      </c>
      <c r="DV30" s="668">
        <f>ROUND(+$DU30*'[5]II-F Alloc_Factor'!E$40,2)</f>
        <v>-7321813.71</v>
      </c>
      <c r="DW30" s="668">
        <f>ROUND(+$DU30*'[5]II-F Alloc_Factor'!F$40,2)</f>
        <v>0</v>
      </c>
      <c r="DX30" s="668">
        <f>ROUND(+$DU30*'[5]II-F Alloc_Factor'!G$40,2)</f>
        <v>-9341.0400000000009</v>
      </c>
      <c r="DY30" s="668">
        <f t="shared" si="1"/>
        <v>-7331154.75</v>
      </c>
      <c r="DZ30" s="668">
        <f>ROUND(+$DU30*'[5]II-F Alloc_Factor'!I$40,2)</f>
        <v>-7940393.3700000001</v>
      </c>
      <c r="EA30" s="668">
        <f>ROUND(+$DU30*'[5]II-F Alloc_Factor'!J$40,2)</f>
        <v>0</v>
      </c>
      <c r="EB30" s="668">
        <f t="shared" si="2"/>
        <v>-7940393.3700000001</v>
      </c>
      <c r="EC30" s="668">
        <f>ROUND(+$DU30*'[5]II-F Alloc_Factor'!L$40,2)</f>
        <v>-270042.88</v>
      </c>
      <c r="ED30" s="668">
        <f>ROUND(+$DU30*'[5]II-F Alloc_Factor'!M$40,2)</f>
        <v>-230278.87</v>
      </c>
      <c r="EE30" s="754">
        <f>+DU30+'II-E-3.5'!K36</f>
        <v>0</v>
      </c>
      <c r="EF30" s="754">
        <f t="shared" si="3"/>
        <v>0</v>
      </c>
      <c r="EH30" s="754"/>
    </row>
    <row r="31" spans="1:138" s="421" customFormat="1" ht="12.75">
      <c r="A31" s="524">
        <f t="shared" si="6"/>
        <v>19</v>
      </c>
      <c r="B31" s="184" t="s">
        <v>27</v>
      </c>
      <c r="C31" s="420" t="s">
        <v>798</v>
      </c>
      <c r="D31" s="668">
        <v>-15567163.370000001</v>
      </c>
      <c r="E31" s="668">
        <f>ROUND(+$D31*'[5]II-F Alloc_Factor'!E$40,2)</f>
        <v>-7226782.3099999996</v>
      </c>
      <c r="F31" s="668">
        <f>ROUND(+$D31*'[5]II-F Alloc_Factor'!F$40,2)</f>
        <v>0</v>
      </c>
      <c r="G31" s="668">
        <f>ROUND(+$D31*'[5]II-F Alloc_Factor'!G$40,2)</f>
        <v>-9219.7999999999993</v>
      </c>
      <c r="H31" s="668">
        <f>ROUND(+$D31*'[5]II-F Alloc_Factor'!H$40,2)</f>
        <v>-7236002.1100000003</v>
      </c>
      <c r="I31" s="668">
        <f>ROUND(+$D31*'[5]II-F Alloc_Factor'!I$40,2)</f>
        <v>-7837333.29</v>
      </c>
      <c r="J31" s="668">
        <f>ROUND(+$D31*'[5]II-F Alloc_Factor'!J$40,2)</f>
        <v>0</v>
      </c>
      <c r="K31" s="668">
        <f>ROUND(+$D31*'[5]II-F Alloc_Factor'!K$40,2)</f>
        <v>-7837333.29</v>
      </c>
      <c r="L31" s="668">
        <f>ROUND(+$D31*'[5]II-F Alloc_Factor'!L$40,2)</f>
        <v>-266537.92999999999</v>
      </c>
      <c r="M31" s="668">
        <f>ROUND(+$D31*'[5]II-F Alloc_Factor'!M$40,2)</f>
        <v>-227290.03</v>
      </c>
      <c r="N31" s="669"/>
      <c r="O31" s="105">
        <v>-15742163.380000001</v>
      </c>
      <c r="P31" s="668">
        <f>ROUND(+$O31*'[5]II-F Alloc_Factor'!E$40,2)</f>
        <v>-7308022.9900000002</v>
      </c>
      <c r="Q31" s="668">
        <f>ROUND(+$O31*'[5]II-F Alloc_Factor'!F$40,2)</f>
        <v>0</v>
      </c>
      <c r="R31" s="668">
        <f>ROUND(+$O31*'[5]II-F Alloc_Factor'!G$40,2)</f>
        <v>-9323.4500000000007</v>
      </c>
      <c r="S31" s="668">
        <f>ROUND(+$O31*'[5]II-F Alloc_Factor'!H$40,2)</f>
        <v>-7317346.4400000004</v>
      </c>
      <c r="T31" s="668">
        <f>ROUND(+$O31*'[5]II-F Alloc_Factor'!I$40,2)</f>
        <v>-7925437.5499999998</v>
      </c>
      <c r="U31" s="668">
        <f>ROUND(+$O31*'[5]II-F Alloc_Factor'!J$40,2)</f>
        <v>0</v>
      </c>
      <c r="V31" s="668">
        <f>ROUND(+$O31*'[5]II-F Alloc_Factor'!K$40,2)</f>
        <v>-7925437.5499999998</v>
      </c>
      <c r="W31" s="668">
        <f>ROUND(+$O31*'[5]II-F Alloc_Factor'!L$40,2)</f>
        <v>-269534.25</v>
      </c>
      <c r="X31" s="668">
        <f>ROUND(+$O31*'[5]II-F Alloc_Factor'!M$40,2)</f>
        <v>-229845.14000000001</v>
      </c>
      <c r="Y31" s="423"/>
      <c r="Z31" s="668">
        <v>-15917163.370000001</v>
      </c>
      <c r="AA31" s="668">
        <f>ROUND(+$Z31*'[5]II-F Alloc_Factor'!E$40,2)</f>
        <v>-7389263.6699999999</v>
      </c>
      <c r="AB31" s="668">
        <f>ROUND(+$Z31*'[5]II-F Alloc_Factor'!F$40,2)</f>
        <v>0</v>
      </c>
      <c r="AC31" s="668">
        <f>ROUND(+$Z31*'[5]II-F Alloc_Factor'!G$40,2)</f>
        <v>-9427.0900000000001</v>
      </c>
      <c r="AD31" s="668">
        <f>ROUND(+$Z31*'[5]II-F Alloc_Factor'!H$40,2)</f>
        <v>-7398690.7599999998</v>
      </c>
      <c r="AE31" s="668">
        <f>ROUND(+$Z31*'[5]II-F Alloc_Factor'!I$40,2)</f>
        <v>-8013541.7999999998</v>
      </c>
      <c r="AF31" s="668">
        <f>ROUND(+$Z31*'[5]II-F Alloc_Factor'!J$40,2)</f>
        <v>0</v>
      </c>
      <c r="AG31" s="668">
        <f>ROUND(+$Z31*'[5]II-F Alloc_Factor'!K$40,2)</f>
        <v>-8013541.7999999998</v>
      </c>
      <c r="AH31" s="668">
        <f>ROUND(+$Z31*'[5]II-F Alloc_Factor'!L$40,2)</f>
        <v>-272530.56</v>
      </c>
      <c r="AI31" s="668">
        <f>ROUND(+$Z31*'[5]II-F Alloc_Factor'!M$40,2)</f>
        <v>-232400.23999999999</v>
      </c>
      <c r="AJ31" s="423"/>
      <c r="AK31" s="668">
        <v>-16092163.370000001</v>
      </c>
      <c r="AL31" s="668">
        <f>ROUND(+$AK31*'[5]II-F Alloc_Factor'!E$40,2)</f>
        <v>-7470504.3499999996</v>
      </c>
      <c r="AM31" s="668">
        <f>ROUND(+$AK31*'[5]II-F Alloc_Factor'!F$40,2)</f>
        <v>0</v>
      </c>
      <c r="AN31" s="668">
        <f>ROUND(+$AK31*'[5]II-F Alloc_Factor'!G$40,2)</f>
        <v>-9530.7399999999998</v>
      </c>
      <c r="AO31" s="668">
        <f>ROUND(+$AK31*'[5]II-F Alloc_Factor'!H$40,2)</f>
        <v>-7480035.0800000001</v>
      </c>
      <c r="AP31" s="668">
        <f>ROUND(+$AK31*'[5]II-F Alloc_Factor'!I$40,2)</f>
        <v>-8101646.0599999996</v>
      </c>
      <c r="AQ31" s="668">
        <f>ROUND(+$AK31*'[5]II-F Alloc_Factor'!J$40,2)</f>
        <v>0</v>
      </c>
      <c r="AR31" s="668">
        <f>ROUND(+$AK31*'[5]II-F Alloc_Factor'!K$40,2)</f>
        <v>-8101646.0599999996</v>
      </c>
      <c r="AS31" s="668">
        <f>ROUND(+$AK31*'[5]II-F Alloc_Factor'!L$40,2)</f>
        <v>-275526.88</v>
      </c>
      <c r="AT31" s="668">
        <f>ROUND(+$AK31*'[5]II-F Alloc_Factor'!M$40,2)</f>
        <v>-234955.35000000001</v>
      </c>
      <c r="AU31" s="423"/>
      <c r="AV31" s="668">
        <v>-16267163.370000001</v>
      </c>
      <c r="AW31" s="668">
        <f>ROUND(+$AV31*'[5]II-F Alloc_Factor'!E$40,2)</f>
        <v>-7551745.0199999996</v>
      </c>
      <c r="AX31" s="668">
        <f>ROUND(+$AV31*'[5]II-F Alloc_Factor'!F$40,2)</f>
        <v>0</v>
      </c>
      <c r="AY31" s="668">
        <f>ROUND(+$AV31*'[5]II-F Alloc_Factor'!G$40,2)</f>
        <v>-9634.3799999999992</v>
      </c>
      <c r="AZ31" s="668">
        <f>ROUND(+$AV31*'[5]II-F Alloc_Factor'!H$40,2)</f>
        <v>-7561379.4100000001</v>
      </c>
      <c r="BA31" s="668">
        <f>ROUND(+$AV31*'[5]II-F Alloc_Factor'!I$40,2)</f>
        <v>-8189750.3099999996</v>
      </c>
      <c r="BB31" s="668">
        <f>ROUND(+$AV31*'[5]II-F Alloc_Factor'!J$40,2)</f>
        <v>0</v>
      </c>
      <c r="BC31" s="668">
        <f>ROUND(+$AV31*'[5]II-F Alloc_Factor'!K$40,2)</f>
        <v>-8189750.3099999996</v>
      </c>
      <c r="BD31" s="668">
        <f>ROUND(+$AV31*'[5]II-F Alloc_Factor'!L$40,2)</f>
        <v>-278523.20000000001</v>
      </c>
      <c r="BE31" s="668">
        <f>ROUND(+$AV31*'[5]II-F Alloc_Factor'!M$40,2)</f>
        <v>-237510.45999999999</v>
      </c>
      <c r="BF31" s="423"/>
      <c r="BG31" s="668">
        <v>-16442163.370000001</v>
      </c>
      <c r="BH31" s="668">
        <f>ROUND(+$BG31*'[5]II-F Alloc_Factor'!E$40,2)</f>
        <v>-7632985.7000000002</v>
      </c>
      <c r="BI31" s="668">
        <f>ROUND(+$BG31*'[5]II-F Alloc_Factor'!F$40,2)</f>
        <v>0</v>
      </c>
      <c r="BJ31" s="668">
        <f>ROUND(+$BG31*'[5]II-F Alloc_Factor'!G$40,2)</f>
        <v>-9738.0300000000007</v>
      </c>
      <c r="BK31" s="668">
        <f>ROUND(+$BG31*'[5]II-F Alloc_Factor'!H$40,2)</f>
        <v>-7642723.7300000004</v>
      </c>
      <c r="BL31" s="668">
        <f>ROUND(+$BG31*'[5]II-F Alloc_Factor'!I$40,2)</f>
        <v>-8277854.5700000003</v>
      </c>
      <c r="BM31" s="668">
        <f>ROUND(+$BG31*'[5]II-F Alloc_Factor'!J$40,2)</f>
        <v>0</v>
      </c>
      <c r="BN31" s="668">
        <f>ROUND(+$BG31*'[5]II-F Alloc_Factor'!K$40,2)</f>
        <v>-8277854.5700000003</v>
      </c>
      <c r="BO31" s="668">
        <f>ROUND(+$BG31*'[5]II-F Alloc_Factor'!L$40,2)</f>
        <v>-281519.51000000001</v>
      </c>
      <c r="BP31" s="668">
        <f>ROUND(+$BG31*'[5]II-F Alloc_Factor'!M$40,2)</f>
        <v>-240065.56</v>
      </c>
      <c r="BQ31" s="423"/>
      <c r="BR31" s="668">
        <v>-16617163.370000001</v>
      </c>
      <c r="BS31" s="668">
        <f>ROUND(+$BR31*'[5]II-F Alloc_Factor'!E$40,2)</f>
        <v>-7714226.3799999999</v>
      </c>
      <c r="BT31" s="668">
        <f>ROUND(+$BR31*'[5]II-F Alloc_Factor'!F$40,2)</f>
        <v>0</v>
      </c>
      <c r="BU31" s="668">
        <f>ROUND(+$BR31*'[5]II-F Alloc_Factor'!G$40,2)</f>
        <v>-9841.6700000000001</v>
      </c>
      <c r="BV31" s="668">
        <f>ROUND(+$BR31*'[5]II-F Alloc_Factor'!H$40,2)</f>
        <v>-7724068.0499999998</v>
      </c>
      <c r="BW31" s="668">
        <f>ROUND(+$BR31*'[5]II-F Alloc_Factor'!I$40,2)</f>
        <v>-8365958.8200000003</v>
      </c>
      <c r="BX31" s="668">
        <f>ROUND(+$BR31*'[5]II-F Alloc_Factor'!J$40,2)</f>
        <v>0</v>
      </c>
      <c r="BY31" s="668">
        <f>ROUND(+$BR31*'[5]II-F Alloc_Factor'!K$40,2)</f>
        <v>-8365958.8200000003</v>
      </c>
      <c r="BZ31" s="668">
        <f>ROUND(+$BR31*'[5]II-F Alloc_Factor'!L$40,2)</f>
        <v>-284515.83000000002</v>
      </c>
      <c r="CA31" s="668">
        <f>ROUND(+$BR31*'[5]II-F Alloc_Factor'!M$40,2)</f>
        <v>-242620.67000000001</v>
      </c>
      <c r="CB31" s="423"/>
      <c r="CC31" s="668">
        <v>-16792163.370000001</v>
      </c>
      <c r="CD31" s="668">
        <f>ROUND(+$CC31*'[5]II-F Alloc_Factor'!E$40,2)</f>
        <v>-7795467.0599999996</v>
      </c>
      <c r="CE31" s="668">
        <f>ROUND(+$CC31*'[5]II-F Alloc_Factor'!F$40,2)</f>
        <v>0</v>
      </c>
      <c r="CF31" s="668">
        <f>ROUND(+$CC31*'[5]II-F Alloc_Factor'!G$40,2)</f>
        <v>-9945.3199999999997</v>
      </c>
      <c r="CG31" s="668">
        <f>ROUND(+$CC31*'[5]II-F Alloc_Factor'!H$40,2)</f>
        <v>-7805412.3799999999</v>
      </c>
      <c r="CH31" s="668">
        <f>ROUND(+$CC31*'[5]II-F Alloc_Factor'!I$40,2)</f>
        <v>-8454063.0800000001</v>
      </c>
      <c r="CI31" s="668">
        <f>ROUND(+$CC31*'[5]II-F Alloc_Factor'!J$40,2)</f>
        <v>0</v>
      </c>
      <c r="CJ31" s="668">
        <f>ROUND(+$CC31*'[5]II-F Alloc_Factor'!K$40,2)</f>
        <v>-8454063.0800000001</v>
      </c>
      <c r="CK31" s="668">
        <f>ROUND(+$CC31*'[5]II-F Alloc_Factor'!L$40,2)</f>
        <v>-287512.14000000001</v>
      </c>
      <c r="CL31" s="668">
        <f>ROUND(+$CC31*'[5]II-F Alloc_Factor'!M$40,2)</f>
        <v>-245175.76999999999</v>
      </c>
      <c r="CM31" s="423"/>
      <c r="CN31" s="668">
        <v>-18258583.370000001</v>
      </c>
      <c r="CO31" s="668">
        <f>ROUND(+$CN31*'[5]II-F Alloc_Factor'!E$40,2)</f>
        <v>-8476226.8000000007</v>
      </c>
      <c r="CP31" s="668">
        <f>ROUND(+$CN31*'[5]II-F Alloc_Factor'!F$40,2)</f>
        <v>0</v>
      </c>
      <c r="CQ31" s="668">
        <f>ROUND(+$CN31*'[5]II-F Alloc_Factor'!G$40,2)</f>
        <v>-10813.82</v>
      </c>
      <c r="CR31" s="668">
        <f>ROUND(+$CN31*'[5]II-F Alloc_Factor'!H$40,2)</f>
        <v>-8487040.6199999992</v>
      </c>
      <c r="CS31" s="668">
        <f>ROUND(+$CN31*'[5]II-F Alloc_Factor'!I$40,2)</f>
        <v>-9192336.4499999993</v>
      </c>
      <c r="CT31" s="668">
        <f>ROUND(+$CN31*'[5]II-F Alloc_Factor'!J$40,2)</f>
        <v>0</v>
      </c>
      <c r="CU31" s="668">
        <f>ROUND(+$CN31*'[5]II-F Alloc_Factor'!K$40,2)</f>
        <v>-9192336.4499999993</v>
      </c>
      <c r="CV31" s="668">
        <f>ROUND(+$CN31*'[5]II-F Alloc_Factor'!L$40,2)</f>
        <v>-312619.90000000002</v>
      </c>
      <c r="CW31" s="668">
        <f>ROUND(+$CN31*'[5]II-F Alloc_Factor'!M$40,2)</f>
        <v>-266586.40000000002</v>
      </c>
      <c r="CX31" s="423"/>
      <c r="CY31" s="668">
        <v>-18559649.590000004</v>
      </c>
      <c r="CZ31" s="668">
        <f>ROUND(+$CY31*'[5]II-F Alloc_Factor'!E$40,2)</f>
        <v>-8615991.5099999998</v>
      </c>
      <c r="DA31" s="668">
        <f>ROUND(+$CY31*'[5]II-F Alloc_Factor'!F$40,2)</f>
        <v>0</v>
      </c>
      <c r="DB31" s="668">
        <f>ROUND(+$CY31*'[5]II-F Alloc_Factor'!G$40,2)</f>
        <v>-10992.129999999999</v>
      </c>
      <c r="DC31" s="668">
        <f>ROUND(+$CY31*'[5]II-F Alloc_Factor'!H$40,2)</f>
        <v>-8626983.6400000006</v>
      </c>
      <c r="DD31" s="668">
        <f>ROUND(+$CY31*'[5]II-F Alloc_Factor'!I$40,2)</f>
        <v>-9343909.1099999994</v>
      </c>
      <c r="DE31" s="668">
        <f>ROUND(+$CY31*'[5]II-F Alloc_Factor'!J$40,2)</f>
        <v>0</v>
      </c>
      <c r="DF31" s="668">
        <f>ROUND(+$CY31*'[5]II-F Alloc_Factor'!K$40,2)</f>
        <v>-9343909.1099999994</v>
      </c>
      <c r="DG31" s="668">
        <f>ROUND(+$CY31*'[5]II-F Alloc_Factor'!L$40,2)</f>
        <v>-317774.70000000001</v>
      </c>
      <c r="DH31" s="668">
        <f>ROUND(+$CY31*'[5]II-F Alloc_Factor'!M$40,2)</f>
        <v>-270982.15000000002</v>
      </c>
      <c r="DI31" s="423"/>
      <c r="DJ31" s="668">
        <v>-18860715.800000004</v>
      </c>
      <c r="DK31" s="668">
        <f>ROUND(+$DJ31*'[5]II-F Alloc_Factor'!E$40,2)</f>
        <v>-8755756.2100000009</v>
      </c>
      <c r="DL31" s="668">
        <f>ROUND(+$DJ31*'[5]II-F Alloc_Factor'!F$40,2)</f>
        <v>0</v>
      </c>
      <c r="DM31" s="668">
        <f>ROUND(+$DJ31*'[5]II-F Alloc_Factor'!G$40,2)</f>
        <v>-11170.440000000001</v>
      </c>
      <c r="DN31" s="668">
        <f>ROUND(+$DJ31*'[5]II-F Alloc_Factor'!H$40,2)</f>
        <v>-8766926.6500000004</v>
      </c>
      <c r="DO31" s="668">
        <f>ROUND(+$DJ31*'[5]II-F Alloc_Factor'!I$40,2)</f>
        <v>-9495481.7599999998</v>
      </c>
      <c r="DP31" s="668">
        <f>ROUND(+$DJ31*'[5]II-F Alloc_Factor'!J$40,2)</f>
        <v>0</v>
      </c>
      <c r="DQ31" s="668">
        <f>ROUND(+$DJ31*'[5]II-F Alloc_Factor'!K$40,2)</f>
        <v>-9495481.7599999998</v>
      </c>
      <c r="DR31" s="668">
        <f>ROUND(+$DJ31*'[5]II-F Alloc_Factor'!L$40,2)</f>
        <v>-322929.48999999999</v>
      </c>
      <c r="DS31" s="668">
        <f>ROUND(+$DJ31*'[5]II-F Alloc_Factor'!M$40,2)</f>
        <v>-275377.90000000002</v>
      </c>
      <c r="DT31" s="423"/>
      <c r="DU31" s="668">
        <v>-16872658.050000004</v>
      </c>
      <c r="DV31" s="668">
        <f>ROUND(+$DU31*'[5]II-F Alloc_Factor'!E$40,2)</f>
        <v>-7832835.2999999998</v>
      </c>
      <c r="DW31" s="668">
        <f>ROUND(+$DU31*'[5]II-F Alloc_Factor'!F$40,2)</f>
        <v>0</v>
      </c>
      <c r="DX31" s="668">
        <f>ROUND(+$DU31*'[5]II-F Alloc_Factor'!G$40,2)</f>
        <v>-9992.9899999999998</v>
      </c>
      <c r="DY31" s="668">
        <f t="shared" si="1"/>
        <v>-7842828.29</v>
      </c>
      <c r="DZ31" s="668">
        <f>ROUND(+$DU31*'[5]II-F Alloc_Factor'!I$40,2)</f>
        <v>-8494588.3499999996</v>
      </c>
      <c r="EA31" s="668">
        <f>ROUND(+$DU31*'[5]II-F Alloc_Factor'!J$40,2)</f>
        <v>0</v>
      </c>
      <c r="EB31" s="668">
        <f t="shared" si="2"/>
        <v>-8494588.3499999996</v>
      </c>
      <c r="EC31" s="668">
        <f>ROUND(+$DU31*'[5]II-F Alloc_Factor'!L$40,2)</f>
        <v>-288890.35999999999</v>
      </c>
      <c r="ED31" s="668">
        <f>ROUND(+$DU31*'[5]II-F Alloc_Factor'!M$40,2)</f>
        <v>-246351.04999999999</v>
      </c>
      <c r="EE31" s="754">
        <f>+DU31+'II-E-3.5'!K37</f>
        <v>0</v>
      </c>
      <c r="EF31" s="754">
        <f t="shared" si="3"/>
        <v>0</v>
      </c>
      <c r="EH31" s="754"/>
    </row>
    <row r="32" spans="1:134" s="421" customFormat="1" ht="12.75">
      <c r="A32" s="524">
        <f t="shared" si="6"/>
        <v>20</v>
      </c>
      <c r="C32" s="424"/>
      <c r="D32" s="671">
        <f t="shared" si="7" ref="D32:M32">SUM(D14:D31)</f>
        <v>-2316321386.1999989</v>
      </c>
      <c r="E32" s="671">
        <f t="shared" si="7"/>
        <v>-1002220992.7199998</v>
      </c>
      <c r="F32" s="671">
        <f t="shared" si="7"/>
        <v>-121694606.31</v>
      </c>
      <c r="G32" s="671">
        <f t="shared" si="7"/>
        <v>-1262098.78</v>
      </c>
      <c r="H32" s="671">
        <f t="shared" si="7"/>
        <v>-1125177697.8000002</v>
      </c>
      <c r="I32" s="671">
        <f t="shared" si="7"/>
        <v>-1091157735.2199998</v>
      </c>
      <c r="J32" s="671">
        <f t="shared" si="7"/>
        <v>-9951652.4800000004</v>
      </c>
      <c r="K32" s="671">
        <f t="shared" si="7"/>
        <v>-1101109387.6999998</v>
      </c>
      <c r="L32" s="671">
        <f t="shared" si="7"/>
        <v>-39123528.190000005</v>
      </c>
      <c r="M32" s="671">
        <f t="shared" si="7"/>
        <v>-50910772.490000002</v>
      </c>
      <c r="N32" s="665"/>
      <c r="O32" s="671">
        <f t="shared" si="8" ref="O32:X32">SUM(O14:O31)</f>
        <v>-2325236845.6099997</v>
      </c>
      <c r="P32" s="671">
        <f t="shared" si="8"/>
        <v>-1005871435.96</v>
      </c>
      <c r="Q32" s="671">
        <f t="shared" si="8"/>
        <v>-122375065.52</v>
      </c>
      <c r="R32" s="671">
        <f t="shared" si="8"/>
        <v>-1266553.6599999999</v>
      </c>
      <c r="S32" s="671">
        <f t="shared" si="8"/>
        <v>-1129513055.1300001</v>
      </c>
      <c r="T32" s="671">
        <f t="shared" si="8"/>
        <v>-1095168815.8299999</v>
      </c>
      <c r="U32" s="671">
        <f t="shared" si="8"/>
        <v>-10007297.460000001</v>
      </c>
      <c r="V32" s="671">
        <f t="shared" si="8"/>
        <v>-1105176113.29</v>
      </c>
      <c r="W32" s="671">
        <f t="shared" si="8"/>
        <v>-39284614.350000001</v>
      </c>
      <c r="X32" s="671">
        <f t="shared" si="8"/>
        <v>-51263062.840000004</v>
      </c>
      <c r="Y32" s="423"/>
      <c r="Z32" s="671">
        <f t="shared" si="9" ref="Z32:AI32">SUM(Z14:Z31)</f>
        <v>-2337078770.8099995</v>
      </c>
      <c r="AA32" s="671">
        <f t="shared" si="9"/>
        <v>-986874335.49999964</v>
      </c>
      <c r="AB32" s="671">
        <f t="shared" si="9"/>
        <v>-123093467.76000001</v>
      </c>
      <c r="AC32" s="671">
        <f t="shared" si="9"/>
        <v>-1209032.9799999998</v>
      </c>
      <c r="AD32" s="671">
        <f t="shared" si="9"/>
        <v>-1111176836.2199998</v>
      </c>
      <c r="AE32" s="671">
        <f t="shared" si="9"/>
        <v>-1083160644.5400002</v>
      </c>
      <c r="AF32" s="671">
        <f t="shared" si="9"/>
        <v>-10066045.25</v>
      </c>
      <c r="AG32" s="671">
        <f t="shared" si="9"/>
        <v>-1093226689.7900002</v>
      </c>
      <c r="AH32" s="671">
        <f t="shared" si="9"/>
        <v>-42936002.280000001</v>
      </c>
      <c r="AI32" s="671">
        <f t="shared" si="9"/>
        <v>-89739242.499999985</v>
      </c>
      <c r="AJ32" s="423"/>
      <c r="AK32" s="671">
        <f t="shared" si="10" ref="AK32:AT32">SUM(AK14:AK31)</f>
        <v>-2348833173.5099998</v>
      </c>
      <c r="AL32" s="671">
        <f t="shared" si="10"/>
        <v>-991506300.38</v>
      </c>
      <c r="AM32" s="671">
        <f t="shared" si="10"/>
        <v>-123801472.37000001</v>
      </c>
      <c r="AN32" s="671">
        <f t="shared" si="10"/>
        <v>-1214295.1800000002</v>
      </c>
      <c r="AO32" s="671">
        <f t="shared" si="10"/>
        <v>-1116522067.9300001</v>
      </c>
      <c r="AP32" s="671">
        <f t="shared" si="10"/>
        <v>-1088351037.28</v>
      </c>
      <c r="AQ32" s="671">
        <f t="shared" si="10"/>
        <v>-10123942.77</v>
      </c>
      <c r="AR32" s="671">
        <f t="shared" si="10"/>
        <v>-1098474980.0500002</v>
      </c>
      <c r="AS32" s="671">
        <f t="shared" si="10"/>
        <v>-43191458.810000002</v>
      </c>
      <c r="AT32" s="671">
        <f t="shared" si="10"/>
        <v>-90644666.749999985</v>
      </c>
      <c r="AU32" s="423"/>
      <c r="AV32" s="671">
        <f t="shared" si="11" ref="AV32:BE32">SUM(AV14:AV31)</f>
        <v>-2361539171.4899998</v>
      </c>
      <c r="AW32" s="671">
        <f t="shared" si="11"/>
        <v>-996834041.88</v>
      </c>
      <c r="AX32" s="671">
        <f t="shared" si="11"/>
        <v>-124509476.98</v>
      </c>
      <c r="AY32" s="671">
        <f t="shared" si="11"/>
        <v>-1220795.3499999999</v>
      </c>
      <c r="AZ32" s="671">
        <f t="shared" si="11"/>
        <v>-1122564314.2099998</v>
      </c>
      <c r="BA32" s="671">
        <f t="shared" si="11"/>
        <v>-1094205535.4500003</v>
      </c>
      <c r="BB32" s="671">
        <f t="shared" si="11"/>
        <v>-10181840.289999999</v>
      </c>
      <c r="BC32" s="671">
        <f t="shared" si="11"/>
        <v>-1104387375.7400003</v>
      </c>
      <c r="BD32" s="671">
        <f t="shared" si="11"/>
        <v>-43426770.359999999</v>
      </c>
      <c r="BE32" s="671">
        <f t="shared" si="11"/>
        <v>-91160711.180000007</v>
      </c>
      <c r="BF32" s="423"/>
      <c r="BG32" s="671">
        <f t="shared" si="12" ref="BG32:BP32">SUM(BG14:BG31)</f>
        <v>-2372567612.2599988</v>
      </c>
      <c r="BH32" s="671">
        <f t="shared" si="12"/>
        <v>-1001554674.18</v>
      </c>
      <c r="BI32" s="671">
        <f t="shared" si="12"/>
        <v>-124784710.5</v>
      </c>
      <c r="BJ32" s="671">
        <f t="shared" si="12"/>
        <v>-1226458.03</v>
      </c>
      <c r="BK32" s="671">
        <f t="shared" si="12"/>
        <v>-1127565842.74</v>
      </c>
      <c r="BL32" s="671">
        <f t="shared" si="12"/>
        <v>-1099417895.4299998</v>
      </c>
      <c r="BM32" s="671">
        <f t="shared" si="12"/>
        <v>-10204347.68</v>
      </c>
      <c r="BN32" s="671">
        <f t="shared" si="12"/>
        <v>-1109622243.1099997</v>
      </c>
      <c r="BO32" s="671">
        <f t="shared" si="12"/>
        <v>-43647925.86999999</v>
      </c>
      <c r="BP32" s="671">
        <f t="shared" si="12"/>
        <v>-91731600.520000011</v>
      </c>
      <c r="BQ32" s="423"/>
      <c r="BR32" s="671">
        <f t="shared" si="13" ref="BR32:CA32">SUM(BR14:BR31)</f>
        <v>-2382879407.1599994</v>
      </c>
      <c r="BS32" s="671">
        <f t="shared" si="13"/>
        <v>-1005783897.61</v>
      </c>
      <c r="BT32" s="671">
        <f t="shared" si="13"/>
        <v>-125420586.59999999</v>
      </c>
      <c r="BU32" s="671">
        <f t="shared" si="13"/>
        <v>-1231524.6500000001</v>
      </c>
      <c r="BV32" s="671">
        <f t="shared" si="13"/>
        <v>-1132436008.8199997</v>
      </c>
      <c r="BW32" s="671">
        <f t="shared" si="13"/>
        <v>-1104089355.5299997</v>
      </c>
      <c r="BX32" s="671">
        <f t="shared" si="13"/>
        <v>-10256346.85</v>
      </c>
      <c r="BY32" s="671">
        <f t="shared" si="13"/>
        <v>-1114345702.3799999</v>
      </c>
      <c r="BZ32" s="671">
        <f t="shared" si="13"/>
        <v>-43846918.920000002</v>
      </c>
      <c r="CA32" s="671">
        <f t="shared" si="13"/>
        <v>-92250777.020000011</v>
      </c>
      <c r="CB32" s="423"/>
      <c r="CC32" s="671">
        <f t="shared" si="14" ref="CC32:CL32">SUM(CC14:CC31)</f>
        <v>-2393540345.9299989</v>
      </c>
      <c r="CD32" s="671">
        <f t="shared" si="14"/>
        <v>-1010097324.5799998</v>
      </c>
      <c r="CE32" s="671">
        <f t="shared" si="14"/>
        <v>-126056462.7</v>
      </c>
      <c r="CF32" s="671">
        <f t="shared" si="14"/>
        <v>-1236591.29</v>
      </c>
      <c r="CG32" s="671">
        <f t="shared" si="14"/>
        <v>-1137390378.5700002</v>
      </c>
      <c r="CH32" s="671">
        <f t="shared" si="14"/>
        <v>-1108879865.8900001</v>
      </c>
      <c r="CI32" s="671">
        <f t="shared" si="14"/>
        <v>-10308346.01</v>
      </c>
      <c r="CJ32" s="671">
        <f t="shared" si="14"/>
        <v>-1119188211.9000003</v>
      </c>
      <c r="CK32" s="671">
        <f t="shared" si="14"/>
        <v>-44063061.719999999</v>
      </c>
      <c r="CL32" s="671">
        <f t="shared" si="14"/>
        <v>-92898693.739999995</v>
      </c>
      <c r="CM32" s="423"/>
      <c r="CN32" s="671">
        <f t="shared" si="15" ref="CN32:CW32">SUM(CN14:CN31)</f>
        <v>-2394711444.9599991</v>
      </c>
      <c r="CO32" s="671">
        <f t="shared" si="15"/>
        <v>-1009835562.7099999</v>
      </c>
      <c r="CP32" s="671">
        <f t="shared" si="15"/>
        <v>-127082925.2</v>
      </c>
      <c r="CQ32" s="671">
        <f t="shared" si="15"/>
        <v>-1235857.4600000002</v>
      </c>
      <c r="CR32" s="671">
        <f t="shared" si="15"/>
        <v>-1138154345.3799999</v>
      </c>
      <c r="CS32" s="671">
        <f t="shared" si="15"/>
        <v>-1108699235.0400002</v>
      </c>
      <c r="CT32" s="671">
        <f t="shared" si="15"/>
        <v>-10392285.630000001</v>
      </c>
      <c r="CU32" s="671">
        <f t="shared" si="15"/>
        <v>-1119091520.6700001</v>
      </c>
      <c r="CV32" s="671">
        <f t="shared" si="15"/>
        <v>-44105692.220000006</v>
      </c>
      <c r="CW32" s="671">
        <f t="shared" si="15"/>
        <v>-93359886.679999992</v>
      </c>
      <c r="CX32" s="423"/>
      <c r="CY32" s="671">
        <f t="shared" si="16" ref="CY32:DH32">SUM(CY14:CY31)</f>
        <v>-2404331891.4400001</v>
      </c>
      <c r="CZ32" s="671">
        <f t="shared" si="16"/>
        <v>-1013719768.6900001</v>
      </c>
      <c r="DA32" s="671">
        <f t="shared" si="16"/>
        <v>-127738010.28</v>
      </c>
      <c r="DB32" s="671">
        <f t="shared" si="16"/>
        <v>-1240464.0199999996</v>
      </c>
      <c r="DC32" s="671">
        <f t="shared" si="16"/>
        <v>-1142698242.97</v>
      </c>
      <c r="DD32" s="671">
        <f t="shared" si="16"/>
        <v>-1113001665.54</v>
      </c>
      <c r="DE32" s="671">
        <f t="shared" si="16"/>
        <v>-10445855.619999999</v>
      </c>
      <c r="DF32" s="671">
        <f t="shared" si="16"/>
        <v>-1123447521.1599999</v>
      </c>
      <c r="DG32" s="671">
        <f t="shared" si="16"/>
        <v>-44294561.490000002</v>
      </c>
      <c r="DH32" s="671">
        <f t="shared" si="16"/>
        <v>-93891565.819999993</v>
      </c>
      <c r="DI32" s="423"/>
      <c r="DJ32" s="671">
        <f t="shared" si="17" ref="DJ32:DS32">SUM(DJ14:DJ31)</f>
        <v>-2415008084.4699998</v>
      </c>
      <c r="DK32" s="671">
        <f t="shared" si="17"/>
        <v>-1017979225.84</v>
      </c>
      <c r="DL32" s="671">
        <f t="shared" si="17"/>
        <v>-128393095.37000001</v>
      </c>
      <c r="DM32" s="671">
        <f t="shared" si="17"/>
        <v>-1245390.8999999999</v>
      </c>
      <c r="DN32" s="671">
        <f t="shared" si="17"/>
        <v>-1147617712.1000001</v>
      </c>
      <c r="DO32" s="671">
        <f t="shared" si="17"/>
        <v>-1117751951.3999999</v>
      </c>
      <c r="DP32" s="671">
        <f t="shared" si="17"/>
        <v>-10499425.609999999</v>
      </c>
      <c r="DQ32" s="671">
        <f t="shared" si="17"/>
        <v>-1128251377.0099998</v>
      </c>
      <c r="DR32" s="671">
        <f t="shared" si="17"/>
        <v>-44517983.579999998</v>
      </c>
      <c r="DS32" s="671">
        <f t="shared" si="17"/>
        <v>-94621011.809999987</v>
      </c>
      <c r="DT32" s="423"/>
      <c r="DU32" s="671">
        <f t="shared" si="18" ref="DU32:ED32">SUM(DU14:DU31)</f>
        <v>-2420495726.829999</v>
      </c>
      <c r="DV32" s="671">
        <f t="shared" si="18"/>
        <v>-1018749167.0199999</v>
      </c>
      <c r="DW32" s="671">
        <f t="shared" si="18"/>
        <v>-129446250.03</v>
      </c>
      <c r="DX32" s="671">
        <f t="shared" si="18"/>
        <v>-1244650.9999999998</v>
      </c>
      <c r="DY32" s="671">
        <f t="shared" si="18"/>
        <v>-1149440068.0500002</v>
      </c>
      <c r="DZ32" s="671">
        <f t="shared" si="18"/>
        <v>-1119031599.8799996</v>
      </c>
      <c r="EA32" s="671">
        <f t="shared" si="18"/>
        <v>-10585547.99</v>
      </c>
      <c r="EB32" s="671">
        <f t="shared" si="18"/>
        <v>-1129617147.8699997</v>
      </c>
      <c r="EC32" s="671">
        <f t="shared" si="18"/>
        <v>-44771560.770000011</v>
      </c>
      <c r="ED32" s="671">
        <f t="shared" si="18"/>
        <v>-96666950.14000003</v>
      </c>
    </row>
    <row r="33" spans="1:134" s="421" customFormat="1" ht="12.75">
      <c r="A33" s="524">
        <f t="shared" si="6"/>
        <v>21</v>
      </c>
      <c r="B33" s="422" t="s">
        <v>513</v>
      </c>
      <c r="C33" s="672"/>
      <c r="D33" s="668"/>
      <c r="E33" s="668"/>
      <c r="F33" s="668"/>
      <c r="G33" s="668"/>
      <c r="H33" s="668"/>
      <c r="I33" s="668"/>
      <c r="J33" s="668"/>
      <c r="K33" s="668"/>
      <c r="L33" s="668"/>
      <c r="M33" s="668"/>
      <c r="N33" s="669"/>
      <c r="O33" s="668"/>
      <c r="P33" s="668"/>
      <c r="Q33" s="668"/>
      <c r="R33" s="668"/>
      <c r="S33" s="668"/>
      <c r="T33" s="668"/>
      <c r="U33" s="668"/>
      <c r="V33" s="668"/>
      <c r="W33" s="668"/>
      <c r="X33" s="668"/>
      <c r="Y33" s="423"/>
      <c r="Z33" s="668"/>
      <c r="AA33" s="668"/>
      <c r="AB33" s="668"/>
      <c r="AC33" s="668"/>
      <c r="AD33" s="668"/>
      <c r="AE33" s="668"/>
      <c r="AF33" s="668"/>
      <c r="AG33" s="668"/>
      <c r="AH33" s="668"/>
      <c r="AI33" s="668"/>
      <c r="AJ33" s="423"/>
      <c r="AK33" s="668"/>
      <c r="AL33" s="668"/>
      <c r="AM33" s="668"/>
      <c r="AN33" s="668"/>
      <c r="AO33" s="668"/>
      <c r="AP33" s="668"/>
      <c r="AQ33" s="668"/>
      <c r="AR33" s="668"/>
      <c r="AS33" s="668"/>
      <c r="AT33" s="668"/>
      <c r="AU33" s="423"/>
      <c r="AV33" s="668"/>
      <c r="AW33" s="668"/>
      <c r="AX33" s="668"/>
      <c r="AY33" s="668"/>
      <c r="AZ33" s="668"/>
      <c r="BA33" s="668"/>
      <c r="BB33" s="668"/>
      <c r="BC33" s="668"/>
      <c r="BD33" s="668"/>
      <c r="BE33" s="668"/>
      <c r="BF33" s="423"/>
      <c r="BG33" s="668"/>
      <c r="BH33" s="668"/>
      <c r="BI33" s="668"/>
      <c r="BJ33" s="668"/>
      <c r="BK33" s="668"/>
      <c r="BL33" s="668"/>
      <c r="BM33" s="668"/>
      <c r="BN33" s="668"/>
      <c r="BO33" s="668"/>
      <c r="BP33" s="668"/>
      <c r="BQ33" s="423"/>
      <c r="BR33" s="668"/>
      <c r="BS33" s="668"/>
      <c r="BT33" s="668"/>
      <c r="BU33" s="668"/>
      <c r="BV33" s="668"/>
      <c r="BW33" s="668"/>
      <c r="BX33" s="668"/>
      <c r="BY33" s="668"/>
      <c r="BZ33" s="668"/>
      <c r="CA33" s="668"/>
      <c r="CB33" s="423"/>
      <c r="CC33" s="668"/>
      <c r="CD33" s="668"/>
      <c r="CE33" s="668"/>
      <c r="CF33" s="668"/>
      <c r="CG33" s="668"/>
      <c r="CH33" s="668"/>
      <c r="CI33" s="668"/>
      <c r="CJ33" s="668"/>
      <c r="CK33" s="668"/>
      <c r="CL33" s="668"/>
      <c r="CM33" s="423"/>
      <c r="CN33" s="668"/>
      <c r="CO33" s="668"/>
      <c r="CP33" s="668"/>
      <c r="CQ33" s="668"/>
      <c r="CR33" s="668"/>
      <c r="CS33" s="668"/>
      <c r="CT33" s="668"/>
      <c r="CU33" s="668"/>
      <c r="CV33" s="668"/>
      <c r="CW33" s="668"/>
      <c r="CX33" s="423"/>
      <c r="CY33" s="668"/>
      <c r="CZ33" s="668"/>
      <c r="DA33" s="668"/>
      <c r="DB33" s="668"/>
      <c r="DC33" s="668"/>
      <c r="DD33" s="668"/>
      <c r="DE33" s="668"/>
      <c r="DF33" s="668"/>
      <c r="DG33" s="668"/>
      <c r="DH33" s="668"/>
      <c r="DI33" s="423"/>
      <c r="DJ33" s="668"/>
      <c r="DK33" s="668"/>
      <c r="DL33" s="668"/>
      <c r="DM33" s="668"/>
      <c r="DN33" s="668"/>
      <c r="DO33" s="668"/>
      <c r="DP33" s="668"/>
      <c r="DQ33" s="668"/>
      <c r="DR33" s="668"/>
      <c r="DS33" s="668"/>
      <c r="DT33" s="423"/>
      <c r="DU33" s="668"/>
      <c r="DV33" s="668"/>
      <c r="DW33" s="668"/>
      <c r="DX33" s="668"/>
      <c r="DY33" s="668"/>
      <c r="DZ33" s="668"/>
      <c r="EA33" s="668"/>
      <c r="EB33" s="668"/>
      <c r="EC33" s="668"/>
      <c r="ED33" s="668"/>
    </row>
    <row r="34" spans="1:138" s="421" customFormat="1" ht="12.75">
      <c r="A34" s="524">
        <f t="shared" si="6"/>
        <v>22</v>
      </c>
      <c r="B34" s="184" t="s">
        <v>369</v>
      </c>
      <c r="C34" s="424" t="s">
        <v>406</v>
      </c>
      <c r="D34" s="544">
        <v>-1479977.4099999999</v>
      </c>
      <c r="E34" s="544">
        <f>ROUND(+$D34*'[5]II-F Alloc_Factor'!E$32,2)</f>
        <v>-135934.42999999999</v>
      </c>
      <c r="F34" s="544">
        <f>ROUND(+$D34*'[5]II-F Alloc_Factor'!F$32,2)</f>
        <v>0</v>
      </c>
      <c r="G34" s="544">
        <f>ROUND(+$D34*'[5]II-F Alloc_Factor'!G$32,2)</f>
        <v>0</v>
      </c>
      <c r="H34" s="544">
        <f>ROUND(+$D34*'[5]II-F Alloc_Factor'!H$32,2)</f>
        <v>-135934.42999999999</v>
      </c>
      <c r="I34" s="544">
        <f>ROUND(+$D34*'[5]II-F Alloc_Factor'!I$32,2)</f>
        <v>-1286786.3000000001</v>
      </c>
      <c r="J34" s="544">
        <f>ROUND(+$D34*'[5]II-F Alloc_Factor'!J$32,2)</f>
        <v>0</v>
      </c>
      <c r="K34" s="544">
        <f>ROUND(+$D34*'[5]II-F Alloc_Factor'!K$32,2)</f>
        <v>-1286786.3000000001</v>
      </c>
      <c r="L34" s="544">
        <f>ROUND(+$D34*'[5]II-F Alloc_Factor'!L$32,2)</f>
        <v>-45301.639999999999</v>
      </c>
      <c r="M34" s="544">
        <f>ROUND(+$D34*'[5]II-F Alloc_Factor'!M$32,2)</f>
        <v>-11955.030000000001</v>
      </c>
      <c r="N34" s="668"/>
      <c r="O34" s="544">
        <v>-1305593.98</v>
      </c>
      <c r="P34" s="544">
        <f>ROUND(+$O34*'[5]II-F Alloc_Factor'!E$32,2)</f>
        <v>-119917.49000000001</v>
      </c>
      <c r="Q34" s="544">
        <f>ROUND(+$O34*'[5]II-F Alloc_Factor'!F$32,2)</f>
        <v>0</v>
      </c>
      <c r="R34" s="544">
        <f>ROUND(+$O34*'[5]II-F Alloc_Factor'!G$32,2)</f>
        <v>0</v>
      </c>
      <c r="S34" s="544">
        <f>ROUND(+$O34*'[5]II-F Alloc_Factor'!H$32,2)</f>
        <v>-119917.49000000001</v>
      </c>
      <c r="T34" s="544">
        <f>ROUND(+$O34*'[5]II-F Alloc_Factor'!I$32,2)</f>
        <v>-1135166.28</v>
      </c>
      <c r="U34" s="544">
        <f>ROUND(+$O34*'[5]II-F Alloc_Factor'!J$32,2)</f>
        <v>0</v>
      </c>
      <c r="V34" s="544">
        <f>ROUND(+$O34*'[5]II-F Alloc_Factor'!K$32,2)</f>
        <v>-1135166.28</v>
      </c>
      <c r="W34" s="544">
        <f>ROUND(+$O34*'[5]II-F Alloc_Factor'!L$32,2)</f>
        <v>-39963.82</v>
      </c>
      <c r="X34" s="544">
        <f>ROUND(+$O34*'[5]II-F Alloc_Factor'!M$32,2)</f>
        <v>-10546.389999999999</v>
      </c>
      <c r="Y34" s="673"/>
      <c r="Z34" s="544">
        <v>-1044351.95</v>
      </c>
      <c r="AA34" s="544">
        <f>ROUND(+$Z34*'[5]II-F Alloc_Factor'!E$32,2)</f>
        <v>-95922.669999999998</v>
      </c>
      <c r="AB34" s="544">
        <f>ROUND(+$Z34*'[5]II-F Alloc_Factor'!F$32,2)</f>
        <v>0</v>
      </c>
      <c r="AC34" s="544">
        <f>ROUND(+$Z34*'[5]II-F Alloc_Factor'!G$32,2)</f>
        <v>0</v>
      </c>
      <c r="AD34" s="544">
        <f>ROUND(+$Z34*'[5]II-F Alloc_Factor'!H$32,2)</f>
        <v>-95922.669999999998</v>
      </c>
      <c r="AE34" s="544">
        <f>ROUND(+$Z34*'[5]II-F Alloc_Factor'!I$32,2)</f>
        <v>-908025.88</v>
      </c>
      <c r="AF34" s="544">
        <f>ROUND(+$Z34*'[5]II-F Alloc_Factor'!J$32,2)</f>
        <v>0</v>
      </c>
      <c r="AG34" s="544">
        <f>ROUND(+$Z34*'[5]II-F Alloc_Factor'!K$32,2)</f>
        <v>-908025.88</v>
      </c>
      <c r="AH34" s="544">
        <f>ROUND(+$Z34*'[5]II-F Alloc_Factor'!L$32,2)</f>
        <v>-31967.279999999999</v>
      </c>
      <c r="AI34" s="544">
        <f>ROUND(+$Z34*'[5]II-F Alloc_Factor'!M$32,2)</f>
        <v>-8436.1200000000008</v>
      </c>
      <c r="AJ34" s="423"/>
      <c r="AK34" s="544">
        <v>-780929.06999999995</v>
      </c>
      <c r="AL34" s="544">
        <f>ROUND(+$AK34*'[5]II-F Alloc_Factor'!E$32,2)</f>
        <v>-71727.550000000003</v>
      </c>
      <c r="AM34" s="544">
        <f>ROUND(+$AK34*'[5]II-F Alloc_Factor'!F$32,2)</f>
        <v>0</v>
      </c>
      <c r="AN34" s="544">
        <f>ROUND(+$AK34*'[5]II-F Alloc_Factor'!G$32,2)</f>
        <v>0</v>
      </c>
      <c r="AO34" s="544">
        <f>SUM(AL34:AN34)</f>
        <v>-71727.550000000003</v>
      </c>
      <c r="AP34" s="544">
        <f>ROUND(+$AK34*'[5]II-F Alloc_Factor'!I$32,2)</f>
        <v>-678989.30000000005</v>
      </c>
      <c r="AQ34" s="544">
        <f>ROUND(+$AK34*'[5]II-F Alloc_Factor'!J$32,2)</f>
        <v>0</v>
      </c>
      <c r="AR34" s="544">
        <f>SUM(AP34:AQ34)</f>
        <v>-678989.30000000005</v>
      </c>
      <c r="AS34" s="544">
        <f>ROUND(+$AK34*'[5]II-F Alloc_Factor'!L$32,2)</f>
        <v>-23903.990000000002</v>
      </c>
      <c r="AT34" s="544">
        <f>ROUND(+$AK34*'[5]II-F Alloc_Factor'!M$32,2)</f>
        <v>-6308.2299999999996</v>
      </c>
      <c r="AU34" s="755"/>
      <c r="AV34" s="544">
        <v>-607809.33999999997</v>
      </c>
      <c r="AW34" s="544">
        <f>ROUND(+$AV34*'[5]II-F Alloc_Factor'!E$32,2)</f>
        <v>-55826.68</v>
      </c>
      <c r="AX34" s="544">
        <f>ROUND(+$AV34*'[5]II-F Alloc_Factor'!F$32,2)</f>
        <v>0</v>
      </c>
      <c r="AY34" s="544">
        <f>ROUND(+$AV34*'[5]II-F Alloc_Factor'!G$32,2)</f>
        <v>0</v>
      </c>
      <c r="AZ34" s="544">
        <f>ROUND(+$AV34*'[5]II-F Alloc_Factor'!H$32,2)</f>
        <v>-55826.68</v>
      </c>
      <c r="BA34" s="544">
        <f>ROUND(+$AV34*'[5]II-F Alloc_Factor'!I$32,2)</f>
        <v>-528468.02000000002</v>
      </c>
      <c r="BB34" s="544">
        <f>ROUND(+$AV34*'[5]II-F Alloc_Factor'!J$32,2)</f>
        <v>0</v>
      </c>
      <c r="BC34" s="544">
        <f>ROUND(+$AV34*'[5]II-F Alloc_Factor'!K$32,2)</f>
        <v>-528468.02000000002</v>
      </c>
      <c r="BD34" s="544">
        <f>ROUND(+$AV34*'[5]II-F Alloc_Factor'!L$32,2)</f>
        <v>-18604.849999999999</v>
      </c>
      <c r="BE34" s="544">
        <f>ROUND(+$AV34*'[5]II-F Alloc_Factor'!M$32,2)</f>
        <v>-4909.79</v>
      </c>
      <c r="BF34" s="755"/>
      <c r="BG34" s="544">
        <v>-1243330.74</v>
      </c>
      <c r="BH34" s="544">
        <f>ROUND(+$BG34*'[5]II-F Alloc_Factor'!E$32,2)</f>
        <v>-114198.67999999999</v>
      </c>
      <c r="BI34" s="544">
        <f>ROUND(+$BG34*'[5]II-F Alloc_Factor'!F$32,2)</f>
        <v>0</v>
      </c>
      <c r="BJ34" s="544">
        <f>ROUND(+$BG34*'[5]II-F Alloc_Factor'!G$32,2)</f>
        <v>0</v>
      </c>
      <c r="BK34" s="544">
        <f>ROUND(+$BG34*'[5]II-F Alloc_Factor'!H$32,2)</f>
        <v>-114198.67999999999</v>
      </c>
      <c r="BL34" s="544">
        <f>ROUND(+$BG34*'[5]II-F Alloc_Factor'!I$32,2)</f>
        <v>-1081030.6699999999</v>
      </c>
      <c r="BM34" s="544">
        <f>ROUND(+$BG34*'[5]II-F Alloc_Factor'!J$32,2)</f>
        <v>0</v>
      </c>
      <c r="BN34" s="544">
        <f>ROUND(+$BG34*'[5]II-F Alloc_Factor'!K$32,2)</f>
        <v>-1081030.6699999999</v>
      </c>
      <c r="BO34" s="544">
        <f>ROUND(+$BG34*'[5]II-F Alloc_Factor'!L$32,2)</f>
        <v>-38057.959999999999</v>
      </c>
      <c r="BP34" s="544">
        <f>ROUND(+$BG34*'[5]II-F Alloc_Factor'!M$32,2)</f>
        <v>-10043.440000000001</v>
      </c>
      <c r="BQ34" s="755"/>
      <c r="BR34" s="544">
        <v>-979250.93999999994</v>
      </c>
      <c r="BS34" s="544">
        <f>ROUND(+$BR34*'[5]II-F Alloc_Factor'!E$32,2)</f>
        <v>-89943.210000000006</v>
      </c>
      <c r="BT34" s="544">
        <f>ROUND(+$BR34*'[5]II-F Alloc_Factor'!F$32,2)</f>
        <v>0</v>
      </c>
      <c r="BU34" s="544">
        <f>ROUND(+$BR34*'[5]II-F Alloc_Factor'!G$32,2)</f>
        <v>0</v>
      </c>
      <c r="BV34" s="544">
        <f>ROUND(+$BR34*'[5]II-F Alloc_Factor'!H$32,2)</f>
        <v>-89943.210000000006</v>
      </c>
      <c r="BW34" s="544">
        <f>ROUND(+$BR34*'[5]II-F Alloc_Factor'!I$32,2)</f>
        <v>-851422.93000000005</v>
      </c>
      <c r="BX34" s="544">
        <f>ROUND(+$BR34*'[5]II-F Alloc_Factor'!J$32,2)</f>
        <v>0</v>
      </c>
      <c r="BY34" s="544">
        <f>ROUND(+$BR34*'[5]II-F Alloc_Factor'!K$32,2)</f>
        <v>-851422.93000000005</v>
      </c>
      <c r="BZ34" s="544">
        <f>ROUND(+$BR34*'[5]II-F Alloc_Factor'!L$32,2)</f>
        <v>-29974.560000000001</v>
      </c>
      <c r="CA34" s="544">
        <f>ROUND(+$BR34*'[5]II-F Alloc_Factor'!M$32,2)</f>
        <v>-7910.2399999999998</v>
      </c>
      <c r="CB34" s="423"/>
      <c r="CC34" s="544">
        <v>-2974304.3799999999</v>
      </c>
      <c r="CD34" s="544">
        <f>ROUND(+$CC34*'[5]II-F Alloc_Factor'!E$32,2)</f>
        <v>-273186.85999999999</v>
      </c>
      <c r="CE34" s="544">
        <f>ROUND(+$CC34*'[5]II-F Alloc_Factor'!F$32,2)</f>
        <v>0</v>
      </c>
      <c r="CF34" s="544">
        <f>ROUND(+$CC34*'[5]II-F Alloc_Factor'!G$32,2)</f>
        <v>0</v>
      </c>
      <c r="CG34" s="544">
        <f>SUM(CD34:CF34)</f>
        <v>-273186.85999999999</v>
      </c>
      <c r="CH34" s="544">
        <f>ROUND(+$CC34*'[5]II-F Alloc_Factor'!I$32,2)</f>
        <v>-2586049.02</v>
      </c>
      <c r="CI34" s="544">
        <f>ROUND(+$CC34*'[5]II-F Alloc_Factor'!J$32,2)</f>
        <v>0</v>
      </c>
      <c r="CJ34" s="544">
        <f>SUM(CH34:CI34)</f>
        <v>-2586049.02</v>
      </c>
      <c r="CK34" s="544">
        <f>ROUND(+$CC34*'[5]II-F Alloc_Factor'!L$32,2)</f>
        <v>-91042.520000000004</v>
      </c>
      <c r="CL34" s="544">
        <f>ROUND(+$CC34*'[5]II-F Alloc_Factor'!M$32,2)</f>
        <v>-24025.98</v>
      </c>
      <c r="CM34" s="755"/>
      <c r="CN34" s="544">
        <v>-2671521.23</v>
      </c>
      <c r="CO34" s="544">
        <f>ROUND(+$CN34*'[5]II-F Alloc_Factor'!E$32,2)</f>
        <v>-245376.53</v>
      </c>
      <c r="CP34" s="544">
        <f>ROUND(+$CN34*'[5]II-F Alloc_Factor'!F$32,2)</f>
        <v>0</v>
      </c>
      <c r="CQ34" s="544">
        <f>ROUND(+$CN34*'[5]II-F Alloc_Factor'!G$32,2)</f>
        <v>0</v>
      </c>
      <c r="CR34" s="544">
        <f>ROUND(+$CN34*'[5]II-F Alloc_Factor'!H$32,2)</f>
        <v>-245376.53</v>
      </c>
      <c r="CS34" s="544">
        <f>ROUND(+$CN34*'[5]II-F Alloc_Factor'!I$32,2)</f>
        <v>-2322790.1299999999</v>
      </c>
      <c r="CT34" s="544">
        <f>ROUND(+$CN34*'[5]II-F Alloc_Factor'!J$32,2)</f>
        <v>0</v>
      </c>
      <c r="CU34" s="544">
        <f>ROUND(+$CN34*'[5]II-F Alloc_Factor'!K$32,2)</f>
        <v>-2322790.1299999999</v>
      </c>
      <c r="CV34" s="544">
        <f>ROUND(+$CN34*'[5]II-F Alloc_Factor'!L$32,2)</f>
        <v>-81774.419999999998</v>
      </c>
      <c r="CW34" s="544">
        <f>ROUND(+$CN34*'[5]II-F Alloc_Factor'!M$32,2)</f>
        <v>-21580.139999999999</v>
      </c>
      <c r="CX34" s="423"/>
      <c r="CY34" s="544">
        <v>-2609411.6200000001</v>
      </c>
      <c r="CZ34" s="544">
        <f>ROUND(+$CY34*'[5]II-F Alloc_Factor'!E$32,2)</f>
        <v>-239671.82999999999</v>
      </c>
      <c r="DA34" s="544">
        <f>ROUND(+$CY34*'[5]II-F Alloc_Factor'!F$32,2)</f>
        <v>0</v>
      </c>
      <c r="DB34" s="544">
        <f>ROUND(+$CY34*'[5]II-F Alloc_Factor'!G$32,2)</f>
        <v>0</v>
      </c>
      <c r="DC34" s="544">
        <f>ROUND(+$CY34*'[5]II-F Alloc_Factor'!H$32,2)</f>
        <v>-239671.82999999999</v>
      </c>
      <c r="DD34" s="544">
        <f>ROUND(+$CY34*'[5]II-F Alloc_Factor'!I$32,2)</f>
        <v>-2268788.1000000001</v>
      </c>
      <c r="DE34" s="544">
        <f>ROUND(+$CY34*'[5]II-F Alloc_Factor'!J$32,2)</f>
        <v>0</v>
      </c>
      <c r="DF34" s="544">
        <f>ROUND(+$CY34*'[5]II-F Alloc_Factor'!K$32,2)</f>
        <v>-2268788.1000000001</v>
      </c>
      <c r="DG34" s="544">
        <f>ROUND(+$CY34*'[5]II-F Alloc_Factor'!L$32,2)</f>
        <v>-79873.270000000004</v>
      </c>
      <c r="DH34" s="544">
        <f>ROUND(+$CY34*'[5]II-F Alloc_Factor'!M$32,2)</f>
        <v>-21078.43</v>
      </c>
      <c r="DI34" s="423"/>
      <c r="DJ34" s="544">
        <v>-2475997.3700000001</v>
      </c>
      <c r="DK34" s="544">
        <f>ROUND(+$DJ34*'[5]II-F Alloc_Factor'!E$32,2)</f>
        <v>-227417.85999999999</v>
      </c>
      <c r="DL34" s="544">
        <f>ROUND(+$DJ34*'[5]II-F Alloc_Factor'!F$32,2)</f>
        <v>0</v>
      </c>
      <c r="DM34" s="544">
        <f>ROUND(+$DJ34*'[5]II-F Alloc_Factor'!G$32,2)</f>
        <v>0</v>
      </c>
      <c r="DN34" s="544">
        <f>ROUND(+$DJ34*'[5]II-F Alloc_Factor'!H$32,2)</f>
        <v>-227417.85999999999</v>
      </c>
      <c r="DO34" s="544">
        <f>ROUND(+$DJ34*'[5]II-F Alloc_Factor'!I$32,2)</f>
        <v>-2152789.2799999998</v>
      </c>
      <c r="DP34" s="544">
        <f>ROUND(+$DJ34*'[5]II-F Alloc_Factor'!J$32,2)</f>
        <v>0</v>
      </c>
      <c r="DQ34" s="544">
        <f>ROUND(+$DJ34*'[5]II-F Alloc_Factor'!K$32,2)</f>
        <v>-2152789.2799999998</v>
      </c>
      <c r="DR34" s="544">
        <f>ROUND(+$DJ34*'[5]II-F Alloc_Factor'!L$32,2)</f>
        <v>-75789.5</v>
      </c>
      <c r="DS34" s="544">
        <f>ROUND(+$DJ34*'[5]II-F Alloc_Factor'!M$32,2)</f>
        <v>-20000.73</v>
      </c>
      <c r="DT34" s="423"/>
      <c r="DU34" s="544">
        <v>-2139615.4199999999</v>
      </c>
      <c r="DV34" s="544">
        <f>ROUND(+$DU34*'[5]II-F Alloc_Factor'!E$32,2)</f>
        <v>-196521.51999999999</v>
      </c>
      <c r="DW34" s="544">
        <f>ROUND(+$DU34*'[5]II-F Alloc_Factor'!F$32,2)</f>
        <v>0</v>
      </c>
      <c r="DX34" s="544">
        <f>ROUND(+$DU34*'[5]II-F Alloc_Factor'!G$32,2)</f>
        <v>0</v>
      </c>
      <c r="DY34" s="544">
        <f>ROUND(+$DU34*'[5]II-F Alloc_Factor'!H$32,2)</f>
        <v>-196521.51999999999</v>
      </c>
      <c r="DZ34" s="544">
        <f>ROUND(+$DU34*'[5]II-F Alloc_Factor'!I$32,2)</f>
        <v>-1860317.46</v>
      </c>
      <c r="EA34" s="544">
        <f>ROUND(+$DU34*'[5]II-F Alloc_Factor'!J$32,2)</f>
        <v>0</v>
      </c>
      <c r="EB34" s="544">
        <f>ROUND(+$DU34*'[5]II-F Alloc_Factor'!K$32,2)</f>
        <v>-1860317.46</v>
      </c>
      <c r="EC34" s="544">
        <f>ROUND(+$DU34*'[5]II-F Alloc_Factor'!L$32,2)</f>
        <v>-65492.949999999997</v>
      </c>
      <c r="ED34" s="544">
        <f>ROUND(+$DU34*'[5]II-F Alloc_Factor'!M$32,2)</f>
        <v>-17283.490000000002</v>
      </c>
      <c r="EE34" s="754">
        <f>+'II-E-3.5'!I40+'II-E-3.5a'!DU34</f>
        <v>0</v>
      </c>
      <c r="EF34" s="754">
        <f t="shared" si="19" ref="EF34:EF72">+DY34+EB34+EC34+ED34-DU34</f>
        <v>0</v>
      </c>
      <c r="EH34" s="754"/>
    </row>
    <row r="35" spans="1:138" s="421" customFormat="1" ht="12.75">
      <c r="A35" s="524">
        <f t="shared" si="6"/>
        <v>23</v>
      </c>
      <c r="B35" s="184" t="s">
        <v>445</v>
      </c>
      <c r="C35" s="333" t="s">
        <v>408</v>
      </c>
      <c r="D35" s="674">
        <v>-622790.47999999998</v>
      </c>
      <c r="E35" s="668">
        <f>ROUND(+$D35*'[5]II-F Alloc_Factor'!E$24,2)</f>
        <v>-140371.31</v>
      </c>
      <c r="F35" s="668">
        <f>ROUND(+$D35*'[5]II-F Alloc_Factor'!F$24,2)</f>
        <v>-18527.630000000001</v>
      </c>
      <c r="G35" s="668">
        <f>ROUND(+$D35*'[5]II-F Alloc_Factor'!G$24,2)</f>
        <v>-240.11000000000001</v>
      </c>
      <c r="H35" s="668">
        <f>ROUND(+$D35*'[5]II-F Alloc_Factor'!H$24,2)</f>
        <v>-159139.04000000001</v>
      </c>
      <c r="I35" s="668">
        <f>ROUND(+$D35*'[5]II-F Alloc_Factor'!I$24,2)</f>
        <v>-429078.01000000001</v>
      </c>
      <c r="J35" s="668">
        <f>ROUND(+$D35*'[5]II-F Alloc_Factor'!J$24,2)</f>
        <v>-1421.76</v>
      </c>
      <c r="K35" s="668">
        <f>ROUND(+$D35*'[5]II-F Alloc_Factor'!K$24,2)</f>
        <v>-430499.77000000002</v>
      </c>
      <c r="L35" s="668">
        <f>ROUND(+$D35*'[5]II-F Alloc_Factor'!L$24,2)</f>
        <v>-21968.049999999999</v>
      </c>
      <c r="M35" s="668">
        <f>ROUND(+$D35*'[5]II-F Alloc_Factor'!M$24,2)</f>
        <v>-11183.620000000001</v>
      </c>
      <c r="N35" s="669"/>
      <c r="O35" s="674">
        <v>-745217.26000000001</v>
      </c>
      <c r="P35" s="668">
        <f>ROUND(+$O35*'[5]II-F Alloc_Factor'!E$24,2)</f>
        <v>-167965.19</v>
      </c>
      <c r="Q35" s="668">
        <f>ROUND(+$O35*'[5]II-F Alloc_Factor'!F$24,2)</f>
        <v>-22169.75</v>
      </c>
      <c r="R35" s="668">
        <f>ROUND(+$O35*'[5]II-F Alloc_Factor'!G$24,2)</f>
        <v>-287.31</v>
      </c>
      <c r="S35" s="668">
        <f>ROUND(+$O35*'[5]II-F Alloc_Factor'!H$24,2)</f>
        <v>-190422.23999999999</v>
      </c>
      <c r="T35" s="668">
        <f>ROUND(+$O35*'[5]II-F Alloc_Factor'!I$24,2)</f>
        <v>-513425.21999999997</v>
      </c>
      <c r="U35" s="668">
        <f>ROUND(+$O35*'[5]II-F Alloc_Factor'!J$24,2)</f>
        <v>-1701.25</v>
      </c>
      <c r="V35" s="668">
        <f>ROUND(+$O35*'[5]II-F Alloc_Factor'!K$24,2)</f>
        <v>-515126.46999999997</v>
      </c>
      <c r="W35" s="668">
        <f>ROUND(+$O35*'[5]II-F Alloc_Factor'!L$24,2)</f>
        <v>-26286.48</v>
      </c>
      <c r="X35" s="668">
        <f>ROUND(+$O35*'[5]II-F Alloc_Factor'!M$24,2)</f>
        <v>-13382.07</v>
      </c>
      <c r="Y35" s="673"/>
      <c r="Z35" s="674">
        <v>-913959.98999999999</v>
      </c>
      <c r="AA35" s="668">
        <f>ROUND(+$Z35*'[5]II-F Alloc_Factor'!E$24,2)</f>
        <v>-205998.26999999999</v>
      </c>
      <c r="AB35" s="668">
        <f>ROUND(+$Z35*'[5]II-F Alloc_Factor'!F$24,2)</f>
        <v>-27189.740000000002</v>
      </c>
      <c r="AC35" s="668">
        <f>ROUND(+$Z35*'[5]II-F Alloc_Factor'!G$24,2)</f>
        <v>-352.36000000000001</v>
      </c>
      <c r="AD35" s="668">
        <f>ROUND(+$Z35*'[5]II-F Alloc_Factor'!H$24,2)</f>
        <v>-233540.37</v>
      </c>
      <c r="AE35" s="668">
        <f>ROUND(+$Z35*'[5]II-F Alloc_Factor'!I$24,2)</f>
        <v>-629682.29000000004</v>
      </c>
      <c r="AF35" s="668">
        <f>ROUND(+$Z35*'[5]II-F Alloc_Factor'!J$24,2)</f>
        <v>-2086.4699999999998</v>
      </c>
      <c r="AG35" s="668">
        <f>ROUND(+$Z35*'[5]II-F Alloc_Factor'!K$24,2)</f>
        <v>-631768.76000000001</v>
      </c>
      <c r="AH35" s="668">
        <f>ROUND(+$Z35*'[5]II-F Alloc_Factor'!L$24,2)</f>
        <v>-32238.639999999999</v>
      </c>
      <c r="AI35" s="668">
        <f>ROUND(+$Z35*'[5]II-F Alloc_Factor'!M$24,2)</f>
        <v>-16412.23</v>
      </c>
      <c r="AJ35" s="423"/>
      <c r="AK35" s="674">
        <v>-985956.41999999993</v>
      </c>
      <c r="AL35" s="668">
        <f>ROUND(+$AK35*'[5]II-F Alloc_Factor'!E$24,2)</f>
        <v>-222225.60999999999</v>
      </c>
      <c r="AM35" s="668">
        <f>ROUND(+$AK35*'[5]II-F Alloc_Factor'!F$24,2)</f>
        <v>-29331.580000000002</v>
      </c>
      <c r="AN35" s="668">
        <f>ROUND(+$AK35*'[5]II-F Alloc_Factor'!G$24,2)</f>
        <v>-380.12</v>
      </c>
      <c r="AO35" s="668">
        <f>SUM(AL35:AN35)</f>
        <v>-251937.31</v>
      </c>
      <c r="AP35" s="668">
        <f>ROUND(+$AK35*'[5]II-F Alloc_Factor'!I$24,2)</f>
        <v>-679284.97999999998</v>
      </c>
      <c r="AQ35" s="668">
        <f>ROUND(+$AK35*'[5]II-F Alloc_Factor'!J$24,2)</f>
        <v>-2250.8299999999999</v>
      </c>
      <c r="AR35" s="668">
        <f>SUM(AP35:AQ35)</f>
        <v>-681535.80999999994</v>
      </c>
      <c r="AS35" s="668">
        <f>ROUND(+$AK35*'[5]II-F Alloc_Factor'!L$24,2)</f>
        <v>-34778.209999999999</v>
      </c>
      <c r="AT35" s="668">
        <f>ROUND(+$AK35*'[5]II-F Alloc_Factor'!M$24,2)</f>
        <v>-17705.09</v>
      </c>
      <c r="AU35" s="755"/>
      <c r="AV35" s="674">
        <v>-1025845.4299999999</v>
      </c>
      <c r="AW35" s="668">
        <f>ROUND(+$AV35*'[5]II-F Alloc_Factor'!E$24,2)</f>
        <v>-231216.23000000001</v>
      </c>
      <c r="AX35" s="668">
        <f>ROUND(+$AV35*'[5]II-F Alloc_Factor'!F$24,2)</f>
        <v>-30518.259999999998</v>
      </c>
      <c r="AY35" s="668">
        <f>ROUND(+$AV35*'[5]II-F Alloc_Factor'!G$24,2)</f>
        <v>-395.5</v>
      </c>
      <c r="AZ35" s="668">
        <f>ROUND(+$AV35*'[5]II-F Alloc_Factor'!H$24,2)</f>
        <v>-262129.98000000001</v>
      </c>
      <c r="BA35" s="668">
        <f>ROUND(+$AV35*'[5]II-F Alloc_Factor'!I$24,2)</f>
        <v>-706766.93000000005</v>
      </c>
      <c r="BB35" s="668">
        <f>ROUND(+$AV35*'[5]II-F Alloc_Factor'!J$24,2)</f>
        <v>-2341.8899999999999</v>
      </c>
      <c r="BC35" s="668">
        <f>ROUND(+$AV35*'[5]II-F Alloc_Factor'!K$24,2)</f>
        <v>-709108.81999999995</v>
      </c>
      <c r="BD35" s="668">
        <f>ROUND(+$AV35*'[5]II-F Alloc_Factor'!L$24,2)</f>
        <v>-36185.230000000003</v>
      </c>
      <c r="BE35" s="668">
        <f>ROUND(+$AV35*'[5]II-F Alloc_Factor'!M$24,2)</f>
        <v>-18421.389999999999</v>
      </c>
      <c r="BF35" s="755"/>
      <c r="BG35" s="674">
        <v>-1068641.01</v>
      </c>
      <c r="BH35" s="668">
        <f>ROUND(+$BG35*'[5]II-F Alloc_Factor'!E$24,2)</f>
        <v>-240861.95999999999</v>
      </c>
      <c r="BI35" s="668">
        <f>ROUND(+$BG35*'[5]II-F Alloc_Factor'!F$24,2)</f>
        <v>-31791.400000000001</v>
      </c>
      <c r="BJ35" s="668">
        <f>ROUND(+$BG35*'[5]II-F Alloc_Factor'!G$24,2)</f>
        <v>-412</v>
      </c>
      <c r="BK35" s="668">
        <f>ROUND(+$BG35*'[5]II-F Alloc_Factor'!H$24,2)</f>
        <v>-273065.35999999999</v>
      </c>
      <c r="BL35" s="668">
        <f>ROUND(+$BG35*'[5]II-F Alloc_Factor'!I$24,2)</f>
        <v>-736251.40000000002</v>
      </c>
      <c r="BM35" s="668">
        <f>ROUND(+$BG35*'[5]II-F Alloc_Factor'!J$24,2)</f>
        <v>-2439.5900000000001</v>
      </c>
      <c r="BN35" s="668">
        <f>ROUND(+$BG35*'[5]II-F Alloc_Factor'!K$24,2)</f>
        <v>-738690.97999999998</v>
      </c>
      <c r="BO35" s="668">
        <f>ROUND(+$BG35*'[5]II-F Alloc_Factor'!L$24,2)</f>
        <v>-37694.790000000001</v>
      </c>
      <c r="BP35" s="668">
        <f>ROUND(+$BG35*'[5]II-F Alloc_Factor'!M$24,2)</f>
        <v>-19189.880000000001</v>
      </c>
      <c r="BQ35" s="755"/>
      <c r="BR35" s="674">
        <v>-1069530.0800000001</v>
      </c>
      <c r="BS35" s="668">
        <f>ROUND(+$BR35*'[5]II-F Alloc_Factor'!E$24,2)</f>
        <v>-241062.35000000001</v>
      </c>
      <c r="BT35" s="668">
        <f>ROUND(+$BR35*'[5]II-F Alloc_Factor'!F$24,2)</f>
        <v>-31817.849999999999</v>
      </c>
      <c r="BU35" s="668">
        <f>ROUND(+$BR35*'[5]II-F Alloc_Factor'!G$24,2)</f>
        <v>-412.33999999999998</v>
      </c>
      <c r="BV35" s="668">
        <f>ROUND(+$BR35*'[5]II-F Alloc_Factor'!H$24,2)</f>
        <v>-273292.53999999998</v>
      </c>
      <c r="BW35" s="668">
        <f>ROUND(+$BR35*'[5]II-F Alloc_Factor'!I$24,2)</f>
        <v>-736863.93000000005</v>
      </c>
      <c r="BX35" s="668">
        <f>ROUND(+$BR35*'[5]II-F Alloc_Factor'!J$24,2)</f>
        <v>-2441.6199999999999</v>
      </c>
      <c r="BY35" s="668">
        <f>ROUND(+$BR35*'[5]II-F Alloc_Factor'!K$24,2)</f>
        <v>-739305.54000000004</v>
      </c>
      <c r="BZ35" s="668">
        <f>ROUND(+$BR35*'[5]II-F Alloc_Factor'!L$24,2)</f>
        <v>-37726.150000000001</v>
      </c>
      <c r="CA35" s="668">
        <f>ROUND(+$BR35*'[5]II-F Alloc_Factor'!M$24,2)</f>
        <v>-19205.849999999999</v>
      </c>
      <c r="CB35" s="423"/>
      <c r="CC35" s="674">
        <v>-1080510.1900000002</v>
      </c>
      <c r="CD35" s="668">
        <f>ROUND(+$CC35*'[5]II-F Alloc_Factor'!E$24,2)</f>
        <v>-243537.17000000001</v>
      </c>
      <c r="CE35" s="668">
        <f>ROUND(+$CC35*'[5]II-F Alloc_Factor'!F$24,2)</f>
        <v>-32144.5</v>
      </c>
      <c r="CF35" s="668">
        <f>ROUND(+$CC35*'[5]II-F Alloc_Factor'!G$24,2)</f>
        <v>-416.56999999999999</v>
      </c>
      <c r="CG35" s="668">
        <f>ROUND(+$CC35*'[5]II-F Alloc_Factor'!H$24,2)</f>
        <v>-276098.23999999999</v>
      </c>
      <c r="CH35" s="668">
        <f>ROUND(+$CC35*'[5]II-F Alloc_Factor'!I$24,2)</f>
        <v>-744428.79000000004</v>
      </c>
      <c r="CI35" s="668">
        <f>ROUND(+$CC35*'[5]II-F Alloc_Factor'!J$24,2)</f>
        <v>-2466.6799999999998</v>
      </c>
      <c r="CJ35" s="668">
        <f>ROUND(+$CC35*'[5]II-F Alloc_Factor'!K$24,2)</f>
        <v>-746895.46999999997</v>
      </c>
      <c r="CK35" s="668">
        <f>ROUND(+$CC35*'[5]II-F Alloc_Factor'!L$24,2)</f>
        <v>-38113.459999999999</v>
      </c>
      <c r="CL35" s="668">
        <f>ROUND(+$CC35*'[5]II-F Alloc_Factor'!M$24,2)</f>
        <v>-19403.02</v>
      </c>
      <c r="CM35" s="423"/>
      <c r="CN35" s="674">
        <v>-1079980.0800000001</v>
      </c>
      <c r="CO35" s="668">
        <f>ROUND(+$CN35*'[5]II-F Alloc_Factor'!E$24,2)</f>
        <v>-243417.67999999999</v>
      </c>
      <c r="CP35" s="668">
        <f>ROUND(+$CN35*'[5]II-F Alloc_Factor'!F$24,2)</f>
        <v>-32128.73</v>
      </c>
      <c r="CQ35" s="668">
        <f>ROUND(+$CN35*'[5]II-F Alloc_Factor'!G$24,2)</f>
        <v>-416.37</v>
      </c>
      <c r="CR35" s="668">
        <f>ROUND(+$CN35*'[5]II-F Alloc_Factor'!H$24,2)</f>
        <v>-275962.78000000003</v>
      </c>
      <c r="CS35" s="668">
        <f>ROUND(+$CN35*'[5]II-F Alloc_Factor'!I$24,2)</f>
        <v>-744063.56999999995</v>
      </c>
      <c r="CT35" s="668">
        <f>ROUND(+$CN35*'[5]II-F Alloc_Factor'!J$24,2)</f>
        <v>-2465.4699999999998</v>
      </c>
      <c r="CU35" s="668">
        <f>ROUND(+$CN35*'[5]II-F Alloc_Factor'!K$24,2)</f>
        <v>-746529.04000000004</v>
      </c>
      <c r="CV35" s="668">
        <f>ROUND(+$CN35*'[5]II-F Alloc_Factor'!L$24,2)</f>
        <v>-38094.760000000002</v>
      </c>
      <c r="CW35" s="668">
        <f>ROUND(+$CN35*'[5]II-F Alloc_Factor'!M$24,2)</f>
        <v>-19393.5</v>
      </c>
      <c r="CX35" s="423"/>
      <c r="CY35" s="102">
        <v>-1088986.5700000001</v>
      </c>
      <c r="CZ35" s="668">
        <f>ROUND(+$CY35*'[5]II-F Alloc_Factor'!E$24,2)</f>
        <v>-245447.67000000001</v>
      </c>
      <c r="DA35" s="668">
        <f>ROUND(+$CY35*'[5]II-F Alloc_Factor'!F$24,2)</f>
        <v>-32396.669999999998</v>
      </c>
      <c r="DB35" s="668">
        <f>ROUND(+$CY35*'[5]II-F Alloc_Factor'!G$24,2)</f>
        <v>-419.83999999999998</v>
      </c>
      <c r="DC35" s="668">
        <f>ROUND(+$CY35*'[5]II-F Alloc_Factor'!H$24,2)</f>
        <v>-278264.16999999998</v>
      </c>
      <c r="DD35" s="668">
        <f>ROUND(+$CY35*'[5]II-F Alloc_Factor'!I$24,2)</f>
        <v>-750268.68000000005</v>
      </c>
      <c r="DE35" s="668">
        <f>ROUND(+$CY35*'[5]II-F Alloc_Factor'!J$24,2)</f>
        <v>-2486.0300000000002</v>
      </c>
      <c r="DF35" s="668">
        <f>ROUND(+$CY35*'[5]II-F Alloc_Factor'!K$24,2)</f>
        <v>-752754.70999999996</v>
      </c>
      <c r="DG35" s="668">
        <f>ROUND(+$CY35*'[5]II-F Alloc_Factor'!L$24,2)</f>
        <v>-38412.449999999997</v>
      </c>
      <c r="DH35" s="668">
        <f>ROUND(+$CY35*'[5]II-F Alloc_Factor'!M$24,2)</f>
        <v>-19555.23</v>
      </c>
      <c r="DI35" s="423"/>
      <c r="DJ35" s="674">
        <v>-1096806.5700000001</v>
      </c>
      <c r="DK35" s="668">
        <f>ROUND(+$DJ35*'[5]II-F Alloc_Factor'!E$24,2)</f>
        <v>-247210.22</v>
      </c>
      <c r="DL35" s="668">
        <f>ROUND(+$DJ35*'[5]II-F Alloc_Factor'!F$24,2)</f>
        <v>-32629.310000000001</v>
      </c>
      <c r="DM35" s="668">
        <f>ROUND(+$DJ35*'[5]II-F Alloc_Factor'!G$24,2)</f>
        <v>-422.86000000000001</v>
      </c>
      <c r="DN35" s="668">
        <f>ROUND(+$DJ35*'[5]II-F Alloc_Factor'!H$24,2)</f>
        <v>-280262.39000000001</v>
      </c>
      <c r="DO35" s="668">
        <f>ROUND(+$DJ35*'[5]II-F Alloc_Factor'!I$24,2)</f>
        <v>-755656.34999999998</v>
      </c>
      <c r="DP35" s="668">
        <f>ROUND(+$DJ35*'[5]II-F Alloc_Factor'!J$24,2)</f>
        <v>-2503.8800000000001</v>
      </c>
      <c r="DQ35" s="668">
        <f>ROUND(+$DJ35*'[5]II-F Alloc_Factor'!K$24,2)</f>
        <v>-758160.23999999999</v>
      </c>
      <c r="DR35" s="668">
        <f>ROUND(+$DJ35*'[5]II-F Alloc_Factor'!L$24,2)</f>
        <v>-38688.290000000001</v>
      </c>
      <c r="DS35" s="668">
        <f>ROUND(+$DJ35*'[5]II-F Alloc_Factor'!M$24,2)</f>
        <v>-19695.66</v>
      </c>
      <c r="DT35" s="423"/>
      <c r="DU35" s="674">
        <f>-'II-E-3.5'!I41</f>
        <v>-1799151.02</v>
      </c>
      <c r="DV35" s="668">
        <f>-'II-E-3.5'!O41</f>
        <v>0</v>
      </c>
      <c r="DW35" s="668">
        <f>-'II-E-3.5'!P41</f>
        <v>0</v>
      </c>
      <c r="DX35" s="668">
        <f>-'II-E-3.5'!Q41</f>
        <v>0</v>
      </c>
      <c r="DY35" s="668">
        <f t="shared" si="20" ref="DY35:DY72">SUM(DV35:DX35)</f>
        <v>0</v>
      </c>
      <c r="DZ35" s="668">
        <f>-'II-E-3.5'!S41</f>
        <v>-1782334.3000000001</v>
      </c>
      <c r="EA35" s="668">
        <f>-'II-E-3.5'!T41</f>
        <v>0</v>
      </c>
      <c r="EB35" s="668">
        <f t="shared" si="21" ref="EB35:EB72">SUM(DZ35:EA35)</f>
        <v>-1782334.3000000001</v>
      </c>
      <c r="EC35" s="668">
        <f>-'II-E-3.5'!V41</f>
        <v>-16816.73</v>
      </c>
      <c r="ED35" s="668">
        <f>-'II-E-3.5'!W41+0.01</f>
        <v>0.020000000027503122</v>
      </c>
      <c r="EE35" s="754">
        <f>+'II-E-3.5'!I41+'II-E-3.5a'!DU35</f>
        <v>0</v>
      </c>
      <c r="EF35" s="754">
        <f t="shared" si="19"/>
        <v>0.010000000009313226</v>
      </c>
      <c r="EH35" s="754"/>
    </row>
    <row r="36" spans="1:138" s="423" customFormat="1" ht="12.75">
      <c r="A36" s="524">
        <f t="shared" si="6"/>
        <v>24</v>
      </c>
      <c r="B36" s="184" t="s">
        <v>423</v>
      </c>
      <c r="C36" s="424" t="s">
        <v>408</v>
      </c>
      <c r="D36" s="674">
        <v>-103132424.45</v>
      </c>
      <c r="E36" s="674">
        <v>-4011551.6899999999</v>
      </c>
      <c r="F36" s="674">
        <v>-328375.32000000001</v>
      </c>
      <c r="G36" s="674">
        <v>0</v>
      </c>
      <c r="H36" s="674">
        <f>SUM(E36:G36)</f>
        <v>-4339927.0099999998</v>
      </c>
      <c r="I36" s="674">
        <v>-98792497.439999998</v>
      </c>
      <c r="J36" s="674">
        <v>0</v>
      </c>
      <c r="K36" s="674">
        <f>SUM(I36:J36)</f>
        <v>-98792497.439999998</v>
      </c>
      <c r="L36" s="674">
        <v>0</v>
      </c>
      <c r="M36" s="674">
        <v>0</v>
      </c>
      <c r="N36" s="675"/>
      <c r="O36" s="674">
        <v>-101073687.79000001</v>
      </c>
      <c r="P36" s="674">
        <v>-3982847.7199999997</v>
      </c>
      <c r="Q36" s="676">
        <v>-328375.32000000001</v>
      </c>
      <c r="R36" s="674">
        <v>0</v>
      </c>
      <c r="S36" s="674">
        <f>SUM(P36:R36)</f>
        <v>-4311223.04</v>
      </c>
      <c r="T36" s="674">
        <v>-96762464.75</v>
      </c>
      <c r="U36" s="674">
        <v>0</v>
      </c>
      <c r="V36" s="674">
        <f>SUM(T36:U36)</f>
        <v>-96762464.75</v>
      </c>
      <c r="W36" s="674">
        <v>0</v>
      </c>
      <c r="X36" s="674">
        <v>0</v>
      </c>
      <c r="Y36" s="673"/>
      <c r="Z36" s="674">
        <v>-109603454.14</v>
      </c>
      <c r="AA36" s="668">
        <v>-4050699.4299999997</v>
      </c>
      <c r="AB36" s="674">
        <v>-334217.06</v>
      </c>
      <c r="AC36" s="674">
        <v>0</v>
      </c>
      <c r="AD36" s="674">
        <f>SUM(AA36:AC36)</f>
        <v>-4384916.4899999993</v>
      </c>
      <c r="AE36" s="674">
        <v>-105218537.65000001</v>
      </c>
      <c r="AF36" s="674">
        <v>0</v>
      </c>
      <c r="AG36" s="674">
        <f>SUM(AE36:AF36)</f>
        <v>-105218537.65000001</v>
      </c>
      <c r="AH36" s="674"/>
      <c r="AI36" s="674"/>
      <c r="AK36" s="674">
        <v>-110201434.95999999</v>
      </c>
      <c r="AL36" s="674">
        <v>-4050699.4299999997</v>
      </c>
      <c r="AM36" s="674">
        <v>-334217.06</v>
      </c>
      <c r="AN36" s="674">
        <v>0</v>
      </c>
      <c r="AO36" s="668">
        <f t="shared" si="22" ref="AO36:AO72">SUM(AL36:AN36)</f>
        <v>-4384916.4899999993</v>
      </c>
      <c r="AP36" s="674">
        <v>-105816518.47</v>
      </c>
      <c r="AQ36" s="674">
        <v>0</v>
      </c>
      <c r="AR36" s="668">
        <f t="shared" si="23" ref="AR36:AR72">SUM(AP36:AQ36)</f>
        <v>-105816518.47</v>
      </c>
      <c r="AS36" s="674">
        <v>0</v>
      </c>
      <c r="AT36" s="674">
        <v>0</v>
      </c>
      <c r="AU36" s="755"/>
      <c r="AV36" s="674">
        <v>-110799415.78999999</v>
      </c>
      <c r="AW36" s="674">
        <v>-4050699.4299999997</v>
      </c>
      <c r="AX36" s="674">
        <v>-334217.06</v>
      </c>
      <c r="AY36" s="674">
        <v>0</v>
      </c>
      <c r="AZ36" s="674">
        <f>SUM(AW36:AY36)</f>
        <v>-4384916.4899999993</v>
      </c>
      <c r="BA36" s="674">
        <v>-106414499.3</v>
      </c>
      <c r="BB36" s="674">
        <v>0</v>
      </c>
      <c r="BC36" s="674">
        <f>SUM(BA36:BB36)</f>
        <v>-106414499.3</v>
      </c>
      <c r="BD36" s="674">
        <v>0</v>
      </c>
      <c r="BE36" s="674">
        <v>0</v>
      </c>
      <c r="BF36" s="755"/>
      <c r="BG36" s="674">
        <v>-113924614.30999999</v>
      </c>
      <c r="BH36" s="674">
        <v>-4050699.4299999997</v>
      </c>
      <c r="BI36" s="674">
        <v>-334217.06</v>
      </c>
      <c r="BJ36" s="674">
        <v>0</v>
      </c>
      <c r="BK36" s="674">
        <f>SUM(BH36:BJ36)</f>
        <v>-4384916.4899999993</v>
      </c>
      <c r="BL36" s="674">
        <v>-109539697.81999999</v>
      </c>
      <c r="BM36" s="674">
        <v>0</v>
      </c>
      <c r="BN36" s="674">
        <f>SUM(BL36:BM36)</f>
        <v>-109539697.81999999</v>
      </c>
      <c r="BO36" s="674">
        <v>0</v>
      </c>
      <c r="BP36" s="674">
        <v>0</v>
      </c>
      <c r="BQ36" s="755"/>
      <c r="BR36" s="674">
        <v>-114943798.08999999</v>
      </c>
      <c r="BS36" s="674">
        <v>-4050699.4299999997</v>
      </c>
      <c r="BT36" s="674">
        <v>-334217.06</v>
      </c>
      <c r="BU36" s="674">
        <v>0</v>
      </c>
      <c r="BV36" s="674">
        <f>SUM(BS36:BU36)</f>
        <v>-4384916.4899999993</v>
      </c>
      <c r="BW36" s="674">
        <v>-110558881.59999999</v>
      </c>
      <c r="BX36" s="674">
        <v>0</v>
      </c>
      <c r="BY36" s="674">
        <f>SUM(BW36:BX36)</f>
        <v>-110558881.59999999</v>
      </c>
      <c r="BZ36" s="674">
        <v>0</v>
      </c>
      <c r="CA36" s="674">
        <v>0</v>
      </c>
      <c r="CC36" s="674">
        <v>-115962981.85999998</v>
      </c>
      <c r="CD36" s="674">
        <v>-4050699.4299999997</v>
      </c>
      <c r="CE36" s="674">
        <v>-334217.06</v>
      </c>
      <c r="CF36" s="674">
        <v>0</v>
      </c>
      <c r="CG36" s="674">
        <f>SUM(CD36:CF36)</f>
        <v>-4384916.4899999993</v>
      </c>
      <c r="CH36" s="674">
        <v>-111578065.36999999</v>
      </c>
      <c r="CI36" s="674">
        <v>0</v>
      </c>
      <c r="CJ36" s="674">
        <f>SUM(CH36:CI36)</f>
        <v>-111578065.36999999</v>
      </c>
      <c r="CK36" s="674">
        <v>0</v>
      </c>
      <c r="CL36" s="674">
        <v>0</v>
      </c>
      <c r="CN36" s="674">
        <v>-116988015.50999999</v>
      </c>
      <c r="CO36" s="674">
        <v>-4050699.4299999997</v>
      </c>
      <c r="CP36" s="674">
        <v>-334217.06</v>
      </c>
      <c r="CQ36" s="674">
        <v>0</v>
      </c>
      <c r="CR36" s="674">
        <f>SUM(CO36:CQ36)</f>
        <v>-4384916.4899999993</v>
      </c>
      <c r="CS36" s="674">
        <v>-112603099.02</v>
      </c>
      <c r="CT36" s="674">
        <v>0</v>
      </c>
      <c r="CU36" s="674">
        <f>SUM(CS36:CT36)</f>
        <v>-112603099.02</v>
      </c>
      <c r="CV36" s="674">
        <v>0</v>
      </c>
      <c r="CW36" s="674">
        <v>0</v>
      </c>
      <c r="CY36" s="105">
        <v>-118007849.27</v>
      </c>
      <c r="CZ36" s="674">
        <v>-4050699.4299999997</v>
      </c>
      <c r="DA36" s="674">
        <v>-334217.06</v>
      </c>
      <c r="DB36" s="674">
        <v>0</v>
      </c>
      <c r="DC36" s="674">
        <f>SUM(CZ36:DB36)</f>
        <v>-4384916.4899999993</v>
      </c>
      <c r="DD36" s="674">
        <v>-113622932.78</v>
      </c>
      <c r="DE36" s="674">
        <v>0</v>
      </c>
      <c r="DF36" s="674">
        <f>SUM(DD36:DE36)</f>
        <v>-113622932.78</v>
      </c>
      <c r="DG36" s="674">
        <v>0</v>
      </c>
      <c r="DH36" s="674">
        <v>0</v>
      </c>
      <c r="DJ36" s="674">
        <v>-119027683.02</v>
      </c>
      <c r="DK36" s="674">
        <v>-4050699.4299999997</v>
      </c>
      <c r="DL36" s="674">
        <v>-334217.06</v>
      </c>
      <c r="DM36" s="674">
        <v>0</v>
      </c>
      <c r="DN36" s="674">
        <f>SUM(DK36:DM36)</f>
        <v>-4384916.4899999993</v>
      </c>
      <c r="DO36" s="674">
        <v>-114642766.53</v>
      </c>
      <c r="DP36" s="674">
        <v>0</v>
      </c>
      <c r="DQ36" s="674">
        <f>SUM(DO36:DP36)</f>
        <v>-114642766.53</v>
      </c>
      <c r="DR36" s="674">
        <v>0</v>
      </c>
      <c r="DS36" s="674">
        <v>0</v>
      </c>
      <c r="DU36" s="674">
        <v>-123594587.95999999</v>
      </c>
      <c r="DV36" s="674">
        <v>-4648138.0800000001</v>
      </c>
      <c r="DW36" s="674">
        <v>-767238.04000000004</v>
      </c>
      <c r="DX36" s="674">
        <v>0</v>
      </c>
      <c r="DY36" s="668">
        <f t="shared" si="20"/>
        <v>-5415376.1200000001</v>
      </c>
      <c r="DZ36" s="674">
        <v>-118179211.84</v>
      </c>
      <c r="EA36" s="674">
        <v>0</v>
      </c>
      <c r="EB36" s="668">
        <f t="shared" si="21"/>
        <v>-118179211.84</v>
      </c>
      <c r="EC36" s="674">
        <v>0</v>
      </c>
      <c r="ED36" s="674">
        <v>0</v>
      </c>
      <c r="EE36" s="754">
        <f>+'II-E-3.5'!I42+'II-E-3.5a'!DU36</f>
        <v>0</v>
      </c>
      <c r="EF36" s="754">
        <f t="shared" si="19"/>
        <v>0</v>
      </c>
      <c r="EH36" s="754"/>
    </row>
    <row r="37" spans="1:138" s="423" customFormat="1" ht="12.75">
      <c r="A37" s="524">
        <f t="shared" si="6"/>
        <v>25</v>
      </c>
      <c r="B37" s="184" t="s">
        <v>666</v>
      </c>
      <c r="C37" s="420" t="s">
        <v>775</v>
      </c>
      <c r="D37" s="674">
        <v>-5856940.8099999996</v>
      </c>
      <c r="E37" s="668">
        <f>ROUND(+$D37*'[5]II-F Alloc_Factor'!E$35,2)</f>
        <v>-2620494.46</v>
      </c>
      <c r="F37" s="668">
        <f>ROUND(+$D37*'[5]II-F Alloc_Factor'!F$35,2)</f>
        <v>0</v>
      </c>
      <c r="G37" s="668">
        <f>ROUND(+$D37*'[5]II-F Alloc_Factor'!G$35,2)</f>
        <v>0</v>
      </c>
      <c r="H37" s="668">
        <f>ROUND(+$D37*'[5]II-F Alloc_Factor'!H$35,2)</f>
        <v>-2620494.46</v>
      </c>
      <c r="I37" s="668">
        <f>ROUND(+$D37*'[5]II-F Alloc_Factor'!I$35,2)</f>
        <v>-3058431.5899999999</v>
      </c>
      <c r="J37" s="668">
        <f>ROUND(+$D37*'[5]II-F Alloc_Factor'!J$35,2)</f>
        <v>0</v>
      </c>
      <c r="K37" s="668">
        <f>ROUND(+$D37*'[5]II-F Alloc_Factor'!K$35,2)</f>
        <v>-3058431.5899999999</v>
      </c>
      <c r="L37" s="668">
        <f>ROUND(+$D37*'[5]II-F Alloc_Factor'!L$35,2)</f>
        <v>-142202.79000000001</v>
      </c>
      <c r="M37" s="668">
        <f>ROUND(+$D37*'[5]II-F Alloc_Factor'!M$35,2)</f>
        <v>-35811.980000000003</v>
      </c>
      <c r="N37" s="669"/>
      <c r="O37" s="674">
        <v>-5826667.7399999993</v>
      </c>
      <c r="P37" s="668">
        <f>ROUND(+$O37*'[5]II-F Alloc_Factor'!E$35,2)</f>
        <v>-2606949.77</v>
      </c>
      <c r="Q37" s="668">
        <f>ROUND(+$O37*'[5]II-F Alloc_Factor'!F$35,2)</f>
        <v>0</v>
      </c>
      <c r="R37" s="668">
        <f>ROUND(+$O37*'[5]II-F Alloc_Factor'!G$35,2)</f>
        <v>0</v>
      </c>
      <c r="S37" s="668">
        <f>ROUND(+$O37*'[5]II-F Alloc_Factor'!H$35,2)</f>
        <v>-2606949.77</v>
      </c>
      <c r="T37" s="668">
        <f>ROUND(+$O37*'[5]II-F Alloc_Factor'!I$35,2)</f>
        <v>-3042623.3100000001</v>
      </c>
      <c r="U37" s="668">
        <f>ROUND(+$O37*'[5]II-F Alloc_Factor'!J$35,2)</f>
        <v>0</v>
      </c>
      <c r="V37" s="668">
        <f>ROUND(+$O37*'[5]II-F Alloc_Factor'!K$35,2)</f>
        <v>-3042623.3100000001</v>
      </c>
      <c r="W37" s="668">
        <f>ROUND(+$O37*'[5]II-F Alloc_Factor'!L$35,2)</f>
        <v>-141467.78</v>
      </c>
      <c r="X37" s="668">
        <f>ROUND(+$O37*'[5]II-F Alloc_Factor'!M$35,2)</f>
        <v>-35626.870000000003</v>
      </c>
      <c r="Y37" s="673"/>
      <c r="Z37" s="674">
        <v>-5795899.669999999</v>
      </c>
      <c r="AA37" s="668">
        <f>ROUND(+$Z37*'[5]II-F Alloc_Factor'!E$35,2)</f>
        <v>-2593183.6200000001</v>
      </c>
      <c r="AB37" s="668">
        <f>ROUND(+$Z37*'[5]II-F Alloc_Factor'!F$35,2)</f>
        <v>0</v>
      </c>
      <c r="AC37" s="668">
        <f>ROUND(+$Z37*'[5]II-F Alloc_Factor'!G$35,2)</f>
        <v>0</v>
      </c>
      <c r="AD37" s="668">
        <f>ROUND(+$Z37*'[5]II-F Alloc_Factor'!H$35,2)</f>
        <v>-2593183.6200000001</v>
      </c>
      <c r="AE37" s="668">
        <f>ROUND(+$Z37*'[5]II-F Alloc_Factor'!I$35,2)</f>
        <v>-3026556.5600000001</v>
      </c>
      <c r="AF37" s="668">
        <f>ROUND(+$Z37*'[5]II-F Alloc_Factor'!J$35,2)</f>
        <v>0</v>
      </c>
      <c r="AG37" s="668">
        <f>ROUND(+$Z37*'[5]II-F Alloc_Factor'!K$35,2)</f>
        <v>-3026556.5600000001</v>
      </c>
      <c r="AH37" s="668">
        <f>ROUND(+$Z37*'[5]II-F Alloc_Factor'!L$35,2)</f>
        <v>-140720.75</v>
      </c>
      <c r="AI37" s="668">
        <f>ROUND(+$Z37*'[5]II-F Alloc_Factor'!M$35,2)</f>
        <v>-35438.739999999998</v>
      </c>
      <c r="AK37" s="674">
        <v>-5766900.8699999992</v>
      </c>
      <c r="AL37" s="668">
        <f>ROUND(+$AK37*'[5]II-F Alloc_Factor'!E$35,2)</f>
        <v>-2580209.0600000001</v>
      </c>
      <c r="AM37" s="668">
        <f>ROUND(+$AK37*'[5]II-F Alloc_Factor'!F$35,2)</f>
        <v>0</v>
      </c>
      <c r="AN37" s="668">
        <f>ROUND(+$AK37*'[5]II-F Alloc_Factor'!G$35,2)</f>
        <v>0</v>
      </c>
      <c r="AO37" s="668">
        <f t="shared" si="22"/>
        <v>-2580209.0600000001</v>
      </c>
      <c r="AP37" s="668">
        <f>ROUND(+$AK37*'[5]II-F Alloc_Factor'!I$35,2)</f>
        <v>-3011413.7000000002</v>
      </c>
      <c r="AQ37" s="668">
        <f>ROUND(+$AK37*'[5]II-F Alloc_Factor'!J$35,2)</f>
        <v>0</v>
      </c>
      <c r="AR37" s="668">
        <f t="shared" si="23"/>
        <v>-3011413.7000000002</v>
      </c>
      <c r="AS37" s="668">
        <f>ROUND(+$AK37*'[5]II-F Alloc_Factor'!L$35,2)</f>
        <v>-140016.67999999999</v>
      </c>
      <c r="AT37" s="668">
        <f>ROUND(+$AK37*'[5]II-F Alloc_Factor'!M$35,2)</f>
        <v>-35261.43</v>
      </c>
      <c r="AU37" s="755"/>
      <c r="AV37" s="674">
        <v>-5736822.6199999992</v>
      </c>
      <c r="AW37" s="668">
        <f>ROUND(+$AV37*'[5]II-F Alloc_Factor'!E$35,2)</f>
        <v>-2566751.5499999998</v>
      </c>
      <c r="AX37" s="668">
        <f>ROUND(+$AV37*'[5]II-F Alloc_Factor'!F$35,2)</f>
        <v>0</v>
      </c>
      <c r="AY37" s="668">
        <f>ROUND(+$AV37*'[5]II-F Alloc_Factor'!G$35,2)</f>
        <v>0</v>
      </c>
      <c r="AZ37" s="668">
        <f>ROUND(+$AV37*'[5]II-F Alloc_Factor'!H$35,2)</f>
        <v>-2566751.5499999998</v>
      </c>
      <c r="BA37" s="668">
        <f>ROUND(+$AV37*'[5]II-F Alloc_Factor'!I$35,2)</f>
        <v>-2995707.1600000001</v>
      </c>
      <c r="BB37" s="668">
        <f>ROUND(+$AV37*'[5]II-F Alloc_Factor'!J$35,2)</f>
        <v>0</v>
      </c>
      <c r="BC37" s="668">
        <f>ROUND(+$AV37*'[5]II-F Alloc_Factor'!K$35,2)</f>
        <v>-2995707.1600000001</v>
      </c>
      <c r="BD37" s="668">
        <f>ROUND(+$AV37*'[5]II-F Alloc_Factor'!L$35,2)</f>
        <v>-139286.39999999999</v>
      </c>
      <c r="BE37" s="668">
        <f>ROUND(+$AV37*'[5]II-F Alloc_Factor'!M$35,2)</f>
        <v>-35077.519999999997</v>
      </c>
      <c r="BF37" s="755"/>
      <c r="BG37" s="674">
        <v>-5708058.0899999989</v>
      </c>
      <c r="BH37" s="668">
        <f>ROUND(+$BG37*'[5]II-F Alloc_Factor'!E$35,2)</f>
        <v>-2553881.8100000001</v>
      </c>
      <c r="BI37" s="668">
        <f>ROUND(+$BG37*'[5]II-F Alloc_Factor'!F$35,2)</f>
        <v>0</v>
      </c>
      <c r="BJ37" s="668">
        <f>ROUND(+$BG37*'[5]II-F Alloc_Factor'!G$35,2)</f>
        <v>0</v>
      </c>
      <c r="BK37" s="668">
        <f>ROUND(+$BG37*'[5]II-F Alloc_Factor'!H$35,2)</f>
        <v>-2553881.8100000001</v>
      </c>
      <c r="BL37" s="668">
        <f>ROUND(+$BG37*'[5]II-F Alloc_Factor'!I$35,2)</f>
        <v>-2980686.6299999999</v>
      </c>
      <c r="BM37" s="668">
        <f>ROUND(+$BG37*'[5]II-F Alloc_Factor'!J$35,2)</f>
        <v>0</v>
      </c>
      <c r="BN37" s="668">
        <f>ROUND(+$BG37*'[5]II-F Alloc_Factor'!K$35,2)</f>
        <v>-2980686.6299999999</v>
      </c>
      <c r="BO37" s="668">
        <f>ROUND(+$BG37*'[5]II-F Alloc_Factor'!L$35,2)</f>
        <v>-138588.01000000001</v>
      </c>
      <c r="BP37" s="668">
        <f>ROUND(+$BG37*'[5]II-F Alloc_Factor'!M$35,2)</f>
        <v>-34901.639999999999</v>
      </c>
      <c r="BQ37" s="755"/>
      <c r="BR37" s="674">
        <v>-5678198.7899999991</v>
      </c>
      <c r="BS37" s="668">
        <f>ROUND(+$BR37*'[5]II-F Alloc_Factor'!E$35,2)</f>
        <v>-2540522.25</v>
      </c>
      <c r="BT37" s="668">
        <f>ROUND(+$BR37*'[5]II-F Alloc_Factor'!F$35,2)</f>
        <v>0</v>
      </c>
      <c r="BU37" s="668">
        <f>ROUND(+$BR37*'[5]II-F Alloc_Factor'!G$35,2)</f>
        <v>0</v>
      </c>
      <c r="BV37" s="668">
        <f>ROUND(+$BR37*'[5]II-F Alloc_Factor'!H$35,2)</f>
        <v>-2540522.25</v>
      </c>
      <c r="BW37" s="668">
        <f>ROUND(+$BR37*'[5]II-F Alloc_Factor'!I$35,2)</f>
        <v>-2965094.4199999999</v>
      </c>
      <c r="BX37" s="668">
        <f>ROUND(+$BR37*'[5]II-F Alloc_Factor'!J$35,2)</f>
        <v>0</v>
      </c>
      <c r="BY37" s="668">
        <f>ROUND(+$BR37*'[5]II-F Alloc_Factor'!K$35,2)</f>
        <v>-2965094.4199999999</v>
      </c>
      <c r="BZ37" s="668">
        <f>ROUND(+$BR37*'[5]II-F Alloc_Factor'!L$35,2)</f>
        <v>-137863.04999999999</v>
      </c>
      <c r="CA37" s="668">
        <f>ROUND(+$BR37*'[5]II-F Alloc_Factor'!M$35,2)</f>
        <v>-34719.07</v>
      </c>
      <c r="CC37" s="674">
        <v>-5648339.4899999993</v>
      </c>
      <c r="CD37" s="668">
        <f>ROUND(+$CC37*'[5]II-F Alloc_Factor'!E$35,2)</f>
        <v>-2527162.7000000002</v>
      </c>
      <c r="CE37" s="668">
        <f>ROUND(+$CC37*'[5]II-F Alloc_Factor'!F$35,2)</f>
        <v>0</v>
      </c>
      <c r="CF37" s="668">
        <f>ROUND(+$CC37*'[5]II-F Alloc_Factor'!G$35,2)</f>
        <v>0</v>
      </c>
      <c r="CG37" s="668">
        <f>ROUND(+$CC37*'[5]II-F Alloc_Factor'!H$35,2)</f>
        <v>-2527162.7000000002</v>
      </c>
      <c r="CH37" s="668">
        <f>ROUND(+$CC37*'[5]II-F Alloc_Factor'!I$35,2)</f>
        <v>-2949502.2200000002</v>
      </c>
      <c r="CI37" s="668">
        <f>ROUND(+$CC37*'[5]II-F Alloc_Factor'!J$35,2)</f>
        <v>0</v>
      </c>
      <c r="CJ37" s="668">
        <f>ROUND(+$CC37*'[5]II-F Alloc_Factor'!K$35,2)</f>
        <v>-2949502.2200000002</v>
      </c>
      <c r="CK37" s="668">
        <f>ROUND(+$CC37*'[5]II-F Alloc_Factor'!L$35,2)</f>
        <v>-137138.07999999999</v>
      </c>
      <c r="CL37" s="668">
        <f>ROUND(+$CC37*'[5]II-F Alloc_Factor'!M$35,2)</f>
        <v>-34536.489999999998</v>
      </c>
      <c r="CN37" s="674">
        <v>-5618733.4299999997</v>
      </c>
      <c r="CO37" s="668">
        <f>ROUND(+$CN37*'[5]II-F Alloc_Factor'!E$35,2)</f>
        <v>-2513916.4399999999</v>
      </c>
      <c r="CP37" s="668">
        <f>ROUND(+$CN37*'[5]II-F Alloc_Factor'!F$35,2)</f>
        <v>0</v>
      </c>
      <c r="CQ37" s="668">
        <f>ROUND(+$CN37*'[5]II-F Alloc_Factor'!G$35,2)</f>
        <v>0</v>
      </c>
      <c r="CR37" s="668">
        <f>ROUND(+$CN37*'[5]II-F Alloc_Factor'!H$35,2)</f>
        <v>-2513916.4399999999</v>
      </c>
      <c r="CS37" s="668">
        <f>ROUND(+$CN37*'[5]II-F Alloc_Factor'!I$35,2)</f>
        <v>-2934042.25</v>
      </c>
      <c r="CT37" s="668">
        <f>ROUND(+$CN37*'[5]II-F Alloc_Factor'!J$35,2)</f>
        <v>0</v>
      </c>
      <c r="CU37" s="668">
        <f>ROUND(+$CN37*'[5]II-F Alloc_Factor'!K$35,2)</f>
        <v>-2934042.25</v>
      </c>
      <c r="CV37" s="668">
        <f>ROUND(+$CN37*'[5]II-F Alloc_Factor'!L$35,2)</f>
        <v>-136419.26999999999</v>
      </c>
      <c r="CW37" s="668">
        <f>ROUND(+$CN37*'[5]II-F Alloc_Factor'!M$35,2)</f>
        <v>-34355.470000000001</v>
      </c>
      <c r="CY37" s="105">
        <v>-5588902.2699999996</v>
      </c>
      <c r="CZ37" s="668">
        <f>ROUND(+$CY37*'[5]II-F Alloc_Factor'!E$35,2)</f>
        <v>-2500569.48</v>
      </c>
      <c r="DA37" s="668">
        <f>ROUND(+$CY37*'[5]II-F Alloc_Factor'!F$35,2)</f>
        <v>0</v>
      </c>
      <c r="DB37" s="668">
        <f>ROUND(+$CY37*'[5]II-F Alloc_Factor'!G$35,2)</f>
        <v>0</v>
      </c>
      <c r="DC37" s="668">
        <f>ROUND(+$CY37*'[5]II-F Alloc_Factor'!H$35,2)</f>
        <v>-2500569.48</v>
      </c>
      <c r="DD37" s="668">
        <f>ROUND(+$CY37*'[5]II-F Alloc_Factor'!I$35,2)</f>
        <v>-2918464.7400000002</v>
      </c>
      <c r="DE37" s="668">
        <f>ROUND(+$CY37*'[5]II-F Alloc_Factor'!J$35,2)</f>
        <v>0</v>
      </c>
      <c r="DF37" s="668">
        <f>ROUND(+$CY37*'[5]II-F Alloc_Factor'!K$35,2)</f>
        <v>-2918464.7400000002</v>
      </c>
      <c r="DG37" s="668">
        <f>ROUND(+$CY37*'[5]II-F Alloc_Factor'!L$35,2)</f>
        <v>-135694.98999999999</v>
      </c>
      <c r="DH37" s="668">
        <f>ROUND(+$CY37*'[5]II-F Alloc_Factor'!M$35,2)</f>
        <v>-34173.07</v>
      </c>
      <c r="DJ37" s="674">
        <v>-5559071.0999999996</v>
      </c>
      <c r="DK37" s="668">
        <f>ROUND(+$DJ37*'[5]II-F Alloc_Factor'!E$35,2)</f>
        <v>-2487222.5099999998</v>
      </c>
      <c r="DL37" s="668">
        <f>ROUND(+$DJ37*'[5]II-F Alloc_Factor'!F$35,2)</f>
        <v>0</v>
      </c>
      <c r="DM37" s="668">
        <f>ROUND(+$DJ37*'[5]II-F Alloc_Factor'!G$35,2)</f>
        <v>0</v>
      </c>
      <c r="DN37" s="668">
        <f>ROUND(+$DJ37*'[5]II-F Alloc_Factor'!H$35,2)</f>
        <v>-2487222.5099999998</v>
      </c>
      <c r="DO37" s="668">
        <f>ROUND(+$DJ37*'[5]II-F Alloc_Factor'!I$35,2)</f>
        <v>-2902887.2200000002</v>
      </c>
      <c r="DP37" s="668">
        <f>ROUND(+$DJ37*'[5]II-F Alloc_Factor'!J$35,2)</f>
        <v>0</v>
      </c>
      <c r="DQ37" s="668">
        <f>ROUND(+$DJ37*'[5]II-F Alloc_Factor'!K$35,2)</f>
        <v>-2902887.2200000002</v>
      </c>
      <c r="DR37" s="668">
        <f>ROUND(+$DJ37*'[5]II-F Alloc_Factor'!L$35,2)</f>
        <v>-134970.70000000001</v>
      </c>
      <c r="DS37" s="668">
        <f>ROUND(+$DJ37*'[5]II-F Alloc_Factor'!M$35,2)</f>
        <v>-33990.669999999998</v>
      </c>
      <c r="DU37" s="674">
        <v>-5526274.8399999999</v>
      </c>
      <c r="DV37" s="668">
        <f>ROUND(+$DU37*'[5]II-F Alloc_Factor'!E$35,2)</f>
        <v>-2472548.9100000001</v>
      </c>
      <c r="DW37" s="668">
        <f>ROUND(+$DU37*'[5]II-F Alloc_Factor'!F$35,2)</f>
        <v>0</v>
      </c>
      <c r="DX37" s="668">
        <f>ROUND(+$DU37*'[5]II-F Alloc_Factor'!G$35,2)</f>
        <v>0</v>
      </c>
      <c r="DY37" s="668">
        <f t="shared" si="20"/>
        <v>-2472548.9100000001</v>
      </c>
      <c r="DZ37" s="668">
        <f>ROUND(+$DU37*'[5]II-F Alloc_Factor'!I$35,2)</f>
        <v>-2885761.3700000001</v>
      </c>
      <c r="EA37" s="668">
        <f>ROUND(+$DU37*'[5]II-F Alloc_Factor'!J$35,2)</f>
        <v>0</v>
      </c>
      <c r="EB37" s="668">
        <f t="shared" si="21"/>
        <v>-2885761.3700000001</v>
      </c>
      <c r="EC37" s="668">
        <f>ROUND(+$DU37*'[5]II-F Alloc_Factor'!L$35,2)</f>
        <v>-134174.42999999999</v>
      </c>
      <c r="ED37" s="668">
        <f>ROUND(+$DU37*'[5]II-F Alloc_Factor'!M$35,2)</f>
        <v>-33790.139999999999</v>
      </c>
      <c r="EE37" s="754">
        <f>+'II-E-3.5'!I43+'II-E-3.5a'!DU37</f>
        <v>0</v>
      </c>
      <c r="EF37" s="754">
        <f t="shared" si="19"/>
        <v>-0.0099999997764825821</v>
      </c>
      <c r="EH37" s="754"/>
    </row>
    <row r="38" spans="1:138" s="423" customFormat="1" ht="12.75">
      <c r="A38" s="524">
        <f t="shared" si="6"/>
        <v>26</v>
      </c>
      <c r="B38" s="184" t="s">
        <v>387</v>
      </c>
      <c r="C38" s="424" t="s">
        <v>1122</v>
      </c>
      <c r="D38" s="674">
        <v>-30674530.98</v>
      </c>
      <c r="E38" s="674">
        <v>0</v>
      </c>
      <c r="F38" s="674">
        <v>0</v>
      </c>
      <c r="G38" s="674">
        <v>0</v>
      </c>
      <c r="H38" s="674">
        <f>SUM(E38:G38)</f>
        <v>0</v>
      </c>
      <c r="I38" s="674">
        <v>0</v>
      </c>
      <c r="J38" s="674">
        <v>0</v>
      </c>
      <c r="K38" s="674">
        <f>SUM(I38:J38)</f>
        <v>0</v>
      </c>
      <c r="L38" s="674">
        <f>+D38</f>
        <v>-30674530.98</v>
      </c>
      <c r="M38" s="674">
        <v>0</v>
      </c>
      <c r="N38" s="675"/>
      <c r="O38" s="674">
        <v>-30316206.100000001</v>
      </c>
      <c r="P38" s="674">
        <v>0</v>
      </c>
      <c r="Q38" s="674">
        <v>0</v>
      </c>
      <c r="R38" s="674">
        <v>0</v>
      </c>
      <c r="S38" s="674">
        <f>SUM(P38:R38)</f>
        <v>0</v>
      </c>
      <c r="T38" s="674">
        <v>0</v>
      </c>
      <c r="U38" s="674">
        <v>0</v>
      </c>
      <c r="V38" s="674">
        <f>SUM(T38:U38)</f>
        <v>0</v>
      </c>
      <c r="W38" s="674">
        <f>+O38</f>
        <v>-30316206.100000001</v>
      </c>
      <c r="X38" s="674">
        <v>0</v>
      </c>
      <c r="Y38" s="673"/>
      <c r="Z38" s="674">
        <v>-29957882.93</v>
      </c>
      <c r="AA38" s="674">
        <v>0</v>
      </c>
      <c r="AB38" s="674">
        <v>0</v>
      </c>
      <c r="AC38" s="674">
        <v>0</v>
      </c>
      <c r="AD38" s="674">
        <f>SUM(AA38:AC38)</f>
        <v>0</v>
      </c>
      <c r="AE38" s="674">
        <v>0</v>
      </c>
      <c r="AF38" s="674">
        <v>0</v>
      </c>
      <c r="AG38" s="674">
        <f>SUM(AE38:AF38)</f>
        <v>0</v>
      </c>
      <c r="AH38" s="674">
        <f>+Z38</f>
        <v>-29957882.93</v>
      </c>
      <c r="AI38" s="674">
        <v>0</v>
      </c>
      <c r="AK38" s="674">
        <v>-29599557.75</v>
      </c>
      <c r="AL38" s="674">
        <v>0</v>
      </c>
      <c r="AM38" s="674">
        <v>0</v>
      </c>
      <c r="AN38" s="674">
        <v>0</v>
      </c>
      <c r="AO38" s="668">
        <f t="shared" si="22"/>
        <v>0</v>
      </c>
      <c r="AP38" s="674">
        <v>0</v>
      </c>
      <c r="AQ38" s="674">
        <v>0</v>
      </c>
      <c r="AR38" s="668">
        <f t="shared" si="23"/>
        <v>0</v>
      </c>
      <c r="AS38" s="674">
        <f>+AK38</f>
        <v>-29599557.75</v>
      </c>
      <c r="AT38" s="674">
        <v>0</v>
      </c>
      <c r="AU38" s="755"/>
      <c r="AV38" s="674">
        <v>-29241232.57</v>
      </c>
      <c r="AW38" s="674">
        <v>0</v>
      </c>
      <c r="AX38" s="674">
        <v>0</v>
      </c>
      <c r="AY38" s="674">
        <v>0</v>
      </c>
      <c r="AZ38" s="674">
        <f>SUM(AW38:AY38)</f>
        <v>0</v>
      </c>
      <c r="BA38" s="674">
        <v>0</v>
      </c>
      <c r="BB38" s="674">
        <v>0</v>
      </c>
      <c r="BC38" s="674">
        <f>SUM(BA38:BB38)</f>
        <v>0</v>
      </c>
      <c r="BD38" s="674">
        <f>+AV38</f>
        <v>-29241232.57</v>
      </c>
      <c r="BE38" s="674">
        <v>0</v>
      </c>
      <c r="BF38" s="755"/>
      <c r="BG38" s="674">
        <v>-28882908.09</v>
      </c>
      <c r="BH38" s="674">
        <v>0</v>
      </c>
      <c r="BI38" s="674">
        <v>0</v>
      </c>
      <c r="BJ38" s="674">
        <v>0</v>
      </c>
      <c r="BK38" s="674">
        <f>SUM(BH38:BJ38)</f>
        <v>0</v>
      </c>
      <c r="BL38" s="674">
        <v>0</v>
      </c>
      <c r="BM38" s="674">
        <v>0</v>
      </c>
      <c r="BN38" s="674">
        <f>SUM(BL38:BM38)</f>
        <v>0</v>
      </c>
      <c r="BO38" s="674">
        <f>+BG38</f>
        <v>-28882908.09</v>
      </c>
      <c r="BP38" s="674">
        <v>0</v>
      </c>
      <c r="BQ38" s="755"/>
      <c r="BR38" s="674">
        <v>-28524583.030000001</v>
      </c>
      <c r="BS38" s="674">
        <v>0</v>
      </c>
      <c r="BT38" s="674">
        <v>0</v>
      </c>
      <c r="BU38" s="674">
        <v>0</v>
      </c>
      <c r="BV38" s="674">
        <f>SUM(BS38:BU38)</f>
        <v>0</v>
      </c>
      <c r="BW38" s="674">
        <v>0</v>
      </c>
      <c r="BX38" s="674">
        <v>0</v>
      </c>
      <c r="BY38" s="674">
        <f>SUM(BW38:BX38)</f>
        <v>0</v>
      </c>
      <c r="BZ38" s="674">
        <f>+BR38</f>
        <v>-28524583.030000001</v>
      </c>
      <c r="CA38" s="674">
        <v>0</v>
      </c>
      <c r="CC38" s="674">
        <v>-28166257.970000003</v>
      </c>
      <c r="CD38" s="674">
        <v>0</v>
      </c>
      <c r="CE38" s="674">
        <v>0</v>
      </c>
      <c r="CF38" s="674">
        <v>0</v>
      </c>
      <c r="CG38" s="674">
        <f>SUM(CD38:CF38)</f>
        <v>0</v>
      </c>
      <c r="CH38" s="674">
        <v>0</v>
      </c>
      <c r="CI38" s="674">
        <v>0</v>
      </c>
      <c r="CJ38" s="674">
        <f>SUM(CH38:CI38)</f>
        <v>0</v>
      </c>
      <c r="CK38" s="674">
        <f>+CC38</f>
        <v>-28166257.970000003</v>
      </c>
      <c r="CL38" s="674">
        <v>0</v>
      </c>
      <c r="CN38" s="674">
        <v>-27807933.160000004</v>
      </c>
      <c r="CO38" s="674">
        <v>0</v>
      </c>
      <c r="CP38" s="674">
        <v>0</v>
      </c>
      <c r="CQ38" s="674">
        <v>0</v>
      </c>
      <c r="CR38" s="674">
        <f>SUM(CO38:CQ38)</f>
        <v>0</v>
      </c>
      <c r="CS38" s="674">
        <v>0</v>
      </c>
      <c r="CT38" s="674">
        <v>0</v>
      </c>
      <c r="CU38" s="674">
        <f>SUM(CS38:CT38)</f>
        <v>0</v>
      </c>
      <c r="CV38" s="674">
        <f>+CN38</f>
        <v>-27807933.160000004</v>
      </c>
      <c r="CW38" s="674">
        <v>0</v>
      </c>
      <c r="CY38" s="105">
        <v>-27449608.120000005</v>
      </c>
      <c r="CZ38" s="674">
        <v>0</v>
      </c>
      <c r="DA38" s="674">
        <v>0</v>
      </c>
      <c r="DB38" s="674">
        <v>0</v>
      </c>
      <c r="DC38" s="674">
        <f>SUM(CZ38:DB38)</f>
        <v>0</v>
      </c>
      <c r="DD38" s="674">
        <v>0</v>
      </c>
      <c r="DE38" s="674">
        <v>0</v>
      </c>
      <c r="DF38" s="674">
        <f>SUM(DD38:DE38)</f>
        <v>0</v>
      </c>
      <c r="DG38" s="674">
        <f>+CY38</f>
        <v>-27449608.120000005</v>
      </c>
      <c r="DH38" s="674">
        <v>0</v>
      </c>
      <c r="DJ38" s="674">
        <v>-27091283.090000004</v>
      </c>
      <c r="DK38" s="674">
        <v>0</v>
      </c>
      <c r="DL38" s="674">
        <v>0</v>
      </c>
      <c r="DM38" s="674">
        <v>0</v>
      </c>
      <c r="DN38" s="674">
        <f>SUM(DK38:DM38)</f>
        <v>0</v>
      </c>
      <c r="DO38" s="674">
        <v>0</v>
      </c>
      <c r="DP38" s="674">
        <v>0</v>
      </c>
      <c r="DQ38" s="674">
        <f>SUM(DO38:DP38)</f>
        <v>0</v>
      </c>
      <c r="DR38" s="674">
        <f>+DJ38</f>
        <v>-27091283.090000004</v>
      </c>
      <c r="DS38" s="674">
        <v>0</v>
      </c>
      <c r="DU38" s="674">
        <v>-26732956.090000004</v>
      </c>
      <c r="DV38" s="674">
        <v>0</v>
      </c>
      <c r="DW38" s="674">
        <v>0</v>
      </c>
      <c r="DX38" s="674">
        <v>0</v>
      </c>
      <c r="DY38" s="668">
        <f t="shared" si="20"/>
        <v>0</v>
      </c>
      <c r="DZ38" s="674">
        <v>0</v>
      </c>
      <c r="EA38" s="674">
        <v>0</v>
      </c>
      <c r="EB38" s="668">
        <f t="shared" si="21"/>
        <v>0</v>
      </c>
      <c r="EC38" s="674">
        <f>+DU38</f>
        <v>-26732956.090000004</v>
      </c>
      <c r="ED38" s="674">
        <v>0</v>
      </c>
      <c r="EE38" s="754">
        <f>+'II-E-3.5'!I44+'II-E-3.5a'!DU38</f>
        <v>0</v>
      </c>
      <c r="EF38" s="754">
        <f t="shared" si="19"/>
        <v>0</v>
      </c>
      <c r="EH38" s="754"/>
    </row>
    <row r="39" spans="1:138" s="423" customFormat="1" ht="12.75">
      <c r="A39" s="524">
        <f t="shared" si="6"/>
        <v>27</v>
      </c>
      <c r="B39" s="184" t="s">
        <v>1202</v>
      </c>
      <c r="C39" s="420" t="s">
        <v>407</v>
      </c>
      <c r="D39" s="674">
        <v>-40681863.470000006</v>
      </c>
      <c r="E39" s="668">
        <f>ROUND(+$D39*'[5]II-F Alloc_Factor'!E$27,2)</f>
        <v>-11677209.130000001</v>
      </c>
      <c r="F39" s="668">
        <f>ROUND(+$D39*'[5]II-F Alloc_Factor'!F$27,2)</f>
        <v>0</v>
      </c>
      <c r="G39" s="668">
        <f>ROUND(+$D39*'[5]II-F Alloc_Factor'!G$27,2)</f>
        <v>0</v>
      </c>
      <c r="H39" s="668">
        <f>ROUND(+$D39*'[5]II-F Alloc_Factor'!H$27,2)</f>
        <v>-11677209.130000001</v>
      </c>
      <c r="I39" s="668">
        <f>ROUND(+$D39*'[5]II-F Alloc_Factor'!I$27,2)</f>
        <v>-20141418.620000001</v>
      </c>
      <c r="J39" s="668">
        <f>ROUND(+$D39*'[5]II-F Alloc_Factor'!J$27,2)</f>
        <v>0</v>
      </c>
      <c r="K39" s="668">
        <f>ROUND(+$D39*'[5]II-F Alloc_Factor'!K$27,2)</f>
        <v>-20141418.620000001</v>
      </c>
      <c r="L39" s="668">
        <f>ROUND(+$D39*'[5]II-F Alloc_Factor'!L$27,2)</f>
        <v>-6671721.3700000001</v>
      </c>
      <c r="M39" s="668">
        <f>ROUND(+$D39*'[5]II-F Alloc_Factor'!M$27,2)</f>
        <v>-2191514.3500000001</v>
      </c>
      <c r="N39" s="669"/>
      <c r="O39" s="674">
        <v>-39538981.360000007</v>
      </c>
      <c r="P39" s="668">
        <f>ROUND(+$O39*'[5]II-F Alloc_Factor'!E$27,2)</f>
        <v>-11349159.42</v>
      </c>
      <c r="Q39" s="668">
        <f>ROUND(+$O39*'[5]II-F Alloc_Factor'!F$27,2)</f>
        <v>0</v>
      </c>
      <c r="R39" s="668">
        <f>ROUND(+$O39*'[5]II-F Alloc_Factor'!G$27,2)</f>
        <v>0</v>
      </c>
      <c r="S39" s="668">
        <f>ROUND(+$O39*'[5]II-F Alloc_Factor'!H$27,2)</f>
        <v>-11349159.42</v>
      </c>
      <c r="T39" s="668">
        <f>ROUND(+$O39*'[5]II-F Alloc_Factor'!I$27,2)</f>
        <v>-19575582.510000002</v>
      </c>
      <c r="U39" s="668">
        <f>ROUND(+$O39*'[5]II-F Alloc_Factor'!J$27,2)</f>
        <v>0</v>
      </c>
      <c r="V39" s="668">
        <f>ROUND(+$O39*'[5]II-F Alloc_Factor'!K$27,2)</f>
        <v>-19575582.510000002</v>
      </c>
      <c r="W39" s="668">
        <f>ROUND(+$O39*'[5]II-F Alloc_Factor'!L$27,2)</f>
        <v>-6484291.6299999999</v>
      </c>
      <c r="X39" s="668">
        <f>ROUND(+$O39*'[5]II-F Alloc_Factor'!M$27,2)</f>
        <v>-2129947.79</v>
      </c>
      <c r="Y39" s="673"/>
      <c r="Z39" s="674">
        <v>-38431065.640000008</v>
      </c>
      <c r="AA39" s="668">
        <v>0</v>
      </c>
      <c r="AB39" s="668">
        <v>0</v>
      </c>
      <c r="AC39" s="668">
        <v>0</v>
      </c>
      <c r="AD39" s="668">
        <f>ROUND(+$Z39*'[5]II-F Alloc_Factor'!H$27,2)</f>
        <v>-11031146.369999999</v>
      </c>
      <c r="AE39" s="668">
        <v>0</v>
      </c>
      <c r="AF39" s="668">
        <v>0</v>
      </c>
      <c r="AG39" s="668">
        <f>ROUND(+$Z39*'[5]II-F Alloc_Factor'!K$27,2)</f>
        <v>-19027058.129999999</v>
      </c>
      <c r="AH39" s="668">
        <f>ROUND(+$Z39*'[5]II-F Alloc_Factor'!L$27,2)</f>
        <v>-6302596.2999999998</v>
      </c>
      <c r="AI39" s="668">
        <f>ROUND(+$Z39*'[5]II-F Alloc_Factor'!M$27,2)</f>
        <v>-2070264.8500000001</v>
      </c>
      <c r="AK39" s="674">
        <v>-37317185.99000001</v>
      </c>
      <c r="AL39" s="668">
        <f>ROUND(+$AK39*'[5]II-F Alloc_Factor'!E$27,2)</f>
        <v>-10711421.449999999</v>
      </c>
      <c r="AM39" s="668">
        <f>ROUND(+$AK39*'[5]II-F Alloc_Factor'!F$27,2)</f>
        <v>0</v>
      </c>
      <c r="AN39" s="668">
        <f>ROUND(+$AK39*'[5]II-F Alloc_Factor'!G$27,2)</f>
        <v>0</v>
      </c>
      <c r="AO39" s="668">
        <f t="shared" si="22"/>
        <v>-10711421.449999999</v>
      </c>
      <c r="AP39" s="668">
        <f>ROUND(+$AK39*'[5]II-F Alloc_Factor'!I$27,2)</f>
        <v>-18475581.02</v>
      </c>
      <c r="AQ39" s="668">
        <f>ROUND(+$AK39*'[5]II-F Alloc_Factor'!J$27,2)</f>
        <v>0</v>
      </c>
      <c r="AR39" s="668">
        <f t="shared" si="23"/>
        <v>-18475581.02</v>
      </c>
      <c r="AS39" s="668">
        <f>ROUND(+$AK39*'[5]II-F Alloc_Factor'!L$27,2)</f>
        <v>-6119922.8899999997</v>
      </c>
      <c r="AT39" s="668">
        <f>ROUND(+$AK39*'[5]II-F Alloc_Factor'!M$27,2)</f>
        <v>-2010260.6299999999</v>
      </c>
      <c r="AU39" s="755"/>
      <c r="AV39" s="674">
        <v>-36178864.010000013</v>
      </c>
      <c r="AW39" s="668">
        <f>ROUND(+$AV39*'[5]II-F Alloc_Factor'!E$27,2)</f>
        <v>-10384680.67</v>
      </c>
      <c r="AX39" s="668">
        <f>ROUND(+$AV39*'[5]II-F Alloc_Factor'!F$27,2)</f>
        <v>0</v>
      </c>
      <c r="AY39" s="668">
        <f>ROUND(+$AV39*'[5]II-F Alloc_Factor'!G$27,2)</f>
        <v>0</v>
      </c>
      <c r="AZ39" s="668">
        <f>ROUND(+$AV39*'[5]II-F Alloc_Factor'!H$27,2)</f>
        <v>-10384680.67</v>
      </c>
      <c r="BA39" s="668">
        <f>ROUND(+$AV39*'[5]II-F Alloc_Factor'!I$27,2)</f>
        <v>-17912002.620000001</v>
      </c>
      <c r="BB39" s="668">
        <f>ROUND(+$AV39*'[5]II-F Alloc_Factor'!J$27,2)</f>
        <v>0</v>
      </c>
      <c r="BC39" s="668">
        <f>ROUND(+$AV39*'[5]II-F Alloc_Factor'!K$27,2)</f>
        <v>-17912002.620000001</v>
      </c>
      <c r="BD39" s="668">
        <f>ROUND(+$AV39*'[5]II-F Alloc_Factor'!L$27,2)</f>
        <v>-5933241</v>
      </c>
      <c r="BE39" s="668">
        <f>ROUND(+$AV39*'[5]II-F Alloc_Factor'!M$27,2)</f>
        <v>-1948939.72</v>
      </c>
      <c r="BF39" s="755"/>
      <c r="BG39" s="674">
        <v>-41383187.730000012</v>
      </c>
      <c r="BH39" s="668">
        <f>ROUND(+$BG39*'[5]II-F Alloc_Factor'!E$27,2)</f>
        <v>-11878515.300000001</v>
      </c>
      <c r="BI39" s="668">
        <f>ROUND(+$BG39*'[5]II-F Alloc_Factor'!F$27,2)</f>
        <v>0</v>
      </c>
      <c r="BJ39" s="668">
        <f>ROUND(+$BG39*'[5]II-F Alloc_Factor'!G$27,2)</f>
        <v>0</v>
      </c>
      <c r="BK39" s="668">
        <f>ROUND(+$BG39*'[5]II-F Alloc_Factor'!H$27,2)</f>
        <v>-11878515.300000001</v>
      </c>
      <c r="BL39" s="668">
        <f>ROUND(+$BG39*'[5]II-F Alloc_Factor'!I$27,2)</f>
        <v>-20488641.289999999</v>
      </c>
      <c r="BM39" s="668">
        <f>ROUND(+$BG39*'[5]II-F Alloc_Factor'!J$27,2)</f>
        <v>0</v>
      </c>
      <c r="BN39" s="668">
        <f>ROUND(+$BG39*'[5]II-F Alloc_Factor'!K$27,2)</f>
        <v>-20488641.289999999</v>
      </c>
      <c r="BO39" s="668">
        <f>ROUND(+$BG39*'[5]II-F Alloc_Factor'!L$27,2)</f>
        <v>-6786736.75</v>
      </c>
      <c r="BP39" s="668">
        <f>ROUND(+$BG39*'[5]II-F Alloc_Factor'!M$27,2)</f>
        <v>-2229294.3799999999</v>
      </c>
      <c r="BQ39" s="755"/>
      <c r="BR39" s="674">
        <v>-40590364.330000013</v>
      </c>
      <c r="BS39" s="668">
        <f>ROUND(+$BR39*'[5]II-F Alloc_Factor'!E$27,2)</f>
        <v>-11650945.470000001</v>
      </c>
      <c r="BT39" s="668">
        <f>ROUND(+$BR39*'[5]II-F Alloc_Factor'!F$27,2)</f>
        <v>0</v>
      </c>
      <c r="BU39" s="668">
        <f>ROUND(+$BR39*'[5]II-F Alloc_Factor'!G$27,2)</f>
        <v>0</v>
      </c>
      <c r="BV39" s="668">
        <f>ROUND(+$BR39*'[5]II-F Alloc_Factor'!H$27,2)</f>
        <v>-11650945.470000001</v>
      </c>
      <c r="BW39" s="668">
        <f>ROUND(+$BR39*'[5]II-F Alloc_Factor'!I$27,2)</f>
        <v>-20096117.780000001</v>
      </c>
      <c r="BX39" s="668">
        <f>ROUND(+$BR39*'[5]II-F Alloc_Factor'!J$27,2)</f>
        <v>0</v>
      </c>
      <c r="BY39" s="668">
        <f>ROUND(+$BR39*'[5]II-F Alloc_Factor'!K$27,2)</f>
        <v>-20096117.780000001</v>
      </c>
      <c r="BZ39" s="668">
        <f>ROUND(+$BR39*'[5]II-F Alloc_Factor'!L$27,2)</f>
        <v>-6656715.75</v>
      </c>
      <c r="CA39" s="668">
        <f>ROUND(+$BR39*'[5]II-F Alloc_Factor'!M$27,2)</f>
        <v>-2186585.3300000001</v>
      </c>
      <c r="CC39" s="674">
        <v>-39795175.080000013</v>
      </c>
      <c r="CD39" s="668">
        <f>ROUND(+$CC39*'[5]II-F Alloc_Factor'!E$27,2)</f>
        <v>-11422696.560000001</v>
      </c>
      <c r="CE39" s="668">
        <f>ROUND(+$CC39*'[5]II-F Alloc_Factor'!F$27,2)</f>
        <v>0</v>
      </c>
      <c r="CF39" s="668">
        <f>ROUND(+$CC39*'[5]II-F Alloc_Factor'!G$27,2)</f>
        <v>0</v>
      </c>
      <c r="CG39" s="668">
        <f>ROUND(+$CC39*'[5]II-F Alloc_Factor'!H$27,2)</f>
        <v>-11422696.560000001</v>
      </c>
      <c r="CH39" s="668">
        <f>ROUND(+$CC39*'[5]II-F Alloc_Factor'!I$27,2)</f>
        <v>-19702422.940000001</v>
      </c>
      <c r="CI39" s="668">
        <f>ROUND(+$CC39*'[5]II-F Alloc_Factor'!J$27,2)</f>
        <v>0</v>
      </c>
      <c r="CJ39" s="668">
        <f>ROUND(+$CC39*'[5]II-F Alloc_Factor'!K$27,2)</f>
        <v>-19702422.940000001</v>
      </c>
      <c r="CK39" s="668">
        <f>ROUND(+$CC39*'[5]II-F Alloc_Factor'!L$27,2)</f>
        <v>-6526306.75</v>
      </c>
      <c r="CL39" s="668">
        <f>ROUND(+$CC39*'[5]II-F Alloc_Factor'!M$27,2)</f>
        <v>-2143748.8300000001</v>
      </c>
      <c r="CN39" s="674">
        <v>-39032031.790000014</v>
      </c>
      <c r="CO39" s="668">
        <f>ROUND(+$CN39*'[5]II-F Alloc_Factor'!E$27,2)</f>
        <v>-11203646.029999999</v>
      </c>
      <c r="CP39" s="668">
        <f>ROUND(+$CN39*'[5]II-F Alloc_Factor'!F$27,2)</f>
        <v>0</v>
      </c>
      <c r="CQ39" s="668">
        <f>ROUND(+$CN39*'[5]II-F Alloc_Factor'!G$27,2)</f>
        <v>0</v>
      </c>
      <c r="CR39" s="668">
        <f>ROUND(+$CN39*'[5]II-F Alloc_Factor'!H$27,2)</f>
        <v>-11203646.029999999</v>
      </c>
      <c r="CS39" s="668">
        <f>ROUND(+$CN39*'[5]II-F Alloc_Factor'!I$27,2)</f>
        <v>-19324593.93</v>
      </c>
      <c r="CT39" s="668">
        <f>ROUND(+$CN39*'[5]II-F Alloc_Factor'!J$27,2)</f>
        <v>0</v>
      </c>
      <c r="CU39" s="668">
        <f>ROUND(+$CN39*'[5]II-F Alloc_Factor'!K$27,2)</f>
        <v>-19324593.93</v>
      </c>
      <c r="CV39" s="668">
        <f>ROUND(+$CN39*'[5]II-F Alloc_Factor'!L$27,2)</f>
        <v>-6401153.2000000002</v>
      </c>
      <c r="CW39" s="668">
        <f>ROUND(+$CN39*'[5]II-F Alloc_Factor'!M$27,2)</f>
        <v>-2102638.6299999999</v>
      </c>
      <c r="CY39" s="105">
        <v>-38222436.570000015</v>
      </c>
      <c r="CZ39" s="668">
        <f>ROUND(+$CY39*'[5]II-F Alloc_Factor'!E$27,2)</f>
        <v>-10971262.060000001</v>
      </c>
      <c r="DA39" s="668">
        <f>ROUND(+$CY39*'[5]II-F Alloc_Factor'!F$27,2)</f>
        <v>0</v>
      </c>
      <c r="DB39" s="668">
        <f>ROUND(+$CY39*'[5]II-F Alloc_Factor'!G$27,2)</f>
        <v>0</v>
      </c>
      <c r="DC39" s="668">
        <f>ROUND(+$CY39*'[5]II-F Alloc_Factor'!H$27,2)</f>
        <v>-10971262.060000001</v>
      </c>
      <c r="DD39" s="668">
        <f>ROUND(+$CY39*'[5]II-F Alloc_Factor'!I$27,2)</f>
        <v>-18923766.75</v>
      </c>
      <c r="DE39" s="668">
        <f>ROUND(+$CY39*'[5]II-F Alloc_Factor'!J$27,2)</f>
        <v>0</v>
      </c>
      <c r="DF39" s="668">
        <f>ROUND(+$CY39*'[5]II-F Alloc_Factor'!K$27,2)</f>
        <v>-18923766.75</v>
      </c>
      <c r="DG39" s="668">
        <f>ROUND(+$CY39*'[5]II-F Alloc_Factor'!L$27,2)</f>
        <v>-6268381.6600000001</v>
      </c>
      <c r="DH39" s="668">
        <f>ROUND(+$CY39*'[5]II-F Alloc_Factor'!M$27,2)</f>
        <v>-2059026.0900000001</v>
      </c>
      <c r="DJ39" s="674">
        <v>-37403736.260000013</v>
      </c>
      <c r="DK39" s="668">
        <f>ROUND(+$DJ39*'[5]II-F Alloc_Factor'!E$27,2)</f>
        <v>-10736264.6</v>
      </c>
      <c r="DL39" s="668">
        <f>ROUND(+$DJ39*'[5]II-F Alloc_Factor'!F$27,2)</f>
        <v>0</v>
      </c>
      <c r="DM39" s="668">
        <f>ROUND(+$DJ39*'[5]II-F Alloc_Factor'!G$27,2)</f>
        <v>0</v>
      </c>
      <c r="DN39" s="668">
        <f>ROUND(+$DJ39*'[5]II-F Alloc_Factor'!H$27,2)</f>
        <v>-10736264.6</v>
      </c>
      <c r="DO39" s="668">
        <f>ROUND(+$DJ39*'[5]II-F Alloc_Factor'!I$27,2)</f>
        <v>-18518431.690000001</v>
      </c>
      <c r="DP39" s="668">
        <f>ROUND(+$DJ39*'[5]II-F Alloc_Factor'!J$27,2)</f>
        <v>0</v>
      </c>
      <c r="DQ39" s="668">
        <f>ROUND(+$DJ39*'[5]II-F Alloc_Factor'!K$27,2)</f>
        <v>-18518431.690000001</v>
      </c>
      <c r="DR39" s="668">
        <f>ROUND(+$DJ39*'[5]II-F Alloc_Factor'!L$27,2)</f>
        <v>-6134116.9100000001</v>
      </c>
      <c r="DS39" s="668">
        <f>ROUND(+$DJ39*'[5]II-F Alloc_Factor'!M$27,2)</f>
        <v>-2014923.0600000001</v>
      </c>
      <c r="DU39" s="674">
        <v>-36614252.640000015</v>
      </c>
      <c r="DV39" s="668">
        <f>ROUND(+$DU39*'[5]II-F Alloc_Factor'!E$27,2)</f>
        <v>-10509653.41</v>
      </c>
      <c r="DW39" s="668">
        <f>ROUND(+$DU39*'[5]II-F Alloc_Factor'!F$27,2)</f>
        <v>0</v>
      </c>
      <c r="DX39" s="668">
        <f>ROUND(+$DU39*'[5]II-F Alloc_Factor'!G$27,2)</f>
        <v>0</v>
      </c>
      <c r="DY39" s="668">
        <f t="shared" si="20"/>
        <v>-10509653.41</v>
      </c>
      <c r="DZ39" s="668">
        <f>ROUND(+$DU39*'[5]II-F Alloc_Factor'!I$27,2)</f>
        <v>-18127561.690000001</v>
      </c>
      <c r="EA39" s="668">
        <f>ROUND(+$DU39*'[5]II-F Alloc_Factor'!J$27,2)</f>
        <v>0</v>
      </c>
      <c r="EB39" s="668">
        <f t="shared" si="21"/>
        <v>-18127561.690000001</v>
      </c>
      <c r="EC39" s="668">
        <f>ROUND(+$DU39*'[5]II-F Alloc_Factor'!L$27,2)</f>
        <v>-6004643.6200000001</v>
      </c>
      <c r="ED39" s="668">
        <f>ROUND(+$DU39*'[5]II-F Alloc_Factor'!M$27,2)</f>
        <v>-1972393.9199999999</v>
      </c>
      <c r="EE39" s="754">
        <f>+'II-E-3.5'!I45+'II-E-3.5a'!DU39</f>
        <v>0</v>
      </c>
      <c r="EF39" s="754">
        <f t="shared" si="19"/>
        <v>0</v>
      </c>
      <c r="EH39" s="754"/>
    </row>
    <row r="40" spans="1:138" s="423" customFormat="1" ht="12.75">
      <c r="A40" s="524">
        <f t="shared" si="6"/>
        <v>28</v>
      </c>
      <c r="B40" s="184" t="s">
        <v>1203</v>
      </c>
      <c r="C40" s="424" t="s">
        <v>1122</v>
      </c>
      <c r="D40" s="674">
        <v>-246814.32000000001</v>
      </c>
      <c r="E40" s="674">
        <v>0</v>
      </c>
      <c r="F40" s="674">
        <v>0</v>
      </c>
      <c r="G40" s="674">
        <v>0</v>
      </c>
      <c r="H40" s="674">
        <f>SUM(E40:G40)</f>
        <v>0</v>
      </c>
      <c r="I40" s="674">
        <v>0</v>
      </c>
      <c r="J40" s="674">
        <v>0</v>
      </c>
      <c r="K40" s="674">
        <f t="shared" si="24" ref="K40">SUM(I40:J40)</f>
        <v>0</v>
      </c>
      <c r="L40" s="674">
        <f>+D40</f>
        <v>-246814.32000000001</v>
      </c>
      <c r="M40" s="674">
        <v>0</v>
      </c>
      <c r="N40" s="675"/>
      <c r="O40" s="674">
        <v>-235527.08000000002</v>
      </c>
      <c r="P40" s="674">
        <v>0</v>
      </c>
      <c r="Q40" s="674">
        <v>0</v>
      </c>
      <c r="R40" s="674">
        <v>0</v>
      </c>
      <c r="S40" s="674">
        <f>SUM(P40:R40)</f>
        <v>0</v>
      </c>
      <c r="T40" s="674">
        <v>0</v>
      </c>
      <c r="U40" s="674">
        <v>0</v>
      </c>
      <c r="V40" s="674">
        <f t="shared" si="25" ref="V40">SUM(T40:U40)</f>
        <v>0</v>
      </c>
      <c r="W40" s="674">
        <f>+O40</f>
        <v>-235527.08000000002</v>
      </c>
      <c r="X40" s="674">
        <v>0</v>
      </c>
      <c r="Y40" s="673"/>
      <c r="Z40" s="674">
        <v>-224239.83000000002</v>
      </c>
      <c r="AA40" s="674">
        <v>0</v>
      </c>
      <c r="AB40" s="674">
        <v>0</v>
      </c>
      <c r="AC40" s="674">
        <v>0</v>
      </c>
      <c r="AD40" s="674">
        <f>SUM(AA40:AC40)</f>
        <v>0</v>
      </c>
      <c r="AE40" s="674">
        <v>0</v>
      </c>
      <c r="AF40" s="674">
        <v>0</v>
      </c>
      <c r="AG40" s="674">
        <f t="shared" si="26" ref="AG40">SUM(AE40:AF40)</f>
        <v>0</v>
      </c>
      <c r="AH40" s="674">
        <f>+Z40</f>
        <v>-224239.83000000002</v>
      </c>
      <c r="AI40" s="674">
        <v>0</v>
      </c>
      <c r="AK40" s="674">
        <v>-212952.58000000002</v>
      </c>
      <c r="AL40" s="674">
        <v>0</v>
      </c>
      <c r="AM40" s="674">
        <v>0</v>
      </c>
      <c r="AN40" s="674">
        <v>0</v>
      </c>
      <c r="AO40" s="668">
        <f t="shared" si="22"/>
        <v>0</v>
      </c>
      <c r="AP40" s="674">
        <v>0</v>
      </c>
      <c r="AQ40" s="674">
        <v>0</v>
      </c>
      <c r="AR40" s="668">
        <f t="shared" si="23"/>
        <v>0</v>
      </c>
      <c r="AS40" s="674">
        <f>+AK40</f>
        <v>-212952.58000000002</v>
      </c>
      <c r="AT40" s="674">
        <v>0</v>
      </c>
      <c r="AU40" s="755"/>
      <c r="AV40" s="674">
        <v>-201665.34000000003</v>
      </c>
      <c r="AW40" s="674">
        <v>0</v>
      </c>
      <c r="AX40" s="674">
        <v>0</v>
      </c>
      <c r="AY40" s="674">
        <v>0</v>
      </c>
      <c r="AZ40" s="674">
        <f>SUM(AW40:AY40)</f>
        <v>0</v>
      </c>
      <c r="BA40" s="674">
        <v>0</v>
      </c>
      <c r="BB40" s="674">
        <v>0</v>
      </c>
      <c r="BC40" s="674">
        <f t="shared" si="27" ref="BC40">SUM(BA40:BB40)</f>
        <v>0</v>
      </c>
      <c r="BD40" s="674">
        <f>+AV40</f>
        <v>-201665.34000000003</v>
      </c>
      <c r="BE40" s="674">
        <v>0</v>
      </c>
      <c r="BF40" s="755"/>
      <c r="BG40" s="674">
        <v>-190378.09000000003</v>
      </c>
      <c r="BH40" s="674">
        <v>0</v>
      </c>
      <c r="BI40" s="674">
        <v>0</v>
      </c>
      <c r="BJ40" s="674">
        <v>0</v>
      </c>
      <c r="BK40" s="674">
        <f>SUM(BH40:BJ40)</f>
        <v>0</v>
      </c>
      <c r="BL40" s="674">
        <v>0</v>
      </c>
      <c r="BM40" s="674">
        <v>0</v>
      </c>
      <c r="BN40" s="674">
        <f t="shared" si="28" ref="BN40">SUM(BL40:BM40)</f>
        <v>0</v>
      </c>
      <c r="BO40" s="674">
        <f>+BG40</f>
        <v>-190378.09000000003</v>
      </c>
      <c r="BP40" s="674">
        <v>0</v>
      </c>
      <c r="BQ40" s="755"/>
      <c r="BR40" s="674">
        <v>-179090.85000000004</v>
      </c>
      <c r="BS40" s="674">
        <v>0</v>
      </c>
      <c r="BT40" s="674">
        <v>0</v>
      </c>
      <c r="BU40" s="674">
        <v>0</v>
      </c>
      <c r="BV40" s="674">
        <f>SUM(BS40:BU40)</f>
        <v>0</v>
      </c>
      <c r="BW40" s="674">
        <v>0</v>
      </c>
      <c r="BX40" s="674">
        <v>0</v>
      </c>
      <c r="BY40" s="674">
        <f t="shared" si="29" ref="BY40">SUM(BW40:BX40)</f>
        <v>0</v>
      </c>
      <c r="BZ40" s="674">
        <f>+BR40</f>
        <v>-179090.85000000004</v>
      </c>
      <c r="CA40" s="674">
        <v>0</v>
      </c>
      <c r="CC40" s="674">
        <v>-167803.60000000004</v>
      </c>
      <c r="CD40" s="674">
        <v>0</v>
      </c>
      <c r="CE40" s="674">
        <v>0</v>
      </c>
      <c r="CF40" s="674">
        <v>0</v>
      </c>
      <c r="CG40" s="674">
        <f>SUM(CD40:CF40)</f>
        <v>0</v>
      </c>
      <c r="CH40" s="674">
        <v>0</v>
      </c>
      <c r="CI40" s="674">
        <v>0</v>
      </c>
      <c r="CJ40" s="674">
        <f t="shared" si="30" ref="CJ40">SUM(CH40:CI40)</f>
        <v>0</v>
      </c>
      <c r="CK40" s="674">
        <f>+CC40</f>
        <v>-167803.60000000004</v>
      </c>
      <c r="CL40" s="674">
        <v>0</v>
      </c>
      <c r="CN40" s="674">
        <v>-156516.35000000004</v>
      </c>
      <c r="CO40" s="674">
        <v>0</v>
      </c>
      <c r="CP40" s="674">
        <v>0</v>
      </c>
      <c r="CQ40" s="674">
        <v>0</v>
      </c>
      <c r="CR40" s="674">
        <f>SUM(CO40:CQ40)</f>
        <v>0</v>
      </c>
      <c r="CS40" s="674">
        <v>0</v>
      </c>
      <c r="CT40" s="674">
        <v>0</v>
      </c>
      <c r="CU40" s="674">
        <f t="shared" si="31" ref="CU40">SUM(CS40:CT40)</f>
        <v>0</v>
      </c>
      <c r="CV40" s="674">
        <f>+CN40</f>
        <v>-156516.35000000004</v>
      </c>
      <c r="CW40" s="674">
        <v>0</v>
      </c>
      <c r="CY40" s="105">
        <v>-145229.11000000004</v>
      </c>
      <c r="CZ40" s="674">
        <v>0</v>
      </c>
      <c r="DA40" s="674">
        <v>0</v>
      </c>
      <c r="DB40" s="674">
        <v>0</v>
      </c>
      <c r="DC40" s="674">
        <f>SUM(CZ40:DB40)</f>
        <v>0</v>
      </c>
      <c r="DD40" s="674">
        <v>0</v>
      </c>
      <c r="DE40" s="674">
        <v>0</v>
      </c>
      <c r="DF40" s="674">
        <f t="shared" si="32" ref="DF40">SUM(DD40:DE40)</f>
        <v>0</v>
      </c>
      <c r="DG40" s="674">
        <f>+CY40</f>
        <v>-145229.11000000004</v>
      </c>
      <c r="DH40" s="674">
        <v>0</v>
      </c>
      <c r="DJ40" s="674">
        <v>-133941.86000000004</v>
      </c>
      <c r="DK40" s="674">
        <v>0</v>
      </c>
      <c r="DL40" s="674">
        <v>0</v>
      </c>
      <c r="DM40" s="674">
        <v>0</v>
      </c>
      <c r="DN40" s="674">
        <f>SUM(DK40:DM40)</f>
        <v>0</v>
      </c>
      <c r="DO40" s="674">
        <v>0</v>
      </c>
      <c r="DP40" s="674">
        <v>0</v>
      </c>
      <c r="DQ40" s="674">
        <f t="shared" si="33" ref="DQ40">SUM(DO40:DP40)</f>
        <v>0</v>
      </c>
      <c r="DR40" s="674">
        <f>+DJ40</f>
        <v>-133941.86000000004</v>
      </c>
      <c r="DS40" s="674">
        <v>0</v>
      </c>
      <c r="DU40" s="674">
        <v>-122654.62000000004</v>
      </c>
      <c r="DV40" s="674">
        <v>0</v>
      </c>
      <c r="DW40" s="674">
        <v>0</v>
      </c>
      <c r="DX40" s="674">
        <v>0</v>
      </c>
      <c r="DY40" s="668">
        <f t="shared" si="20"/>
        <v>0</v>
      </c>
      <c r="DZ40" s="674">
        <v>0</v>
      </c>
      <c r="EA40" s="674">
        <v>0</v>
      </c>
      <c r="EB40" s="668">
        <f t="shared" si="21"/>
        <v>0</v>
      </c>
      <c r="EC40" s="674">
        <f>+DU40</f>
        <v>-122654.62000000004</v>
      </c>
      <c r="ED40" s="674">
        <v>0</v>
      </c>
      <c r="EE40" s="754">
        <f>+'II-E-3.5'!I46+'II-E-3.5a'!DU40</f>
        <v>0</v>
      </c>
      <c r="EF40" s="754">
        <f t="shared" si="19"/>
        <v>0</v>
      </c>
      <c r="EH40" s="754"/>
    </row>
    <row r="41" spans="1:138" s="423" customFormat="1" ht="12.75">
      <c r="A41" s="524">
        <f t="shared" si="6"/>
        <v>29</v>
      </c>
      <c r="B41" s="184" t="s">
        <v>1204</v>
      </c>
      <c r="C41" s="424" t="s">
        <v>841</v>
      </c>
      <c r="D41" s="674">
        <v>0</v>
      </c>
      <c r="E41" s="674">
        <v>0</v>
      </c>
      <c r="F41" s="674">
        <v>0</v>
      </c>
      <c r="G41" s="674">
        <v>0</v>
      </c>
      <c r="H41" s="674"/>
      <c r="I41" s="674">
        <f>+D41</f>
        <v>0</v>
      </c>
      <c r="J41" s="674">
        <v>0</v>
      </c>
      <c r="K41" s="674"/>
      <c r="L41" s="674">
        <v>0</v>
      </c>
      <c r="M41" s="674">
        <v>0</v>
      </c>
      <c r="N41" s="675"/>
      <c r="O41" s="674">
        <v>0</v>
      </c>
      <c r="P41" s="674">
        <v>0</v>
      </c>
      <c r="Q41" s="674">
        <v>0</v>
      </c>
      <c r="R41" s="674">
        <v>0</v>
      </c>
      <c r="S41" s="674"/>
      <c r="T41" s="674">
        <f>+O41</f>
        <v>0</v>
      </c>
      <c r="U41" s="674">
        <v>0</v>
      </c>
      <c r="V41" s="674"/>
      <c r="W41" s="674">
        <v>0</v>
      </c>
      <c r="X41" s="674">
        <v>0</v>
      </c>
      <c r="Y41" s="673"/>
      <c r="Z41" s="674">
        <v>0</v>
      </c>
      <c r="AA41" s="674">
        <v>0</v>
      </c>
      <c r="AB41" s="674">
        <v>0</v>
      </c>
      <c r="AC41" s="674">
        <v>0</v>
      </c>
      <c r="AD41" s="674"/>
      <c r="AE41" s="674">
        <f>+Z41</f>
        <v>0</v>
      </c>
      <c r="AF41" s="674">
        <v>0</v>
      </c>
      <c r="AG41" s="674"/>
      <c r="AH41" s="674">
        <v>0</v>
      </c>
      <c r="AI41" s="674">
        <v>0</v>
      </c>
      <c r="AK41" s="674">
        <v>0</v>
      </c>
      <c r="AL41" s="674">
        <v>0</v>
      </c>
      <c r="AM41" s="674">
        <v>0</v>
      </c>
      <c r="AN41" s="674">
        <v>0</v>
      </c>
      <c r="AO41" s="668">
        <f t="shared" si="22"/>
        <v>0</v>
      </c>
      <c r="AP41" s="674">
        <f>+AK41</f>
        <v>0</v>
      </c>
      <c r="AQ41" s="674">
        <v>0</v>
      </c>
      <c r="AR41" s="668">
        <f t="shared" si="23"/>
        <v>0</v>
      </c>
      <c r="AS41" s="674">
        <v>0</v>
      </c>
      <c r="AT41" s="674">
        <v>0</v>
      </c>
      <c r="AU41" s="755"/>
      <c r="AV41" s="674">
        <v>0</v>
      </c>
      <c r="AW41" s="674">
        <v>0</v>
      </c>
      <c r="AX41" s="674">
        <v>0</v>
      </c>
      <c r="AY41" s="674">
        <v>0</v>
      </c>
      <c r="AZ41" s="674"/>
      <c r="BA41" s="674">
        <f>+AV41</f>
        <v>0</v>
      </c>
      <c r="BB41" s="674">
        <v>0</v>
      </c>
      <c r="BC41" s="674"/>
      <c r="BD41" s="674">
        <v>0</v>
      </c>
      <c r="BE41" s="674">
        <v>0</v>
      </c>
      <c r="BF41" s="755"/>
      <c r="BG41" s="674">
        <v>0</v>
      </c>
      <c r="BH41" s="674">
        <v>0</v>
      </c>
      <c r="BI41" s="674">
        <v>0</v>
      </c>
      <c r="BJ41" s="674">
        <v>0</v>
      </c>
      <c r="BK41" s="674"/>
      <c r="BL41" s="674">
        <f>+BG41</f>
        <v>0</v>
      </c>
      <c r="BM41" s="674">
        <v>0</v>
      </c>
      <c r="BN41" s="674"/>
      <c r="BO41" s="674">
        <v>0</v>
      </c>
      <c r="BP41" s="674">
        <v>0</v>
      </c>
      <c r="BQ41" s="755"/>
      <c r="BR41" s="674">
        <v>0</v>
      </c>
      <c r="BS41" s="674">
        <v>0</v>
      </c>
      <c r="BT41" s="674">
        <v>0</v>
      </c>
      <c r="BU41" s="674">
        <v>0</v>
      </c>
      <c r="BV41" s="674"/>
      <c r="BW41" s="674">
        <f>+BR41</f>
        <v>0</v>
      </c>
      <c r="BX41" s="674">
        <v>0</v>
      </c>
      <c r="BY41" s="674"/>
      <c r="BZ41" s="674">
        <v>0</v>
      </c>
      <c r="CA41" s="674">
        <v>0</v>
      </c>
      <c r="CC41" s="674">
        <v>0</v>
      </c>
      <c r="CD41" s="674">
        <v>0</v>
      </c>
      <c r="CE41" s="674">
        <v>0</v>
      </c>
      <c r="CF41" s="674">
        <v>0</v>
      </c>
      <c r="CG41" s="674"/>
      <c r="CH41" s="674">
        <f>+CC41</f>
        <v>0</v>
      </c>
      <c r="CI41" s="674">
        <v>0</v>
      </c>
      <c r="CJ41" s="674"/>
      <c r="CK41" s="674">
        <v>0</v>
      </c>
      <c r="CL41" s="674">
        <v>0</v>
      </c>
      <c r="CN41" s="674">
        <v>0</v>
      </c>
      <c r="CO41" s="674">
        <v>0</v>
      </c>
      <c r="CP41" s="674">
        <v>0</v>
      </c>
      <c r="CQ41" s="674">
        <v>0</v>
      </c>
      <c r="CR41" s="674"/>
      <c r="CS41" s="674">
        <f>+CN41</f>
        <v>0</v>
      </c>
      <c r="CT41" s="674">
        <v>0</v>
      </c>
      <c r="CU41" s="674"/>
      <c r="CV41" s="674">
        <v>0</v>
      </c>
      <c r="CW41" s="674">
        <v>0</v>
      </c>
      <c r="CY41" s="105">
        <v>0</v>
      </c>
      <c r="CZ41" s="674">
        <v>0</v>
      </c>
      <c r="DA41" s="674">
        <v>0</v>
      </c>
      <c r="DB41" s="674">
        <v>0</v>
      </c>
      <c r="DC41" s="674"/>
      <c r="DD41" s="674">
        <f>+CY41</f>
        <v>0</v>
      </c>
      <c r="DE41" s="674">
        <v>0</v>
      </c>
      <c r="DF41" s="674"/>
      <c r="DG41" s="674">
        <v>0</v>
      </c>
      <c r="DH41" s="674">
        <v>0</v>
      </c>
      <c r="DJ41" s="674">
        <v>0</v>
      </c>
      <c r="DK41" s="674">
        <v>0</v>
      </c>
      <c r="DL41" s="674">
        <v>0</v>
      </c>
      <c r="DM41" s="674">
        <v>0</v>
      </c>
      <c r="DN41" s="674"/>
      <c r="DO41" s="674">
        <f>+DJ41</f>
        <v>0</v>
      </c>
      <c r="DP41" s="674">
        <v>0</v>
      </c>
      <c r="DQ41" s="674"/>
      <c r="DR41" s="674">
        <v>0</v>
      </c>
      <c r="DS41" s="674">
        <v>0</v>
      </c>
      <c r="DU41" s="674">
        <v>-5478.4799999999996</v>
      </c>
      <c r="DV41" s="674">
        <v>0</v>
      </c>
      <c r="DW41" s="674">
        <v>0</v>
      </c>
      <c r="DX41" s="674">
        <v>0</v>
      </c>
      <c r="DY41" s="668">
        <f t="shared" si="20"/>
        <v>0</v>
      </c>
      <c r="DZ41" s="674">
        <f>+DU41</f>
        <v>-5478.4799999999996</v>
      </c>
      <c r="EA41" s="674">
        <v>0</v>
      </c>
      <c r="EB41" s="668">
        <f t="shared" si="21"/>
        <v>-5478.4799999999996</v>
      </c>
      <c r="EC41" s="674">
        <v>0</v>
      </c>
      <c r="ED41" s="674">
        <v>0</v>
      </c>
      <c r="EE41" s="754">
        <f>+'II-E-3.5'!I48+'II-E-3.5a'!DU41</f>
        <v>0</v>
      </c>
      <c r="EF41" s="754">
        <f t="shared" si="19"/>
        <v>0</v>
      </c>
      <c r="EH41" s="754"/>
    </row>
    <row r="42" spans="1:138" s="423" customFormat="1" ht="12.75">
      <c r="A42" s="524">
        <f t="shared" si="6"/>
        <v>30</v>
      </c>
      <c r="B42" s="184" t="s">
        <v>176</v>
      </c>
      <c r="C42" s="420" t="s">
        <v>775</v>
      </c>
      <c r="D42" s="674">
        <v>533558.69999999995</v>
      </c>
      <c r="E42" s="668">
        <f>ROUND(+$D42*'[5]II-F Alloc_Factor'!E$35,2)</f>
        <v>238723.19</v>
      </c>
      <c r="F42" s="668">
        <f>ROUND(+$D42*'[5]II-F Alloc_Factor'!F$35,2)</f>
        <v>0</v>
      </c>
      <c r="G42" s="668">
        <f>ROUND(+$D42*'[5]II-F Alloc_Factor'!G$35,2)</f>
        <v>0</v>
      </c>
      <c r="H42" s="668">
        <f>ROUND(+$D42*'[5]II-F Alloc_Factor'!H$35,2)</f>
        <v>238723.19</v>
      </c>
      <c r="I42" s="668">
        <f>ROUND(+$D42*'[5]II-F Alloc_Factor'!I$35,2)</f>
        <v>278618.62</v>
      </c>
      <c r="J42" s="668">
        <f>ROUND(+$D42*'[5]II-F Alloc_Factor'!J$35,2)</f>
        <v>0</v>
      </c>
      <c r="K42" s="668">
        <f>ROUND(+$D42*'[5]II-F Alloc_Factor'!K$35,2)</f>
        <v>278618.62</v>
      </c>
      <c r="L42" s="668">
        <f>ROUND(+$D42*'[5]II-F Alloc_Factor'!L$35,2)</f>
        <v>12954.469999999999</v>
      </c>
      <c r="M42" s="668">
        <f>ROUND(+$D42*'[5]II-F Alloc_Factor'!M$35,2)</f>
        <v>3262.4200000000001</v>
      </c>
      <c r="N42" s="669"/>
      <c r="O42" s="674">
        <v>612175.20999999996</v>
      </c>
      <c r="P42" s="668">
        <f>ROUND(+$O42*'[5]II-F Alloc_Factor'!E$35,2)</f>
        <v>273897.54999999999</v>
      </c>
      <c r="Q42" s="668">
        <f>ROUND(+$O42*'[5]II-F Alloc_Factor'!F$35,2)</f>
        <v>0</v>
      </c>
      <c r="R42" s="668">
        <f>ROUND(+$O42*'[5]II-F Alloc_Factor'!G$35,2)</f>
        <v>0</v>
      </c>
      <c r="S42" s="668">
        <f>ROUND(+$O42*'[5]II-F Alloc_Factor'!H$35,2)</f>
        <v>273897.54999999999</v>
      </c>
      <c r="T42" s="668">
        <f>ROUND(+$O42*'[5]II-F Alloc_Factor'!I$35,2)</f>
        <v>319671.32000000001</v>
      </c>
      <c r="U42" s="668">
        <f>ROUND(+$O42*'[5]II-F Alloc_Factor'!J$35,2)</f>
        <v>0</v>
      </c>
      <c r="V42" s="668">
        <f>ROUND(+$O42*'[5]II-F Alloc_Factor'!K$35,2)</f>
        <v>319671.32000000001</v>
      </c>
      <c r="W42" s="668">
        <f>ROUND(+$O42*'[5]II-F Alloc_Factor'!L$35,2)</f>
        <v>14863.219999999999</v>
      </c>
      <c r="X42" s="668">
        <f>ROUND(+$O42*'[5]II-F Alloc_Factor'!M$35,2)</f>
        <v>3743.1199999999999</v>
      </c>
      <c r="Y42" s="673"/>
      <c r="Z42" s="674">
        <v>690241.78000000003</v>
      </c>
      <c r="AA42" s="668">
        <f>ROUND(+$Z42*'[5]II-F Alloc_Factor'!E$35,2)</f>
        <v>308825.85999999999</v>
      </c>
      <c r="AB42" s="668">
        <f>ROUND(+$Z42*'[5]II-F Alloc_Factor'!F$35,2)</f>
        <v>0</v>
      </c>
      <c r="AC42" s="668">
        <f>ROUND(+$Z42*'[5]II-F Alloc_Factor'!G$35,2)</f>
        <v>0</v>
      </c>
      <c r="AD42" s="668">
        <f>ROUND(+$Z42*'[5]II-F Alloc_Factor'!H$35,2)</f>
        <v>308825.85999999999</v>
      </c>
      <c r="AE42" s="668">
        <f>ROUND(+$Z42*'[5]II-F Alloc_Factor'!I$35,2)</f>
        <v>360436.84000000003</v>
      </c>
      <c r="AF42" s="668">
        <f>ROUND(+$Z42*'[5]II-F Alloc_Factor'!J$35,2)</f>
        <v>0</v>
      </c>
      <c r="AG42" s="668">
        <f>ROUND(+$Z42*'[5]II-F Alloc_Factor'!K$35,2)</f>
        <v>360436.84000000003</v>
      </c>
      <c r="AH42" s="668">
        <f>ROUND(+$Z42*'[5]II-F Alloc_Factor'!L$35,2)</f>
        <v>16758.630000000001</v>
      </c>
      <c r="AI42" s="668">
        <f>ROUND(+$Z42*'[5]II-F Alloc_Factor'!M$35,2)</f>
        <v>4220.4499999999998</v>
      </c>
      <c r="AK42" s="674">
        <v>768308.35999999999</v>
      </c>
      <c r="AL42" s="668">
        <f>ROUND(+$AK42*'[5]II-F Alloc_Factor'!E$35,2)</f>
        <v>343754.16999999998</v>
      </c>
      <c r="AM42" s="668">
        <f>ROUND(+$AK42*'[5]II-F Alloc_Factor'!F$35,2)</f>
        <v>0</v>
      </c>
      <c r="AN42" s="668">
        <f>ROUND(+$AK42*'[5]II-F Alloc_Factor'!G$35,2)</f>
        <v>0</v>
      </c>
      <c r="AO42" s="668">
        <f t="shared" si="22"/>
        <v>343754.16999999998</v>
      </c>
      <c r="AP42" s="668">
        <f>ROUND(+$AK42*'[5]II-F Alloc_Factor'!I$35,2)</f>
        <v>401202.37</v>
      </c>
      <c r="AQ42" s="668">
        <f>ROUND(+$AK42*'[5]II-F Alloc_Factor'!J$35,2)</f>
        <v>0</v>
      </c>
      <c r="AR42" s="668">
        <f t="shared" si="23"/>
        <v>401202.37</v>
      </c>
      <c r="AS42" s="668">
        <f>ROUND(+$AK42*'[5]II-F Alloc_Factor'!L$35,2)</f>
        <v>18654.040000000001</v>
      </c>
      <c r="AT42" s="668">
        <f>ROUND(+$AK42*'[5]II-F Alloc_Factor'!M$35,2)</f>
        <v>4697.7799999999997</v>
      </c>
      <c r="AU42" s="755"/>
      <c r="AV42" s="674">
        <v>846374.91999999993</v>
      </c>
      <c r="AW42" s="668">
        <f>ROUND(+$AV42*'[5]II-F Alloc_Factor'!E$35,2)</f>
        <v>378682.46999999997</v>
      </c>
      <c r="AX42" s="668">
        <f>ROUND(+$AV42*'[5]II-F Alloc_Factor'!F$35,2)</f>
        <v>0</v>
      </c>
      <c r="AY42" s="668">
        <f>ROUND(+$AV42*'[5]II-F Alloc_Factor'!G$35,2)</f>
        <v>0</v>
      </c>
      <c r="AZ42" s="668">
        <f>ROUND(+$AV42*'[5]II-F Alloc_Factor'!H$35,2)</f>
        <v>378682.46999999997</v>
      </c>
      <c r="BA42" s="668">
        <f>ROUND(+$AV42*'[5]II-F Alloc_Factor'!I$35,2)</f>
        <v>441967.89000000001</v>
      </c>
      <c r="BB42" s="668">
        <f>ROUND(+$AV42*'[5]II-F Alloc_Factor'!J$35,2)</f>
        <v>0</v>
      </c>
      <c r="BC42" s="668">
        <f>ROUND(+$AV42*'[5]II-F Alloc_Factor'!K$35,2)</f>
        <v>441967.89000000001</v>
      </c>
      <c r="BD42" s="668">
        <f>ROUND(+$AV42*'[5]II-F Alloc_Factor'!L$35,2)</f>
        <v>20549.439999999999</v>
      </c>
      <c r="BE42" s="668">
        <f>ROUND(+$AV42*'[5]II-F Alloc_Factor'!M$35,2)</f>
        <v>5175.1199999999999</v>
      </c>
      <c r="BF42" s="755"/>
      <c r="BG42" s="674">
        <v>924441.49999999988</v>
      </c>
      <c r="BH42" s="668">
        <f>ROUND(+$BG42*'[5]II-F Alloc_Factor'!E$35,2)</f>
        <v>413610.77000000002</v>
      </c>
      <c r="BI42" s="668">
        <f>ROUND(+$BG42*'[5]II-F Alloc_Factor'!F$35,2)</f>
        <v>0</v>
      </c>
      <c r="BJ42" s="668">
        <f>ROUND(+$BG42*'[5]II-F Alloc_Factor'!G$35,2)</f>
        <v>0</v>
      </c>
      <c r="BK42" s="668">
        <f>ROUND(+$BG42*'[5]II-F Alloc_Factor'!H$35,2)</f>
        <v>413610.77000000002</v>
      </c>
      <c r="BL42" s="668">
        <f>ROUND(+$BG42*'[5]II-F Alloc_Factor'!I$35,2)</f>
        <v>482733.41999999998</v>
      </c>
      <c r="BM42" s="668">
        <f>ROUND(+$BG42*'[5]II-F Alloc_Factor'!J$35,2)</f>
        <v>0</v>
      </c>
      <c r="BN42" s="668">
        <f>ROUND(+$BG42*'[5]II-F Alloc_Factor'!K$35,2)</f>
        <v>482733.41999999998</v>
      </c>
      <c r="BO42" s="668">
        <f>ROUND(+$BG42*'[5]II-F Alloc_Factor'!L$35,2)</f>
        <v>22444.849999999999</v>
      </c>
      <c r="BP42" s="668">
        <f>ROUND(+$BG42*'[5]II-F Alloc_Factor'!M$35,2)</f>
        <v>5652.4499999999998</v>
      </c>
      <c r="BQ42" s="755"/>
      <c r="BR42" s="674">
        <v>1002508.0699999998</v>
      </c>
      <c r="BS42" s="668">
        <f>ROUND(+$BR42*'[5]II-F Alloc_Factor'!E$35,2)</f>
        <v>448539.08000000002</v>
      </c>
      <c r="BT42" s="668">
        <f>ROUND(+$BR42*'[5]II-F Alloc_Factor'!F$35,2)</f>
        <v>0</v>
      </c>
      <c r="BU42" s="668">
        <f>ROUND(+$BR42*'[5]II-F Alloc_Factor'!G$35,2)</f>
        <v>0</v>
      </c>
      <c r="BV42" s="668">
        <f>ROUND(+$BR42*'[5]II-F Alloc_Factor'!H$35,2)</f>
        <v>448539.08000000002</v>
      </c>
      <c r="BW42" s="668">
        <f>ROUND(+$BR42*'[5]II-F Alloc_Factor'!I$35,2)</f>
        <v>523498.95000000001</v>
      </c>
      <c r="BX42" s="668">
        <f>ROUND(+$BR42*'[5]II-F Alloc_Factor'!J$35,2)</f>
        <v>0</v>
      </c>
      <c r="BY42" s="668">
        <f>ROUND(+$BR42*'[5]II-F Alloc_Factor'!K$35,2)</f>
        <v>523498.95000000001</v>
      </c>
      <c r="BZ42" s="668">
        <f>ROUND(+$BR42*'[5]II-F Alloc_Factor'!L$35,2)</f>
        <v>24340.259999999998</v>
      </c>
      <c r="CA42" s="668">
        <f>ROUND(+$BR42*'[5]II-F Alloc_Factor'!M$35,2)</f>
        <v>6129.79</v>
      </c>
      <c r="CC42" s="674">
        <v>1080574.6499999999</v>
      </c>
      <c r="CD42" s="668">
        <f>ROUND(+$CC42*'[5]II-F Alloc_Factor'!E$35,2)</f>
        <v>483467.39000000001</v>
      </c>
      <c r="CE42" s="668">
        <f>ROUND(+$CC42*'[5]II-F Alloc_Factor'!F$35,2)</f>
        <v>0</v>
      </c>
      <c r="CF42" s="668">
        <f>ROUND(+$CC42*'[5]II-F Alloc_Factor'!G$35,2)</f>
        <v>0</v>
      </c>
      <c r="CG42" s="668">
        <f>ROUND(+$CC42*'[5]II-F Alloc_Factor'!H$35,2)</f>
        <v>483467.39000000001</v>
      </c>
      <c r="CH42" s="668">
        <f>ROUND(+$CC42*'[5]II-F Alloc_Factor'!I$35,2)</f>
        <v>564264.47999999998</v>
      </c>
      <c r="CI42" s="668">
        <f>ROUND(+$CC42*'[5]II-F Alloc_Factor'!J$35,2)</f>
        <v>0</v>
      </c>
      <c r="CJ42" s="668">
        <f>ROUND(+$CC42*'[5]II-F Alloc_Factor'!K$35,2)</f>
        <v>564264.47999999998</v>
      </c>
      <c r="CK42" s="668">
        <f>ROUND(+$CC42*'[5]II-F Alloc_Factor'!L$35,2)</f>
        <v>26235.66</v>
      </c>
      <c r="CL42" s="668">
        <f>ROUND(+$CC42*'[5]II-F Alloc_Factor'!M$35,2)</f>
        <v>6607.1199999999999</v>
      </c>
      <c r="CN42" s="674">
        <v>1158641.22</v>
      </c>
      <c r="CO42" s="668">
        <f>ROUND(+$CN42*'[5]II-F Alloc_Factor'!E$35,2)</f>
        <v>518395.69</v>
      </c>
      <c r="CP42" s="668">
        <f>ROUND(+$CN42*'[5]II-F Alloc_Factor'!F$35,2)</f>
        <v>0</v>
      </c>
      <c r="CQ42" s="668">
        <f>ROUND(+$CN42*'[5]II-F Alloc_Factor'!G$35,2)</f>
        <v>0</v>
      </c>
      <c r="CR42" s="668">
        <f>ROUND(+$CN42*'[5]II-F Alloc_Factor'!H$35,2)</f>
        <v>518395.69</v>
      </c>
      <c r="CS42" s="668">
        <f>ROUND(+$CN42*'[5]II-F Alloc_Factor'!I$35,2)</f>
        <v>605030</v>
      </c>
      <c r="CT42" s="668">
        <f>ROUND(+$CN42*'[5]II-F Alloc_Factor'!J$35,2)</f>
        <v>0</v>
      </c>
      <c r="CU42" s="668">
        <f>ROUND(+$CN42*'[5]II-F Alloc_Factor'!K$35,2)</f>
        <v>605030</v>
      </c>
      <c r="CV42" s="668">
        <f>ROUND(+$CN42*'[5]II-F Alloc_Factor'!L$35,2)</f>
        <v>28131.07</v>
      </c>
      <c r="CW42" s="668">
        <f>ROUND(+$CN42*'[5]II-F Alloc_Factor'!M$35,2)</f>
        <v>7084.4499999999998</v>
      </c>
      <c r="CY42" s="105">
        <v>1236707.8000000001</v>
      </c>
      <c r="CZ42" s="668">
        <f>ROUND(+$CY42*'[5]II-F Alloc_Factor'!E$35,2)</f>
        <v>553324</v>
      </c>
      <c r="DA42" s="668">
        <f>ROUND(+$CY42*'[5]II-F Alloc_Factor'!F$35,2)</f>
        <v>0</v>
      </c>
      <c r="DB42" s="668">
        <f>ROUND(+$CY42*'[5]II-F Alloc_Factor'!G$35,2)</f>
        <v>0</v>
      </c>
      <c r="DC42" s="668">
        <f>ROUND(+$CY42*'[5]II-F Alloc_Factor'!H$35,2)</f>
        <v>553324</v>
      </c>
      <c r="DD42" s="668">
        <f>ROUND(+$CY42*'[5]II-F Alloc_Factor'!I$35,2)</f>
        <v>645795.53000000003</v>
      </c>
      <c r="DE42" s="668">
        <f>ROUND(+$CY42*'[5]II-F Alloc_Factor'!J$35,2)</f>
        <v>0</v>
      </c>
      <c r="DF42" s="668">
        <f>ROUND(+$CY42*'[5]II-F Alloc_Factor'!K$35,2)</f>
        <v>645795.53000000003</v>
      </c>
      <c r="DG42" s="668">
        <f>ROUND(+$CY42*'[5]II-F Alloc_Factor'!L$35,2)</f>
        <v>30026.48</v>
      </c>
      <c r="DH42" s="668">
        <f>ROUND(+$CY42*'[5]II-F Alloc_Factor'!M$35,2)</f>
        <v>7561.79</v>
      </c>
      <c r="DJ42" s="674">
        <v>1314774.3700000001</v>
      </c>
      <c r="DK42" s="668">
        <f>ROUND(+$DJ42*'[5]II-F Alloc_Factor'!E$35,2)</f>
        <v>588252.31000000006</v>
      </c>
      <c r="DL42" s="668">
        <f>ROUND(+$DJ42*'[5]II-F Alloc_Factor'!F$35,2)</f>
        <v>0</v>
      </c>
      <c r="DM42" s="668">
        <f>ROUND(+$DJ42*'[5]II-F Alloc_Factor'!G$35,2)</f>
        <v>0</v>
      </c>
      <c r="DN42" s="668">
        <f>ROUND(+$DJ42*'[5]II-F Alloc_Factor'!H$35,2)</f>
        <v>588252.31000000006</v>
      </c>
      <c r="DO42" s="668">
        <f>ROUND(+$DJ42*'[5]II-F Alloc_Factor'!I$35,2)</f>
        <v>686561.06000000006</v>
      </c>
      <c r="DP42" s="668">
        <f>ROUND(+$DJ42*'[5]II-F Alloc_Factor'!J$35,2)</f>
        <v>0</v>
      </c>
      <c r="DQ42" s="668">
        <f>ROUND(+$DJ42*'[5]II-F Alloc_Factor'!K$35,2)</f>
        <v>686561.06000000006</v>
      </c>
      <c r="DR42" s="668">
        <f>ROUND(+$DJ42*'[5]II-F Alloc_Factor'!L$35,2)</f>
        <v>31921.880000000001</v>
      </c>
      <c r="DS42" s="668">
        <f>ROUND(+$DJ42*'[5]II-F Alloc_Factor'!M$35,2)</f>
        <v>8039.1199999999999</v>
      </c>
      <c r="DU42" s="674">
        <v>1392840.9500000002</v>
      </c>
      <c r="DV42" s="668">
        <f>ROUND(+$DU42*'[5]II-F Alloc_Factor'!E$35,2)</f>
        <v>623180.62</v>
      </c>
      <c r="DW42" s="668">
        <f>ROUND(+$DU42*'[5]II-F Alloc_Factor'!F$35,2)</f>
        <v>0</v>
      </c>
      <c r="DX42" s="668">
        <f>ROUND(+$DU42*'[5]II-F Alloc_Factor'!G$35,2)</f>
        <v>0</v>
      </c>
      <c r="DY42" s="668">
        <f t="shared" si="20"/>
        <v>623180.62</v>
      </c>
      <c r="DZ42" s="668">
        <f>ROUND(+$DU42*'[5]II-F Alloc_Factor'!I$35,2)</f>
        <v>727326.57999999996</v>
      </c>
      <c r="EA42" s="668">
        <f>ROUND(+$DU42*'[5]II-F Alloc_Factor'!J$35,2)</f>
        <v>0</v>
      </c>
      <c r="EB42" s="668">
        <f t="shared" si="21"/>
        <v>727326.57999999996</v>
      </c>
      <c r="EC42" s="668">
        <f>ROUND(+$DU42*'[5]II-F Alloc_Factor'!L$35,2)</f>
        <v>33817.290000000001</v>
      </c>
      <c r="ED42" s="668">
        <f>ROUND(+$DU42*'[5]II-F Alloc_Factor'!M$35,2)</f>
        <v>8516.4599999999991</v>
      </c>
      <c r="EE42" s="754">
        <f>+'II-E-3.5'!I49+'II-E-3.5a'!DU42</f>
        <v>0</v>
      </c>
      <c r="EF42" s="754">
        <f t="shared" si="19"/>
        <v>0</v>
      </c>
      <c r="EH42" s="754"/>
    </row>
    <row r="43" spans="1:138" s="423" customFormat="1" ht="12.75">
      <c r="A43" s="524">
        <f t="shared" si="6"/>
        <v>31</v>
      </c>
      <c r="B43" s="184" t="s">
        <v>558</v>
      </c>
      <c r="C43" s="424" t="s">
        <v>775</v>
      </c>
      <c r="D43" s="674">
        <v>-5806326.4199999999</v>
      </c>
      <c r="E43" s="668">
        <f>ROUND(+$D43*'[5]II-F Alloc_Factor'!E$35,2)</f>
        <v>-2597848.7200000002</v>
      </c>
      <c r="F43" s="668">
        <f>ROUND(+$D43*'[5]II-F Alloc_Factor'!F$35,2)</f>
        <v>0</v>
      </c>
      <c r="G43" s="668">
        <f>ROUND(+$D43*'[5]II-F Alloc_Factor'!G$35,2)</f>
        <v>0</v>
      </c>
      <c r="H43" s="668">
        <f>ROUND(+$D43*'[5]II-F Alloc_Factor'!H$35,2)</f>
        <v>-2597848.7200000002</v>
      </c>
      <c r="I43" s="668">
        <f>ROUND(+$D43*'[5]II-F Alloc_Factor'!I$35,2)</f>
        <v>-3032001.2999999998</v>
      </c>
      <c r="J43" s="668">
        <f>ROUND(+$D43*'[5]II-F Alloc_Factor'!J$35,2)</f>
        <v>0</v>
      </c>
      <c r="K43" s="668">
        <f>ROUND(+$D43*'[5]II-F Alloc_Factor'!K$35,2)</f>
        <v>-3032001.2999999998</v>
      </c>
      <c r="L43" s="668">
        <f>ROUND(+$D43*'[5]II-F Alloc_Factor'!L$35,2)</f>
        <v>-140973.91</v>
      </c>
      <c r="M43" s="668">
        <f>ROUND(+$D43*'[5]II-F Alloc_Factor'!M$35,2)</f>
        <v>-35502.5</v>
      </c>
      <c r="N43" s="669"/>
      <c r="O43" s="674">
        <v>-5791046.6100000003</v>
      </c>
      <c r="P43" s="668">
        <f>ROUND(+$O43*'[5]II-F Alloc_Factor'!E$35,2)</f>
        <v>-2591012.2799999998</v>
      </c>
      <c r="Q43" s="668">
        <f>ROUND(+$O43*'[5]II-F Alloc_Factor'!F$35,2)</f>
        <v>0</v>
      </c>
      <c r="R43" s="668">
        <f>ROUND(+$O43*'[5]II-F Alloc_Factor'!G$35,2)</f>
        <v>0</v>
      </c>
      <c r="S43" s="668">
        <f>ROUND(+$O43*'[5]II-F Alloc_Factor'!H$35,2)</f>
        <v>-2591012.2799999998</v>
      </c>
      <c r="T43" s="668">
        <f>ROUND(+$O43*'[5]II-F Alloc_Factor'!I$35,2)</f>
        <v>-3024022.3399999999</v>
      </c>
      <c r="U43" s="668">
        <f>ROUND(+$O43*'[5]II-F Alloc_Factor'!J$35,2)</f>
        <v>0</v>
      </c>
      <c r="V43" s="668">
        <f>ROUND(+$O43*'[5]II-F Alloc_Factor'!K$35,2)</f>
        <v>-3024022.3399999999</v>
      </c>
      <c r="W43" s="668">
        <f>ROUND(+$O43*'[5]II-F Alloc_Factor'!L$35,2)</f>
        <v>-140602.92000000001</v>
      </c>
      <c r="X43" s="668">
        <f>ROUND(+$O43*'[5]II-F Alloc_Factor'!M$35,2)</f>
        <v>-35409.07</v>
      </c>
      <c r="Y43" s="673"/>
      <c r="Z43" s="674">
        <v>-5775766.8000000007</v>
      </c>
      <c r="AA43" s="668">
        <f>ROUND(+$Z43*'[5]II-F Alloc_Factor'!E$35,2)</f>
        <v>-2584175.8300000001</v>
      </c>
      <c r="AB43" s="668">
        <f>ROUND(+$Z43*'[5]II-F Alloc_Factor'!F$35,2)</f>
        <v>0</v>
      </c>
      <c r="AC43" s="668">
        <f>ROUND(+$Z43*'[5]II-F Alloc_Factor'!G$35,2)</f>
        <v>0</v>
      </c>
      <c r="AD43" s="668">
        <f>ROUND(+$Z43*'[5]II-F Alloc_Factor'!H$35,2)</f>
        <v>-2584175.8300000001</v>
      </c>
      <c r="AE43" s="668">
        <f>ROUND(+$Z43*'[5]II-F Alloc_Factor'!I$35,2)</f>
        <v>-3016043.3900000001</v>
      </c>
      <c r="AF43" s="668">
        <f>ROUND(+$Z43*'[5]II-F Alloc_Factor'!J$35,2)</f>
        <v>0</v>
      </c>
      <c r="AG43" s="668">
        <f>ROUND(+$Z43*'[5]II-F Alloc_Factor'!K$35,2)</f>
        <v>-3016043.3900000001</v>
      </c>
      <c r="AH43" s="668">
        <f>ROUND(+$Z43*'[5]II-F Alloc_Factor'!L$35,2)</f>
        <v>-140231.94</v>
      </c>
      <c r="AI43" s="668">
        <f>ROUND(+$Z43*'[5]II-F Alloc_Factor'!M$35,2)</f>
        <v>-35315.639999999999</v>
      </c>
      <c r="AK43" s="674">
        <v>-5760487.0000000009</v>
      </c>
      <c r="AL43" s="668">
        <f>ROUND(+$AK43*'[5]II-F Alloc_Factor'!E$35,2)</f>
        <v>-2577339.3900000001</v>
      </c>
      <c r="AM43" s="668">
        <f>ROUND(+$AK43*'[5]II-F Alloc_Factor'!F$35,2)</f>
        <v>0</v>
      </c>
      <c r="AN43" s="668">
        <f>ROUND(+$AK43*'[5]II-F Alloc_Factor'!G$35,2)</f>
        <v>0</v>
      </c>
      <c r="AO43" s="668">
        <f t="shared" si="22"/>
        <v>-2577339.3900000001</v>
      </c>
      <c r="AP43" s="668">
        <f>ROUND(+$AK43*'[5]II-F Alloc_Factor'!I$35,2)</f>
        <v>-3008064.4399999999</v>
      </c>
      <c r="AQ43" s="668">
        <f>ROUND(+$AK43*'[5]II-F Alloc_Factor'!J$35,2)</f>
        <v>0</v>
      </c>
      <c r="AR43" s="668">
        <f t="shared" si="23"/>
        <v>-3008064.4399999999</v>
      </c>
      <c r="AS43" s="668">
        <f>ROUND(+$AK43*'[5]II-F Alloc_Factor'!L$35,2)</f>
        <v>-139860.95000000001</v>
      </c>
      <c r="AT43" s="668">
        <f>ROUND(+$AK43*'[5]II-F Alloc_Factor'!M$35,2)</f>
        <v>-35222.209999999999</v>
      </c>
      <c r="AU43" s="755"/>
      <c r="AV43" s="674">
        <v>-5745207.1900000013</v>
      </c>
      <c r="AW43" s="668">
        <f>ROUND(+$AV43*'[5]II-F Alloc_Factor'!E$35,2)</f>
        <v>-2570502.9399999999</v>
      </c>
      <c r="AX43" s="668">
        <f>ROUND(+$AV43*'[5]II-F Alloc_Factor'!F$35,2)</f>
        <v>0</v>
      </c>
      <c r="AY43" s="668">
        <f>ROUND(+$AV43*'[5]II-F Alloc_Factor'!G$35,2)</f>
        <v>0</v>
      </c>
      <c r="AZ43" s="668">
        <f>ROUND(+$AV43*'[5]II-F Alloc_Factor'!H$35,2)</f>
        <v>-2570502.9399999999</v>
      </c>
      <c r="BA43" s="668">
        <f>ROUND(+$AV43*'[5]II-F Alloc_Factor'!I$35,2)</f>
        <v>-3000085.4900000002</v>
      </c>
      <c r="BB43" s="668">
        <f>ROUND(+$AV43*'[5]II-F Alloc_Factor'!J$35,2)</f>
        <v>0</v>
      </c>
      <c r="BC43" s="668">
        <f>ROUND(+$AV43*'[5]II-F Alloc_Factor'!K$35,2)</f>
        <v>-3000085.4900000002</v>
      </c>
      <c r="BD43" s="668">
        <f>ROUND(+$AV43*'[5]II-F Alloc_Factor'!L$35,2)</f>
        <v>-139489.97</v>
      </c>
      <c r="BE43" s="668">
        <f>ROUND(+$AV43*'[5]II-F Alloc_Factor'!M$35,2)</f>
        <v>-35128.790000000001</v>
      </c>
      <c r="BF43" s="755"/>
      <c r="BG43" s="674">
        <v>-5729927.3900000015</v>
      </c>
      <c r="BH43" s="668">
        <f>ROUND(+$BG43*'[5]II-F Alloc_Factor'!E$35,2)</f>
        <v>-2563666.5</v>
      </c>
      <c r="BI43" s="668">
        <f>ROUND(+$BG43*'[5]II-F Alloc_Factor'!F$35,2)</f>
        <v>0</v>
      </c>
      <c r="BJ43" s="668">
        <f>ROUND(+$BG43*'[5]II-F Alloc_Factor'!G$35,2)</f>
        <v>0</v>
      </c>
      <c r="BK43" s="668">
        <f>ROUND(+$BG43*'[5]II-F Alloc_Factor'!H$35,2)</f>
        <v>-2563666.5</v>
      </c>
      <c r="BL43" s="668">
        <f>ROUND(+$BG43*'[5]II-F Alloc_Factor'!I$35,2)</f>
        <v>-2992106.54</v>
      </c>
      <c r="BM43" s="668">
        <f>ROUND(+$BG43*'[5]II-F Alloc_Factor'!J$35,2)</f>
        <v>0</v>
      </c>
      <c r="BN43" s="668">
        <f>ROUND(+$BG43*'[5]II-F Alloc_Factor'!K$35,2)</f>
        <v>-2992106.54</v>
      </c>
      <c r="BO43" s="668">
        <f>ROUND(+$BG43*'[5]II-F Alloc_Factor'!L$35,2)</f>
        <v>-139118.98999999999</v>
      </c>
      <c r="BP43" s="668">
        <f>ROUND(+$BG43*'[5]II-F Alloc_Factor'!M$35,2)</f>
        <v>-35035.360000000001</v>
      </c>
      <c r="BQ43" s="755"/>
      <c r="BR43" s="674">
        <v>-5714647.5800000019</v>
      </c>
      <c r="BS43" s="668">
        <f>ROUND(+$BR43*'[5]II-F Alloc_Factor'!E$35,2)</f>
        <v>-2556830.0600000001</v>
      </c>
      <c r="BT43" s="668">
        <f>ROUND(+$BR43*'[5]II-F Alloc_Factor'!F$35,2)</f>
        <v>0</v>
      </c>
      <c r="BU43" s="668">
        <f>ROUND(+$BR43*'[5]II-F Alloc_Factor'!G$35,2)</f>
        <v>0</v>
      </c>
      <c r="BV43" s="668">
        <f>ROUND(+$BR43*'[5]II-F Alloc_Factor'!H$35,2)</f>
        <v>-2556830.0600000001</v>
      </c>
      <c r="BW43" s="668">
        <f>ROUND(+$BR43*'[5]II-F Alloc_Factor'!I$35,2)</f>
        <v>-2984127.5899999999</v>
      </c>
      <c r="BX43" s="668">
        <f>ROUND(+$BR43*'[5]II-F Alloc_Factor'!J$35,2)</f>
        <v>0</v>
      </c>
      <c r="BY43" s="668">
        <f>ROUND(+$BR43*'[5]II-F Alloc_Factor'!K$35,2)</f>
        <v>-2984127.5899999999</v>
      </c>
      <c r="BZ43" s="668">
        <f>ROUND(+$BR43*'[5]II-F Alloc_Factor'!L$35,2)</f>
        <v>-138748</v>
      </c>
      <c r="CA43" s="668">
        <f>ROUND(+$BR43*'[5]II-F Alloc_Factor'!M$35,2)</f>
        <v>-34941.93</v>
      </c>
      <c r="CC43" s="674">
        <v>-5699367.7800000021</v>
      </c>
      <c r="CD43" s="668">
        <f>ROUND(+$CC43*'[5]II-F Alloc_Factor'!E$35,2)</f>
        <v>-2549993.6200000001</v>
      </c>
      <c r="CE43" s="668">
        <f>ROUND(+$CC43*'[5]II-F Alloc_Factor'!F$35,2)</f>
        <v>0</v>
      </c>
      <c r="CF43" s="668">
        <f>ROUND(+$CC43*'[5]II-F Alloc_Factor'!G$35,2)</f>
        <v>0</v>
      </c>
      <c r="CG43" s="668">
        <f>ROUND(+$CC43*'[5]II-F Alloc_Factor'!H$35,2)</f>
        <v>-2549993.6200000001</v>
      </c>
      <c r="CH43" s="668">
        <f>ROUND(+$CC43*'[5]II-F Alloc_Factor'!I$35,2)</f>
        <v>-2976148.6400000001</v>
      </c>
      <c r="CI43" s="668">
        <f>ROUND(+$CC43*'[5]II-F Alloc_Factor'!J$35,2)</f>
        <v>0</v>
      </c>
      <c r="CJ43" s="668">
        <f>ROUND(+$CC43*'[5]II-F Alloc_Factor'!K$35,2)</f>
        <v>-2976148.6400000001</v>
      </c>
      <c r="CK43" s="668">
        <f>ROUND(+$CC43*'[5]II-F Alloc_Factor'!L$35,2)</f>
        <v>-138377.01999999999</v>
      </c>
      <c r="CL43" s="668">
        <f>ROUND(+$CC43*'[5]II-F Alloc_Factor'!M$35,2)</f>
        <v>-34848.5</v>
      </c>
      <c r="CN43" s="674">
        <v>-5684087.9700000025</v>
      </c>
      <c r="CO43" s="668">
        <f>ROUND(+$CN43*'[5]II-F Alloc_Factor'!E$35,2)</f>
        <v>-2543157.1699999999</v>
      </c>
      <c r="CP43" s="668">
        <f>ROUND(+$CN43*'[5]II-F Alloc_Factor'!F$35,2)</f>
        <v>0</v>
      </c>
      <c r="CQ43" s="668">
        <f>ROUND(+$CN43*'[5]II-F Alloc_Factor'!G$35,2)</f>
        <v>0</v>
      </c>
      <c r="CR43" s="668">
        <f>ROUND(+$CN43*'[5]II-F Alloc_Factor'!H$35,2)</f>
        <v>-2543157.1699999999</v>
      </c>
      <c r="CS43" s="668">
        <f>ROUND(+$CN43*'[5]II-F Alloc_Factor'!I$35,2)</f>
        <v>-2968169.6899999999</v>
      </c>
      <c r="CT43" s="668">
        <f>ROUND(+$CN43*'[5]II-F Alloc_Factor'!J$35,2)</f>
        <v>0</v>
      </c>
      <c r="CU43" s="668">
        <f>ROUND(+$CN43*'[5]II-F Alloc_Factor'!K$35,2)</f>
        <v>-2968169.6899999999</v>
      </c>
      <c r="CV43" s="668">
        <f>ROUND(+$CN43*'[5]II-F Alloc_Factor'!L$35,2)</f>
        <v>-138006.03</v>
      </c>
      <c r="CW43" s="668">
        <f>ROUND(+$CN43*'[5]II-F Alloc_Factor'!M$35,2)</f>
        <v>-34755.080000000002</v>
      </c>
      <c r="CY43" s="105">
        <v>-5668808.1600000029</v>
      </c>
      <c r="CZ43" s="668">
        <f>ROUND(+$CY43*'[5]II-F Alloc_Factor'!E$35,2)</f>
        <v>-2536320.73</v>
      </c>
      <c r="DA43" s="668">
        <f>ROUND(+$CY43*'[5]II-F Alloc_Factor'!F$35,2)</f>
        <v>0</v>
      </c>
      <c r="DB43" s="668">
        <f>ROUND(+$CY43*'[5]II-F Alloc_Factor'!G$35,2)</f>
        <v>0</v>
      </c>
      <c r="DC43" s="668">
        <f>ROUND(+$CY43*'[5]II-F Alloc_Factor'!H$35,2)</f>
        <v>-2536320.73</v>
      </c>
      <c r="DD43" s="668">
        <f>ROUND(+$CY43*'[5]II-F Alloc_Factor'!I$35,2)</f>
        <v>-2960190.7400000002</v>
      </c>
      <c r="DE43" s="668">
        <f>ROUND(+$CY43*'[5]II-F Alloc_Factor'!J$35,2)</f>
        <v>0</v>
      </c>
      <c r="DF43" s="668">
        <f>ROUND(+$CY43*'[5]II-F Alloc_Factor'!K$35,2)</f>
        <v>-2960190.7400000002</v>
      </c>
      <c r="DG43" s="668">
        <f>ROUND(+$CY43*'[5]II-F Alloc_Factor'!L$35,2)</f>
        <v>-137635.04999999999</v>
      </c>
      <c r="DH43" s="668">
        <f>ROUND(+$CY43*'[5]II-F Alloc_Factor'!M$35,2)</f>
        <v>-34661.650000000001</v>
      </c>
      <c r="DJ43" s="674">
        <v>-5653528.3600000031</v>
      </c>
      <c r="DK43" s="668">
        <f>ROUND(+$DJ43*'[5]II-F Alloc_Factor'!E$35,2)</f>
        <v>-2529484.2799999998</v>
      </c>
      <c r="DL43" s="668">
        <f>ROUND(+$DJ43*'[5]II-F Alloc_Factor'!F$35,2)</f>
        <v>0</v>
      </c>
      <c r="DM43" s="668">
        <f>ROUND(+$DJ43*'[5]II-F Alloc_Factor'!G$35,2)</f>
        <v>0</v>
      </c>
      <c r="DN43" s="668">
        <f>ROUND(+$DJ43*'[5]II-F Alloc_Factor'!H$35,2)</f>
        <v>-2529484.2799999998</v>
      </c>
      <c r="DO43" s="668">
        <f>ROUND(+$DJ43*'[5]II-F Alloc_Factor'!I$35,2)</f>
        <v>-2952211.79</v>
      </c>
      <c r="DP43" s="668">
        <f>ROUND(+$DJ43*'[5]II-F Alloc_Factor'!J$35,2)</f>
        <v>0</v>
      </c>
      <c r="DQ43" s="668">
        <f>ROUND(+$DJ43*'[5]II-F Alloc_Factor'!K$35,2)</f>
        <v>-2952211.79</v>
      </c>
      <c r="DR43" s="668">
        <f>ROUND(+$DJ43*'[5]II-F Alloc_Factor'!L$35,2)</f>
        <v>-137264.07000000001</v>
      </c>
      <c r="DS43" s="668">
        <f>ROUND(+$DJ43*'[5]II-F Alloc_Factor'!M$35,2)</f>
        <v>-34568.220000000001</v>
      </c>
      <c r="DU43" s="674">
        <v>-5638248.5500000035</v>
      </c>
      <c r="DV43" s="668">
        <f>ROUND(+$DU43*'[5]II-F Alloc_Factor'!E$35,2)</f>
        <v>-2522647.8399999999</v>
      </c>
      <c r="DW43" s="668">
        <f>ROUND(+$DU43*'[5]II-F Alloc_Factor'!F$35,2)</f>
        <v>0</v>
      </c>
      <c r="DX43" s="668">
        <f>ROUND(+$DU43*'[5]II-F Alloc_Factor'!G$35,2)</f>
        <v>0</v>
      </c>
      <c r="DY43" s="668">
        <f t="shared" si="20"/>
        <v>-2522647.8399999999</v>
      </c>
      <c r="DZ43" s="668">
        <f>ROUND(+$DU43*'[5]II-F Alloc_Factor'!I$35,2)</f>
        <v>-2944232.8399999999</v>
      </c>
      <c r="EA43" s="668">
        <f>ROUND(+$DU43*'[5]II-F Alloc_Factor'!J$35,2)</f>
        <v>0</v>
      </c>
      <c r="EB43" s="668">
        <f t="shared" si="21"/>
        <v>-2944232.8399999999</v>
      </c>
      <c r="EC43" s="668">
        <f>ROUND(+$DU43*'[5]II-F Alloc_Factor'!L$35,2)</f>
        <v>-136893.07999999999</v>
      </c>
      <c r="ED43" s="668">
        <f>ROUND(+$DU43*'[5]II-F Alloc_Factor'!M$35,2)</f>
        <v>-34474.790000000001</v>
      </c>
      <c r="EE43" s="754">
        <f>+'II-E-3.5'!I50+'II-E-3.5a'!DU43</f>
        <v>0</v>
      </c>
      <c r="EF43" s="754">
        <f t="shared" si="19"/>
        <v>0</v>
      </c>
      <c r="EH43" s="754"/>
    </row>
    <row r="44" spans="1:138" s="423" customFormat="1" ht="12.75">
      <c r="A44" s="524">
        <f t="shared" si="6"/>
        <v>32</v>
      </c>
      <c r="B44" s="184" t="s">
        <v>441</v>
      </c>
      <c r="C44" s="424" t="s">
        <v>841</v>
      </c>
      <c r="D44" s="674">
        <v>-2682621.96</v>
      </c>
      <c r="E44" s="674">
        <v>0</v>
      </c>
      <c r="F44" s="674">
        <v>0</v>
      </c>
      <c r="G44" s="674">
        <v>0</v>
      </c>
      <c r="H44" s="674">
        <f t="shared" si="34" ref="H44:H50">SUM(E44:G44)</f>
        <v>0</v>
      </c>
      <c r="I44" s="674">
        <f>+D44</f>
        <v>-2682621.96</v>
      </c>
      <c r="J44" s="674">
        <v>0</v>
      </c>
      <c r="K44" s="674">
        <f t="shared" si="35" ref="K44:K50">SUM(I44:J44)</f>
        <v>-2682621.96</v>
      </c>
      <c r="L44" s="674">
        <v>0</v>
      </c>
      <c r="M44" s="674">
        <v>0</v>
      </c>
      <c r="N44" s="675"/>
      <c r="O44" s="674">
        <v>-1910378.9399999999</v>
      </c>
      <c r="P44" s="674">
        <v>0</v>
      </c>
      <c r="Q44" s="674">
        <v>0</v>
      </c>
      <c r="R44" s="674">
        <v>0</v>
      </c>
      <c r="S44" s="674">
        <f t="shared" si="36" ref="S44:S48">SUM(P44:R44)</f>
        <v>0</v>
      </c>
      <c r="T44" s="674">
        <f>+O44</f>
        <v>-1910378.9399999999</v>
      </c>
      <c r="U44" s="674">
        <v>0</v>
      </c>
      <c r="V44" s="674">
        <f t="shared" si="37" ref="V44:V48">SUM(T44:U44)</f>
        <v>-1910378.9399999999</v>
      </c>
      <c r="W44" s="674">
        <v>0</v>
      </c>
      <c r="X44" s="674">
        <v>0</v>
      </c>
      <c r="Y44" s="673"/>
      <c r="Z44" s="674">
        <v>-3044281.23</v>
      </c>
      <c r="AA44" s="674">
        <v>0</v>
      </c>
      <c r="AB44" s="674">
        <v>0</v>
      </c>
      <c r="AC44" s="674">
        <v>0</v>
      </c>
      <c r="AD44" s="674">
        <f t="shared" si="38" ref="AD44:AD48">SUM(AA44:AC44)</f>
        <v>0</v>
      </c>
      <c r="AE44" s="674">
        <f>+Z44</f>
        <v>-3044281.23</v>
      </c>
      <c r="AF44" s="674">
        <v>0</v>
      </c>
      <c r="AG44" s="674">
        <f t="shared" si="39" ref="AG44:AG48">SUM(AE44:AF44)</f>
        <v>-3044281.23</v>
      </c>
      <c r="AH44" s="674">
        <v>0</v>
      </c>
      <c r="AI44" s="674">
        <v>0</v>
      </c>
      <c r="AK44" s="674">
        <v>-2866333.75</v>
      </c>
      <c r="AL44" s="674">
        <v>0</v>
      </c>
      <c r="AM44" s="674">
        <v>0</v>
      </c>
      <c r="AN44" s="674">
        <v>0</v>
      </c>
      <c r="AO44" s="668">
        <f t="shared" si="22"/>
        <v>0</v>
      </c>
      <c r="AP44" s="674">
        <f>+AK44</f>
        <v>-2866333.75</v>
      </c>
      <c r="AQ44" s="674">
        <v>0</v>
      </c>
      <c r="AR44" s="668">
        <f t="shared" si="23"/>
        <v>-2866333.75</v>
      </c>
      <c r="AS44" s="674">
        <v>0</v>
      </c>
      <c r="AT44" s="674">
        <v>0</v>
      </c>
      <c r="AU44" s="755"/>
      <c r="AV44" s="674">
        <v>-2688386.2599999998</v>
      </c>
      <c r="AW44" s="674">
        <v>0</v>
      </c>
      <c r="AX44" s="674">
        <v>0</v>
      </c>
      <c r="AY44" s="674">
        <v>0</v>
      </c>
      <c r="AZ44" s="674">
        <f t="shared" si="40" ref="AZ44:AZ48">SUM(AW44:AY44)</f>
        <v>0</v>
      </c>
      <c r="BA44" s="674">
        <f>+AV44</f>
        <v>-2688386.2599999998</v>
      </c>
      <c r="BB44" s="674">
        <v>0</v>
      </c>
      <c r="BC44" s="674">
        <f t="shared" si="41" ref="BC44:BC48">SUM(BA44:BB44)</f>
        <v>-2688386.2599999998</v>
      </c>
      <c r="BD44" s="674">
        <v>0</v>
      </c>
      <c r="BE44" s="674">
        <v>0</v>
      </c>
      <c r="BF44" s="755"/>
      <c r="BG44" s="674">
        <v>-2503270.5799999996</v>
      </c>
      <c r="BH44" s="674">
        <v>0</v>
      </c>
      <c r="BI44" s="674">
        <v>0</v>
      </c>
      <c r="BJ44" s="674">
        <v>0</v>
      </c>
      <c r="BK44" s="674">
        <f t="shared" si="42" ref="BK44:BK48">SUM(BH44:BJ44)</f>
        <v>0</v>
      </c>
      <c r="BL44" s="674">
        <f>+BG44</f>
        <v>-2503270.5799999996</v>
      </c>
      <c r="BM44" s="674">
        <v>0</v>
      </c>
      <c r="BN44" s="674">
        <f t="shared" si="43" ref="BN44:BN48">SUM(BL44:BM44)</f>
        <v>-2503270.5799999996</v>
      </c>
      <c r="BO44" s="674">
        <v>0</v>
      </c>
      <c r="BP44" s="674">
        <v>0</v>
      </c>
      <c r="BQ44" s="755"/>
      <c r="BR44" s="674">
        <v>-2324128.3999999994</v>
      </c>
      <c r="BS44" s="674">
        <v>0</v>
      </c>
      <c r="BT44" s="674">
        <v>0</v>
      </c>
      <c r="BU44" s="674">
        <v>0</v>
      </c>
      <c r="BV44" s="674">
        <f t="shared" si="44" ref="BV44:BV48">SUM(BS44:BU44)</f>
        <v>0</v>
      </c>
      <c r="BW44" s="674">
        <f>+BR44</f>
        <v>-2324128.3999999994</v>
      </c>
      <c r="BX44" s="674">
        <v>0</v>
      </c>
      <c r="BY44" s="674">
        <f t="shared" si="45" ref="BY44:BY48">SUM(BW44:BX44)</f>
        <v>-2324128.3999999994</v>
      </c>
      <c r="BZ44" s="674">
        <v>0</v>
      </c>
      <c r="CA44" s="674">
        <v>0</v>
      </c>
      <c r="CC44" s="674">
        <v>-2144986.2099999995</v>
      </c>
      <c r="CD44" s="674">
        <v>0</v>
      </c>
      <c r="CE44" s="674">
        <v>0</v>
      </c>
      <c r="CF44" s="674">
        <v>0</v>
      </c>
      <c r="CG44" s="674">
        <f t="shared" si="46" ref="CG44:CG48">SUM(CD44:CF44)</f>
        <v>0</v>
      </c>
      <c r="CH44" s="674">
        <f>+CC44</f>
        <v>-2144986.2099999995</v>
      </c>
      <c r="CI44" s="674">
        <v>0</v>
      </c>
      <c r="CJ44" s="674">
        <f t="shared" si="47" ref="CJ44:CJ48">SUM(CH44:CI44)</f>
        <v>-2144986.2099999995</v>
      </c>
      <c r="CK44" s="674">
        <v>0</v>
      </c>
      <c r="CL44" s="674">
        <v>0</v>
      </c>
      <c r="CN44" s="674">
        <v>-5948178.75</v>
      </c>
      <c r="CO44" s="674">
        <v>0</v>
      </c>
      <c r="CP44" s="674">
        <v>0</v>
      </c>
      <c r="CQ44" s="674">
        <v>0</v>
      </c>
      <c r="CR44" s="674">
        <f t="shared" si="48" ref="CR44:CR48">SUM(CO44:CQ44)</f>
        <v>0</v>
      </c>
      <c r="CS44" s="674">
        <f>+CN44</f>
        <v>-5948178.75</v>
      </c>
      <c r="CT44" s="674">
        <v>0</v>
      </c>
      <c r="CU44" s="674">
        <f t="shared" si="49" ref="CU44:CU48">SUM(CS44:CT44)</f>
        <v>-5948178.75</v>
      </c>
      <c r="CV44" s="674">
        <v>0</v>
      </c>
      <c r="CW44" s="674">
        <v>0</v>
      </c>
      <c r="CY44" s="105">
        <v>-6211518.21</v>
      </c>
      <c r="CZ44" s="674">
        <v>0</v>
      </c>
      <c r="DA44" s="674">
        <v>0</v>
      </c>
      <c r="DB44" s="674">
        <v>0</v>
      </c>
      <c r="DC44" s="674">
        <f t="shared" si="50" ref="DC44:DC48">SUM(CZ44:DB44)</f>
        <v>0</v>
      </c>
      <c r="DD44" s="674">
        <f>+CY44</f>
        <v>-6211518.21</v>
      </c>
      <c r="DE44" s="674">
        <v>0</v>
      </c>
      <c r="DF44" s="674">
        <f t="shared" si="51" ref="DF44:DF48">SUM(DD44:DE44)</f>
        <v>-6211518.21</v>
      </c>
      <c r="DG44" s="674">
        <v>0</v>
      </c>
      <c r="DH44" s="674">
        <v>0</v>
      </c>
      <c r="DJ44" s="674">
        <v>-6474857.6600000001</v>
      </c>
      <c r="DK44" s="674">
        <v>0</v>
      </c>
      <c r="DL44" s="674">
        <v>0</v>
      </c>
      <c r="DM44" s="674">
        <v>0</v>
      </c>
      <c r="DN44" s="674">
        <f t="shared" si="52" ref="DN44:DN48">SUM(DK44:DM44)</f>
        <v>0</v>
      </c>
      <c r="DO44" s="674">
        <f>+DJ44</f>
        <v>-6474857.6600000001</v>
      </c>
      <c r="DP44" s="674">
        <v>0</v>
      </c>
      <c r="DQ44" s="674">
        <f t="shared" si="53" ref="DQ44:DQ48">SUM(DO44:DP44)</f>
        <v>-6474857.6600000001</v>
      </c>
      <c r="DR44" s="674">
        <v>0</v>
      </c>
      <c r="DS44" s="674">
        <v>0</v>
      </c>
      <c r="DU44" s="674">
        <v>-12246045.890000001</v>
      </c>
      <c r="DV44" s="674">
        <v>0</v>
      </c>
      <c r="DW44" s="674">
        <v>0</v>
      </c>
      <c r="DX44" s="674">
        <v>0</v>
      </c>
      <c r="DY44" s="668">
        <f t="shared" si="20"/>
        <v>0</v>
      </c>
      <c r="DZ44" s="674">
        <f>+DU44</f>
        <v>-12246045.890000001</v>
      </c>
      <c r="EA44" s="674">
        <v>0</v>
      </c>
      <c r="EB44" s="668">
        <f t="shared" si="21"/>
        <v>-12246045.890000001</v>
      </c>
      <c r="EC44" s="674">
        <v>0</v>
      </c>
      <c r="ED44" s="674">
        <v>0</v>
      </c>
      <c r="EE44" s="754">
        <f>+'II-E-3.5'!I51+'II-E-3.5a'!DU44</f>
        <v>0</v>
      </c>
      <c r="EF44" s="754">
        <f t="shared" si="19"/>
        <v>0</v>
      </c>
      <c r="EH44" s="754"/>
    </row>
    <row r="45" spans="1:138" s="423" customFormat="1" ht="12.75">
      <c r="A45" s="524">
        <f t="shared" si="6"/>
        <v>33</v>
      </c>
      <c r="B45" s="184" t="s">
        <v>442</v>
      </c>
      <c r="C45" s="424" t="s">
        <v>842</v>
      </c>
      <c r="D45" s="674">
        <v>10003.77</v>
      </c>
      <c r="E45" s="674">
        <v>0</v>
      </c>
      <c r="F45" s="674">
        <v>0</v>
      </c>
      <c r="G45" s="674">
        <v>0</v>
      </c>
      <c r="H45" s="674">
        <f t="shared" si="34"/>
        <v>0</v>
      </c>
      <c r="I45" s="674">
        <v>0</v>
      </c>
      <c r="J45" s="674">
        <v>0</v>
      </c>
      <c r="K45" s="674">
        <f t="shared" si="35"/>
        <v>0</v>
      </c>
      <c r="L45" s="674">
        <v>0</v>
      </c>
      <c r="M45" s="674">
        <f>+D45</f>
        <v>10003.77</v>
      </c>
      <c r="N45" s="675"/>
      <c r="O45" s="674">
        <v>14693.02</v>
      </c>
      <c r="P45" s="674">
        <v>0</v>
      </c>
      <c r="Q45" s="674">
        <v>0</v>
      </c>
      <c r="R45" s="674">
        <v>0</v>
      </c>
      <c r="S45" s="674">
        <f t="shared" si="36"/>
        <v>0</v>
      </c>
      <c r="T45" s="674">
        <v>0</v>
      </c>
      <c r="U45" s="674">
        <v>0</v>
      </c>
      <c r="V45" s="674">
        <f t="shared" si="37"/>
        <v>0</v>
      </c>
      <c r="W45" s="674">
        <v>0</v>
      </c>
      <c r="X45" s="674">
        <f>+O45</f>
        <v>14693.02</v>
      </c>
      <c r="Y45" s="673"/>
      <c r="Z45" s="674">
        <v>-2149204.9899999998</v>
      </c>
      <c r="AA45" s="674">
        <v>0</v>
      </c>
      <c r="AB45" s="674">
        <v>0</v>
      </c>
      <c r="AC45" s="674">
        <v>0</v>
      </c>
      <c r="AD45" s="674">
        <f t="shared" si="38"/>
        <v>0</v>
      </c>
      <c r="AE45" s="674">
        <v>0</v>
      </c>
      <c r="AF45" s="674">
        <v>0</v>
      </c>
      <c r="AG45" s="674">
        <f t="shared" si="39"/>
        <v>0</v>
      </c>
      <c r="AH45" s="674">
        <v>0</v>
      </c>
      <c r="AI45" s="674">
        <f>+Z45</f>
        <v>-2149204.9899999998</v>
      </c>
      <c r="AK45" s="674">
        <v>-2009186.2699999998</v>
      </c>
      <c r="AL45" s="674">
        <v>0</v>
      </c>
      <c r="AM45" s="674">
        <v>0</v>
      </c>
      <c r="AN45" s="674">
        <v>0</v>
      </c>
      <c r="AO45" s="668">
        <f t="shared" si="22"/>
        <v>0</v>
      </c>
      <c r="AP45" s="674">
        <v>0</v>
      </c>
      <c r="AQ45" s="674">
        <v>0</v>
      </c>
      <c r="AR45" s="668">
        <f t="shared" si="23"/>
        <v>0</v>
      </c>
      <c r="AS45" s="674">
        <v>0</v>
      </c>
      <c r="AT45" s="674">
        <f>+AK45</f>
        <v>-2009186.2699999998</v>
      </c>
      <c r="AU45" s="755"/>
      <c r="AV45" s="674">
        <v>-2185070.7699999996</v>
      </c>
      <c r="AW45" s="674">
        <v>0</v>
      </c>
      <c r="AX45" s="674">
        <v>0</v>
      </c>
      <c r="AY45" s="674">
        <v>0</v>
      </c>
      <c r="AZ45" s="674">
        <f t="shared" si="40"/>
        <v>0</v>
      </c>
      <c r="BA45" s="674">
        <v>0</v>
      </c>
      <c r="BB45" s="674">
        <v>0</v>
      </c>
      <c r="BC45" s="674">
        <f t="shared" si="41"/>
        <v>0</v>
      </c>
      <c r="BD45" s="674">
        <v>0</v>
      </c>
      <c r="BE45" s="674">
        <f>+AV45</f>
        <v>-2185070.7699999996</v>
      </c>
      <c r="BF45" s="755"/>
      <c r="BG45" s="674">
        <v>-1966543.8299999996</v>
      </c>
      <c r="BH45" s="674">
        <v>0</v>
      </c>
      <c r="BI45" s="674">
        <v>0</v>
      </c>
      <c r="BJ45" s="674">
        <v>0</v>
      </c>
      <c r="BK45" s="674">
        <f t="shared" si="42"/>
        <v>0</v>
      </c>
      <c r="BL45" s="674">
        <v>0</v>
      </c>
      <c r="BM45" s="674">
        <v>0</v>
      </c>
      <c r="BN45" s="674">
        <f t="shared" si="43"/>
        <v>0</v>
      </c>
      <c r="BO45" s="674">
        <v>0</v>
      </c>
      <c r="BP45" s="674">
        <f>+BG45</f>
        <v>-1966543.8299999996</v>
      </c>
      <c r="BQ45" s="755"/>
      <c r="BR45" s="674">
        <v>-1881017.9399999997</v>
      </c>
      <c r="BS45" s="674">
        <v>0</v>
      </c>
      <c r="BT45" s="674">
        <v>0</v>
      </c>
      <c r="BU45" s="674">
        <v>0</v>
      </c>
      <c r="BV45" s="674">
        <f t="shared" si="44"/>
        <v>0</v>
      </c>
      <c r="BW45" s="674">
        <v>0</v>
      </c>
      <c r="BX45" s="674">
        <v>0</v>
      </c>
      <c r="BY45" s="674">
        <f t="shared" si="45"/>
        <v>0</v>
      </c>
      <c r="BZ45" s="674">
        <v>0</v>
      </c>
      <c r="CA45" s="674">
        <f>+BR45</f>
        <v>-1881017.9399999997</v>
      </c>
      <c r="CC45" s="674">
        <v>-1876328.6899999997</v>
      </c>
      <c r="CD45" s="674">
        <v>0</v>
      </c>
      <c r="CE45" s="674">
        <v>0</v>
      </c>
      <c r="CF45" s="674">
        <v>0</v>
      </c>
      <c r="CG45" s="674">
        <f t="shared" si="46"/>
        <v>0</v>
      </c>
      <c r="CH45" s="674">
        <v>0</v>
      </c>
      <c r="CI45" s="674">
        <v>0</v>
      </c>
      <c r="CJ45" s="674">
        <f t="shared" si="47"/>
        <v>0</v>
      </c>
      <c r="CK45" s="674">
        <v>0</v>
      </c>
      <c r="CL45" s="674">
        <f>+CC45</f>
        <v>-1876328.6899999997</v>
      </c>
      <c r="CN45" s="674">
        <v>-1878594.7499999998</v>
      </c>
      <c r="CO45" s="674">
        <v>0</v>
      </c>
      <c r="CP45" s="674">
        <v>0</v>
      </c>
      <c r="CQ45" s="674">
        <v>0</v>
      </c>
      <c r="CR45" s="674">
        <f t="shared" si="48"/>
        <v>0</v>
      </c>
      <c r="CS45" s="674">
        <v>0</v>
      </c>
      <c r="CT45" s="674">
        <v>0</v>
      </c>
      <c r="CU45" s="674">
        <f t="shared" si="49"/>
        <v>0</v>
      </c>
      <c r="CV45" s="674">
        <v>0</v>
      </c>
      <c r="CW45" s="674">
        <f>+CN45</f>
        <v>-1878594.7499999998</v>
      </c>
      <c r="CY45" s="105">
        <v>-1873905.4899999998</v>
      </c>
      <c r="CZ45" s="674">
        <v>0</v>
      </c>
      <c r="DA45" s="674">
        <v>0</v>
      </c>
      <c r="DB45" s="674">
        <v>0</v>
      </c>
      <c r="DC45" s="674">
        <f t="shared" si="50"/>
        <v>0</v>
      </c>
      <c r="DD45" s="674">
        <v>0</v>
      </c>
      <c r="DE45" s="674">
        <v>0</v>
      </c>
      <c r="DF45" s="674">
        <f t="shared" si="51"/>
        <v>0</v>
      </c>
      <c r="DG45" s="674">
        <v>0</v>
      </c>
      <c r="DH45" s="674">
        <f>+CY45</f>
        <v>-1873905.4899999998</v>
      </c>
      <c r="DJ45" s="674">
        <v>-1869239.3399999999</v>
      </c>
      <c r="DK45" s="674">
        <v>0</v>
      </c>
      <c r="DL45" s="674">
        <v>0</v>
      </c>
      <c r="DM45" s="674">
        <v>0</v>
      </c>
      <c r="DN45" s="674">
        <f t="shared" si="52"/>
        <v>0</v>
      </c>
      <c r="DO45" s="674">
        <v>0</v>
      </c>
      <c r="DP45" s="674">
        <v>0</v>
      </c>
      <c r="DQ45" s="674">
        <f t="shared" si="53"/>
        <v>0</v>
      </c>
      <c r="DR45" s="674">
        <v>0</v>
      </c>
      <c r="DS45" s="674">
        <f>+DJ45</f>
        <v>-1869239.3399999999</v>
      </c>
      <c r="DU45" s="674">
        <f>-1866771.27-'II-E-3.5'!H52</f>
        <v>-1755338.3400000001</v>
      </c>
      <c r="DV45" s="674">
        <v>0</v>
      </c>
      <c r="DW45" s="674">
        <v>0</v>
      </c>
      <c r="DX45" s="674">
        <v>0</v>
      </c>
      <c r="DY45" s="668">
        <f t="shared" si="20"/>
        <v>0</v>
      </c>
      <c r="DZ45" s="674">
        <v>0</v>
      </c>
      <c r="EA45" s="674">
        <v>0</v>
      </c>
      <c r="EB45" s="668">
        <f t="shared" si="21"/>
        <v>0</v>
      </c>
      <c r="EC45" s="674">
        <v>0</v>
      </c>
      <c r="ED45" s="674">
        <f>+DU45</f>
        <v>-1755338.3400000001</v>
      </c>
      <c r="EE45" s="754">
        <f>+'II-E-3.5'!I52+'II-E-3.5a'!DU45</f>
        <v>0</v>
      </c>
      <c r="EF45" s="754">
        <f t="shared" si="19"/>
        <v>0</v>
      </c>
      <c r="EH45" s="754"/>
    </row>
    <row r="46" spans="1:138" s="423" customFormat="1" ht="12.75">
      <c r="A46" s="524">
        <f t="shared" si="6"/>
        <v>34</v>
      </c>
      <c r="B46" s="184" t="s">
        <v>1205</v>
      </c>
      <c r="C46" s="424" t="s">
        <v>841</v>
      </c>
      <c r="D46" s="674">
        <v>-11818614.67</v>
      </c>
      <c r="E46" s="674">
        <v>0</v>
      </c>
      <c r="F46" s="674">
        <v>0</v>
      </c>
      <c r="G46" s="674">
        <v>0</v>
      </c>
      <c r="H46" s="674">
        <f t="shared" si="34"/>
        <v>0</v>
      </c>
      <c r="I46" s="674">
        <f>+D46</f>
        <v>-11818614.67</v>
      </c>
      <c r="J46" s="674">
        <v>0</v>
      </c>
      <c r="K46" s="674">
        <f t="shared" si="35"/>
        <v>-11818614.67</v>
      </c>
      <c r="L46" s="674">
        <v>0</v>
      </c>
      <c r="M46" s="674">
        <v>0</v>
      </c>
      <c r="N46" s="675"/>
      <c r="O46" s="674">
        <v>-12175410.140000001</v>
      </c>
      <c r="P46" s="674">
        <v>0</v>
      </c>
      <c r="Q46" s="674">
        <v>0</v>
      </c>
      <c r="R46" s="674">
        <v>0</v>
      </c>
      <c r="S46" s="674">
        <f t="shared" si="36"/>
        <v>0</v>
      </c>
      <c r="T46" s="674">
        <f>+O46</f>
        <v>-12175410.140000001</v>
      </c>
      <c r="U46" s="674">
        <v>0</v>
      </c>
      <c r="V46" s="674">
        <f t="shared" si="37"/>
        <v>-12175410.140000001</v>
      </c>
      <c r="W46" s="674">
        <v>0</v>
      </c>
      <c r="X46" s="674">
        <v>0</v>
      </c>
      <c r="Y46" s="673"/>
      <c r="Z46" s="674">
        <v>-12182251.440000001</v>
      </c>
      <c r="AA46" s="674">
        <v>0</v>
      </c>
      <c r="AB46" s="674">
        <v>0</v>
      </c>
      <c r="AC46" s="674">
        <v>0</v>
      </c>
      <c r="AD46" s="674">
        <f t="shared" si="38"/>
        <v>0</v>
      </c>
      <c r="AE46" s="674">
        <f>+Z46</f>
        <v>-12182251.440000001</v>
      </c>
      <c r="AF46" s="674">
        <v>0</v>
      </c>
      <c r="AG46" s="674">
        <f t="shared" si="39"/>
        <v>-12182251.440000001</v>
      </c>
      <c r="AH46" s="674">
        <v>0</v>
      </c>
      <c r="AI46" s="674">
        <v>0</v>
      </c>
      <c r="AK46" s="674">
        <v>-12895983.200000001</v>
      </c>
      <c r="AL46" s="674">
        <v>0</v>
      </c>
      <c r="AM46" s="674">
        <v>0</v>
      </c>
      <c r="AN46" s="674">
        <v>0</v>
      </c>
      <c r="AO46" s="668">
        <f t="shared" si="22"/>
        <v>0</v>
      </c>
      <c r="AP46" s="674">
        <f>+AK46</f>
        <v>-12895983.200000001</v>
      </c>
      <c r="AQ46" s="674">
        <v>0</v>
      </c>
      <c r="AR46" s="668">
        <f t="shared" si="23"/>
        <v>-12895983.200000001</v>
      </c>
      <c r="AS46" s="674">
        <v>0</v>
      </c>
      <c r="AT46" s="674">
        <v>0</v>
      </c>
      <c r="AU46" s="755"/>
      <c r="AV46" s="674">
        <v>-13257457.810000001</v>
      </c>
      <c r="AW46" s="674">
        <v>0</v>
      </c>
      <c r="AX46" s="674">
        <v>0</v>
      </c>
      <c r="AY46" s="674">
        <v>0</v>
      </c>
      <c r="AZ46" s="674">
        <f t="shared" si="40"/>
        <v>0</v>
      </c>
      <c r="BA46" s="674">
        <f>+AV46</f>
        <v>-13257457.810000001</v>
      </c>
      <c r="BB46" s="674">
        <v>0</v>
      </c>
      <c r="BC46" s="674">
        <f t="shared" si="41"/>
        <v>-13257457.810000001</v>
      </c>
      <c r="BD46" s="674">
        <v>0</v>
      </c>
      <c r="BE46" s="674">
        <v>0</v>
      </c>
      <c r="BF46" s="755"/>
      <c r="BG46" s="674">
        <v>-13618932.42</v>
      </c>
      <c r="BH46" s="674">
        <v>0</v>
      </c>
      <c r="BI46" s="674">
        <v>0</v>
      </c>
      <c r="BJ46" s="674">
        <v>0</v>
      </c>
      <c r="BK46" s="674">
        <f t="shared" si="42"/>
        <v>0</v>
      </c>
      <c r="BL46" s="674">
        <f>+BG46</f>
        <v>-13618932.42</v>
      </c>
      <c r="BM46" s="674">
        <v>0</v>
      </c>
      <c r="BN46" s="674">
        <f t="shared" si="43"/>
        <v>-13618932.42</v>
      </c>
      <c r="BO46" s="674">
        <v>0</v>
      </c>
      <c r="BP46" s="674">
        <v>0</v>
      </c>
      <c r="BQ46" s="755"/>
      <c r="BR46" s="674">
        <v>-13975593.41</v>
      </c>
      <c r="BS46" s="674">
        <v>0</v>
      </c>
      <c r="BT46" s="674">
        <v>0</v>
      </c>
      <c r="BU46" s="674">
        <v>0</v>
      </c>
      <c r="BV46" s="674">
        <f t="shared" si="44"/>
        <v>0</v>
      </c>
      <c r="BW46" s="674">
        <f>+BR46</f>
        <v>-13975593.41</v>
      </c>
      <c r="BX46" s="674">
        <v>0</v>
      </c>
      <c r="BY46" s="674">
        <f t="shared" si="45"/>
        <v>-13975593.41</v>
      </c>
      <c r="BZ46" s="674">
        <v>0</v>
      </c>
      <c r="CA46" s="674">
        <v>0</v>
      </c>
      <c r="CC46" s="674">
        <v>-14340523.040000001</v>
      </c>
      <c r="CD46" s="674">
        <v>0</v>
      </c>
      <c r="CE46" s="674">
        <v>0</v>
      </c>
      <c r="CF46" s="674">
        <v>0</v>
      </c>
      <c r="CG46" s="674">
        <f t="shared" si="46"/>
        <v>0</v>
      </c>
      <c r="CH46" s="674">
        <f>+CC46</f>
        <v>-14340523.040000001</v>
      </c>
      <c r="CI46" s="674">
        <v>0</v>
      </c>
      <c r="CJ46" s="674">
        <f t="shared" si="47"/>
        <v>-14340523.040000001</v>
      </c>
      <c r="CK46" s="674">
        <v>0</v>
      </c>
      <c r="CL46" s="674">
        <v>0</v>
      </c>
      <c r="CN46" s="674">
        <v>-14707631.83</v>
      </c>
      <c r="CO46" s="674">
        <v>0</v>
      </c>
      <c r="CP46" s="674">
        <v>0</v>
      </c>
      <c r="CQ46" s="674">
        <v>0</v>
      </c>
      <c r="CR46" s="674">
        <f t="shared" si="48"/>
        <v>0</v>
      </c>
      <c r="CS46" s="674">
        <f>+CN46</f>
        <v>-14707631.83</v>
      </c>
      <c r="CT46" s="674">
        <v>0</v>
      </c>
      <c r="CU46" s="674">
        <f t="shared" si="49"/>
        <v>-14707631.83</v>
      </c>
      <c r="CV46" s="674">
        <v>0</v>
      </c>
      <c r="CW46" s="674">
        <v>0</v>
      </c>
      <c r="CY46" s="105">
        <v>-15074740.630000001</v>
      </c>
      <c r="CZ46" s="674">
        <v>0</v>
      </c>
      <c r="DA46" s="674">
        <v>0</v>
      </c>
      <c r="DB46" s="674">
        <v>0</v>
      </c>
      <c r="DC46" s="674">
        <f t="shared" si="50"/>
        <v>0</v>
      </c>
      <c r="DD46" s="674">
        <f>+CY46</f>
        <v>-15074740.630000001</v>
      </c>
      <c r="DE46" s="674">
        <v>0</v>
      </c>
      <c r="DF46" s="674">
        <f t="shared" si="51"/>
        <v>-15074740.630000001</v>
      </c>
      <c r="DG46" s="674">
        <v>0</v>
      </c>
      <c r="DH46" s="674">
        <v>0</v>
      </c>
      <c r="DJ46" s="674">
        <v>-15441443.23</v>
      </c>
      <c r="DK46" s="674">
        <v>0</v>
      </c>
      <c r="DL46" s="674">
        <v>0</v>
      </c>
      <c r="DM46" s="674">
        <v>0</v>
      </c>
      <c r="DN46" s="674">
        <f t="shared" si="52"/>
        <v>0</v>
      </c>
      <c r="DO46" s="674">
        <f>+DJ46</f>
        <v>-15441443.23</v>
      </c>
      <c r="DP46" s="674">
        <v>0</v>
      </c>
      <c r="DQ46" s="674">
        <f t="shared" si="53"/>
        <v>-15441443.23</v>
      </c>
      <c r="DR46" s="674">
        <v>0</v>
      </c>
      <c r="DS46" s="674">
        <v>0</v>
      </c>
      <c r="DU46" s="674">
        <v>-15806084.57</v>
      </c>
      <c r="DV46" s="674">
        <v>0</v>
      </c>
      <c r="DW46" s="674">
        <v>0</v>
      </c>
      <c r="DX46" s="674">
        <v>0</v>
      </c>
      <c r="DY46" s="668">
        <f t="shared" si="20"/>
        <v>0</v>
      </c>
      <c r="DZ46" s="674">
        <f>+DU46</f>
        <v>-15806084.57</v>
      </c>
      <c r="EA46" s="674">
        <v>0</v>
      </c>
      <c r="EB46" s="668">
        <f t="shared" si="21"/>
        <v>-15806084.57</v>
      </c>
      <c r="EC46" s="674">
        <v>0</v>
      </c>
      <c r="ED46" s="674">
        <v>0</v>
      </c>
      <c r="EE46" s="754">
        <f>+'II-E-3.5'!I53+'II-E-3.5a'!DU46</f>
        <v>0</v>
      </c>
      <c r="EF46" s="754">
        <f t="shared" si="19"/>
        <v>0</v>
      </c>
      <c r="EH46" s="754"/>
    </row>
    <row r="47" spans="1:138" s="423" customFormat="1" ht="12.75">
      <c r="A47" s="524">
        <f t="shared" si="6"/>
        <v>35</v>
      </c>
      <c r="B47" s="184" t="s">
        <v>668</v>
      </c>
      <c r="C47" s="424" t="s">
        <v>841</v>
      </c>
      <c r="D47" s="674">
        <v>-131746.23000000001</v>
      </c>
      <c r="E47" s="674">
        <v>0</v>
      </c>
      <c r="F47" s="674">
        <v>0</v>
      </c>
      <c r="G47" s="674">
        <v>0</v>
      </c>
      <c r="H47" s="674">
        <f t="shared" si="34"/>
        <v>0</v>
      </c>
      <c r="I47" s="674">
        <f>+D47</f>
        <v>-131746.23000000001</v>
      </c>
      <c r="J47" s="674">
        <v>0</v>
      </c>
      <c r="K47" s="674">
        <f t="shared" si="35"/>
        <v>-131746.23000000001</v>
      </c>
      <c r="L47" s="674">
        <v>0</v>
      </c>
      <c r="M47" s="674">
        <v>0</v>
      </c>
      <c r="N47" s="675"/>
      <c r="O47" s="674">
        <v>-131746.23000000001</v>
      </c>
      <c r="P47" s="674">
        <v>0</v>
      </c>
      <c r="Q47" s="674">
        <v>0</v>
      </c>
      <c r="R47" s="674">
        <v>0</v>
      </c>
      <c r="S47" s="674">
        <f t="shared" si="36"/>
        <v>0</v>
      </c>
      <c r="T47" s="674">
        <f>+O47</f>
        <v>-131746.23000000001</v>
      </c>
      <c r="U47" s="674">
        <v>0</v>
      </c>
      <c r="V47" s="674">
        <f t="shared" si="37"/>
        <v>-131746.23000000001</v>
      </c>
      <c r="W47" s="674">
        <v>0</v>
      </c>
      <c r="X47" s="674">
        <v>0</v>
      </c>
      <c r="Y47" s="673"/>
      <c r="Z47" s="674">
        <v>-131746.23000000001</v>
      </c>
      <c r="AA47" s="674">
        <v>0</v>
      </c>
      <c r="AB47" s="674">
        <v>0</v>
      </c>
      <c r="AC47" s="674">
        <v>0</v>
      </c>
      <c r="AD47" s="674">
        <f t="shared" si="38"/>
        <v>0</v>
      </c>
      <c r="AE47" s="674">
        <f>+Z47</f>
        <v>-131746.23000000001</v>
      </c>
      <c r="AF47" s="674">
        <v>0</v>
      </c>
      <c r="AG47" s="674">
        <f t="shared" si="39"/>
        <v>-131746.23000000001</v>
      </c>
      <c r="AH47" s="674">
        <v>0</v>
      </c>
      <c r="AI47" s="674">
        <v>0</v>
      </c>
      <c r="AK47" s="674">
        <v>-131746.23000000001</v>
      </c>
      <c r="AL47" s="674">
        <v>0</v>
      </c>
      <c r="AM47" s="674">
        <v>0</v>
      </c>
      <c r="AN47" s="674">
        <v>0</v>
      </c>
      <c r="AO47" s="668">
        <f t="shared" si="22"/>
        <v>0</v>
      </c>
      <c r="AP47" s="674">
        <f>+AK47</f>
        <v>-131746.23000000001</v>
      </c>
      <c r="AQ47" s="674">
        <v>0</v>
      </c>
      <c r="AR47" s="668">
        <f t="shared" si="23"/>
        <v>-131746.23000000001</v>
      </c>
      <c r="AS47" s="674">
        <v>0</v>
      </c>
      <c r="AT47" s="674">
        <v>0</v>
      </c>
      <c r="AU47" s="755"/>
      <c r="AV47" s="674">
        <v>-131746.23000000001</v>
      </c>
      <c r="AW47" s="674">
        <v>0</v>
      </c>
      <c r="AX47" s="674">
        <v>0</v>
      </c>
      <c r="AY47" s="674">
        <v>0</v>
      </c>
      <c r="AZ47" s="674">
        <f t="shared" si="40"/>
        <v>0</v>
      </c>
      <c r="BA47" s="674">
        <f>+AV47</f>
        <v>-131746.23000000001</v>
      </c>
      <c r="BB47" s="674">
        <v>0</v>
      </c>
      <c r="BC47" s="674">
        <f t="shared" si="41"/>
        <v>-131746.23000000001</v>
      </c>
      <c r="BD47" s="674">
        <v>0</v>
      </c>
      <c r="BE47" s="674">
        <v>0</v>
      </c>
      <c r="BF47" s="755"/>
      <c r="BG47" s="674">
        <v>-131746.23000000001</v>
      </c>
      <c r="BH47" s="674">
        <v>0</v>
      </c>
      <c r="BI47" s="674">
        <v>0</v>
      </c>
      <c r="BJ47" s="674">
        <v>0</v>
      </c>
      <c r="BK47" s="674">
        <f t="shared" si="42"/>
        <v>0</v>
      </c>
      <c r="BL47" s="674">
        <f>+BG47</f>
        <v>-131746.23000000001</v>
      </c>
      <c r="BM47" s="674">
        <v>0</v>
      </c>
      <c r="BN47" s="674">
        <f t="shared" si="43"/>
        <v>-131746.23000000001</v>
      </c>
      <c r="BO47" s="674">
        <v>0</v>
      </c>
      <c r="BP47" s="674">
        <v>0</v>
      </c>
      <c r="BQ47" s="755"/>
      <c r="BR47" s="674">
        <v>-131746.23000000001</v>
      </c>
      <c r="BS47" s="674">
        <v>0</v>
      </c>
      <c r="BT47" s="674">
        <v>0</v>
      </c>
      <c r="BU47" s="674">
        <v>0</v>
      </c>
      <c r="BV47" s="674">
        <f t="shared" si="44"/>
        <v>0</v>
      </c>
      <c r="BW47" s="674">
        <f>+BR47</f>
        <v>-131746.23000000001</v>
      </c>
      <c r="BX47" s="674">
        <v>0</v>
      </c>
      <c r="BY47" s="674">
        <f t="shared" si="45"/>
        <v>-131746.23000000001</v>
      </c>
      <c r="BZ47" s="674">
        <v>0</v>
      </c>
      <c r="CA47" s="674">
        <v>0</v>
      </c>
      <c r="CC47" s="674">
        <v>-131746.23000000001</v>
      </c>
      <c r="CD47" s="674">
        <v>0</v>
      </c>
      <c r="CE47" s="674">
        <v>0</v>
      </c>
      <c r="CF47" s="674">
        <v>0</v>
      </c>
      <c r="CG47" s="674">
        <f t="shared" si="46"/>
        <v>0</v>
      </c>
      <c r="CH47" s="674">
        <f>+CC47</f>
        <v>-131746.23000000001</v>
      </c>
      <c r="CI47" s="674">
        <v>0</v>
      </c>
      <c r="CJ47" s="674">
        <f t="shared" si="47"/>
        <v>-131746.23000000001</v>
      </c>
      <c r="CK47" s="674">
        <v>0</v>
      </c>
      <c r="CL47" s="674">
        <v>0</v>
      </c>
      <c r="CN47" s="674">
        <v>-131746.23000000001</v>
      </c>
      <c r="CO47" s="674">
        <v>0</v>
      </c>
      <c r="CP47" s="674">
        <v>0</v>
      </c>
      <c r="CQ47" s="674">
        <v>0</v>
      </c>
      <c r="CR47" s="674">
        <f t="shared" si="48"/>
        <v>0</v>
      </c>
      <c r="CS47" s="674">
        <f>+CN47</f>
        <v>-131746.23000000001</v>
      </c>
      <c r="CT47" s="674">
        <v>0</v>
      </c>
      <c r="CU47" s="674">
        <f t="shared" si="49"/>
        <v>-131746.23000000001</v>
      </c>
      <c r="CV47" s="674">
        <v>0</v>
      </c>
      <c r="CW47" s="674">
        <v>0</v>
      </c>
      <c r="CY47" s="105">
        <v>-131746.23000000001</v>
      </c>
      <c r="CZ47" s="674">
        <v>0</v>
      </c>
      <c r="DA47" s="674">
        <v>0</v>
      </c>
      <c r="DB47" s="674">
        <v>0</v>
      </c>
      <c r="DC47" s="674">
        <f t="shared" si="50"/>
        <v>0</v>
      </c>
      <c r="DD47" s="674">
        <f>+CY47</f>
        <v>-131746.23000000001</v>
      </c>
      <c r="DE47" s="674">
        <v>0</v>
      </c>
      <c r="DF47" s="674">
        <f t="shared" si="51"/>
        <v>-131746.23000000001</v>
      </c>
      <c r="DG47" s="674">
        <v>0</v>
      </c>
      <c r="DH47" s="674">
        <v>0</v>
      </c>
      <c r="DJ47" s="674">
        <v>-131746.23000000001</v>
      </c>
      <c r="DK47" s="674">
        <v>0</v>
      </c>
      <c r="DL47" s="674">
        <v>0</v>
      </c>
      <c r="DM47" s="674">
        <v>0</v>
      </c>
      <c r="DN47" s="674">
        <f t="shared" si="52"/>
        <v>0</v>
      </c>
      <c r="DO47" s="674">
        <f>+DJ47</f>
        <v>-131746.23000000001</v>
      </c>
      <c r="DP47" s="674">
        <v>0</v>
      </c>
      <c r="DQ47" s="674">
        <f t="shared" si="53"/>
        <v>-131746.23000000001</v>
      </c>
      <c r="DR47" s="674">
        <v>0</v>
      </c>
      <c r="DS47" s="674">
        <v>0</v>
      </c>
      <c r="DU47" s="674">
        <v>-131746.23000000001</v>
      </c>
      <c r="DV47" s="674">
        <v>0</v>
      </c>
      <c r="DW47" s="674">
        <v>0</v>
      </c>
      <c r="DX47" s="674">
        <v>0</v>
      </c>
      <c r="DY47" s="668">
        <f t="shared" si="20"/>
        <v>0</v>
      </c>
      <c r="DZ47" s="674">
        <f>+DU47</f>
        <v>-131746.23000000001</v>
      </c>
      <c r="EA47" s="674">
        <v>0</v>
      </c>
      <c r="EB47" s="668">
        <f t="shared" si="21"/>
        <v>-131746.23000000001</v>
      </c>
      <c r="EC47" s="674">
        <v>0</v>
      </c>
      <c r="ED47" s="674">
        <v>0</v>
      </c>
      <c r="EE47" s="754">
        <f>+'II-E-3.5'!I54+'II-E-3.5a'!DU47</f>
        <v>0</v>
      </c>
      <c r="EF47" s="754">
        <f t="shared" si="19"/>
        <v>0</v>
      </c>
      <c r="EH47" s="754"/>
    </row>
    <row r="48" spans="1:138" s="423" customFormat="1" ht="12.75">
      <c r="A48" s="524">
        <f t="shared" si="6"/>
        <v>36</v>
      </c>
      <c r="B48" s="184" t="s">
        <v>669</v>
      </c>
      <c r="C48" s="424" t="s">
        <v>843</v>
      </c>
      <c r="D48" s="674">
        <v>-318968.52000000002</v>
      </c>
      <c r="E48" s="674">
        <f>+D48</f>
        <v>-318968.52000000002</v>
      </c>
      <c r="F48" s="674">
        <v>0</v>
      </c>
      <c r="G48" s="674">
        <v>0</v>
      </c>
      <c r="H48" s="674">
        <f t="shared" si="34"/>
        <v>-318968.52000000002</v>
      </c>
      <c r="I48" s="674">
        <v>0</v>
      </c>
      <c r="J48" s="674">
        <v>0</v>
      </c>
      <c r="K48" s="674">
        <f t="shared" si="35"/>
        <v>0</v>
      </c>
      <c r="L48" s="674">
        <v>0</v>
      </c>
      <c r="M48" s="674">
        <v>0</v>
      </c>
      <c r="N48" s="675"/>
      <c r="O48" s="674">
        <v>-318968.52000000002</v>
      </c>
      <c r="P48" s="674">
        <f>+O48</f>
        <v>-318968.52000000002</v>
      </c>
      <c r="Q48" s="674">
        <v>0</v>
      </c>
      <c r="R48" s="674">
        <v>0</v>
      </c>
      <c r="S48" s="674">
        <f t="shared" si="36"/>
        <v>-318968.52000000002</v>
      </c>
      <c r="T48" s="674">
        <v>0</v>
      </c>
      <c r="U48" s="674">
        <v>0</v>
      </c>
      <c r="V48" s="674">
        <f t="shared" si="37"/>
        <v>0</v>
      </c>
      <c r="W48" s="674">
        <v>0</v>
      </c>
      <c r="X48" s="674">
        <v>0</v>
      </c>
      <c r="Y48" s="673"/>
      <c r="Z48" s="674">
        <v>-318968.52000000002</v>
      </c>
      <c r="AA48" s="674">
        <f>+Z48</f>
        <v>-318968.52000000002</v>
      </c>
      <c r="AB48" s="674">
        <v>0</v>
      </c>
      <c r="AC48" s="674">
        <v>0</v>
      </c>
      <c r="AD48" s="674">
        <f t="shared" si="38"/>
        <v>-318968.52000000002</v>
      </c>
      <c r="AE48" s="674">
        <v>0</v>
      </c>
      <c r="AF48" s="674">
        <v>0</v>
      </c>
      <c r="AG48" s="674">
        <f t="shared" si="39"/>
        <v>0</v>
      </c>
      <c r="AH48" s="674">
        <v>0</v>
      </c>
      <c r="AI48" s="674">
        <v>0</v>
      </c>
      <c r="AK48" s="674">
        <v>-318968.52000000002</v>
      </c>
      <c r="AL48" s="674">
        <f>+AK48</f>
        <v>-318968.52000000002</v>
      </c>
      <c r="AM48" s="674">
        <v>0</v>
      </c>
      <c r="AN48" s="674">
        <v>0</v>
      </c>
      <c r="AO48" s="668">
        <f t="shared" si="22"/>
        <v>-318968.52000000002</v>
      </c>
      <c r="AP48" s="674">
        <v>0</v>
      </c>
      <c r="AQ48" s="674">
        <v>0</v>
      </c>
      <c r="AR48" s="668">
        <f t="shared" si="23"/>
        <v>0</v>
      </c>
      <c r="AS48" s="674">
        <v>0</v>
      </c>
      <c r="AT48" s="674">
        <v>0</v>
      </c>
      <c r="AU48" s="755"/>
      <c r="AV48" s="674">
        <v>-318968.52000000002</v>
      </c>
      <c r="AW48" s="674">
        <f>+AV48</f>
        <v>-318968.52000000002</v>
      </c>
      <c r="AX48" s="674">
        <v>0</v>
      </c>
      <c r="AY48" s="674">
        <v>0</v>
      </c>
      <c r="AZ48" s="674">
        <f t="shared" si="40"/>
        <v>-318968.52000000002</v>
      </c>
      <c r="BA48" s="674">
        <v>0</v>
      </c>
      <c r="BB48" s="674">
        <v>0</v>
      </c>
      <c r="BC48" s="674">
        <f t="shared" si="41"/>
        <v>0</v>
      </c>
      <c r="BD48" s="674">
        <v>0</v>
      </c>
      <c r="BE48" s="674">
        <v>0</v>
      </c>
      <c r="BF48" s="755"/>
      <c r="BG48" s="674">
        <v>-318968.52000000002</v>
      </c>
      <c r="BH48" s="674">
        <f>+BG48</f>
        <v>-318968.52000000002</v>
      </c>
      <c r="BI48" s="674">
        <v>0</v>
      </c>
      <c r="BJ48" s="674">
        <v>0</v>
      </c>
      <c r="BK48" s="674">
        <f t="shared" si="42"/>
        <v>-318968.52000000002</v>
      </c>
      <c r="BL48" s="674">
        <v>0</v>
      </c>
      <c r="BM48" s="674">
        <v>0</v>
      </c>
      <c r="BN48" s="674">
        <f t="shared" si="43"/>
        <v>0</v>
      </c>
      <c r="BO48" s="674">
        <v>0</v>
      </c>
      <c r="BP48" s="674">
        <v>0</v>
      </c>
      <c r="BQ48" s="755"/>
      <c r="BR48" s="674">
        <v>-318968.52000000002</v>
      </c>
      <c r="BS48" s="674">
        <f>+BR48</f>
        <v>-318968.52000000002</v>
      </c>
      <c r="BT48" s="674">
        <v>0</v>
      </c>
      <c r="BU48" s="674">
        <v>0</v>
      </c>
      <c r="BV48" s="674">
        <f t="shared" si="44"/>
        <v>-318968.52000000002</v>
      </c>
      <c r="BW48" s="674">
        <v>0</v>
      </c>
      <c r="BX48" s="674">
        <v>0</v>
      </c>
      <c r="BY48" s="674">
        <f t="shared" si="45"/>
        <v>0</v>
      </c>
      <c r="BZ48" s="674">
        <v>0</v>
      </c>
      <c r="CA48" s="674">
        <v>0</v>
      </c>
      <c r="CC48" s="674">
        <v>-318968.52000000002</v>
      </c>
      <c r="CD48" s="674">
        <f>+CC48</f>
        <v>-318968.52000000002</v>
      </c>
      <c r="CE48" s="674">
        <v>0</v>
      </c>
      <c r="CF48" s="674">
        <v>0</v>
      </c>
      <c r="CG48" s="674">
        <f t="shared" si="46"/>
        <v>-318968.52000000002</v>
      </c>
      <c r="CH48" s="674">
        <v>0</v>
      </c>
      <c r="CI48" s="674">
        <v>0</v>
      </c>
      <c r="CJ48" s="674">
        <f t="shared" si="47"/>
        <v>0</v>
      </c>
      <c r="CK48" s="674">
        <v>0</v>
      </c>
      <c r="CL48" s="674">
        <v>0</v>
      </c>
      <c r="CN48" s="674">
        <v>-318968.52000000002</v>
      </c>
      <c r="CO48" s="674">
        <f>+CN48</f>
        <v>-318968.52000000002</v>
      </c>
      <c r="CP48" s="674">
        <v>0</v>
      </c>
      <c r="CQ48" s="674">
        <v>0</v>
      </c>
      <c r="CR48" s="674">
        <f t="shared" si="48"/>
        <v>-318968.52000000002</v>
      </c>
      <c r="CS48" s="674">
        <v>0</v>
      </c>
      <c r="CT48" s="674">
        <v>0</v>
      </c>
      <c r="CU48" s="674">
        <f t="shared" si="49"/>
        <v>0</v>
      </c>
      <c r="CV48" s="674">
        <v>0</v>
      </c>
      <c r="CW48" s="674">
        <v>0</v>
      </c>
      <c r="CY48" s="105">
        <v>-318968.52000000002</v>
      </c>
      <c r="CZ48" s="674">
        <f>+CY48</f>
        <v>-318968.52000000002</v>
      </c>
      <c r="DA48" s="674">
        <v>0</v>
      </c>
      <c r="DB48" s="674">
        <v>0</v>
      </c>
      <c r="DC48" s="674">
        <f t="shared" si="50"/>
        <v>-318968.52000000002</v>
      </c>
      <c r="DD48" s="674">
        <v>0</v>
      </c>
      <c r="DE48" s="674">
        <v>0</v>
      </c>
      <c r="DF48" s="674">
        <f t="shared" si="51"/>
        <v>0</v>
      </c>
      <c r="DG48" s="674">
        <v>0</v>
      </c>
      <c r="DH48" s="674">
        <v>0</v>
      </c>
      <c r="DJ48" s="674">
        <v>-318968.52000000002</v>
      </c>
      <c r="DK48" s="674">
        <f>+DJ48</f>
        <v>-318968.52000000002</v>
      </c>
      <c r="DL48" s="674">
        <v>0</v>
      </c>
      <c r="DM48" s="674">
        <v>0</v>
      </c>
      <c r="DN48" s="674">
        <f t="shared" si="52"/>
        <v>-318968.52000000002</v>
      </c>
      <c r="DO48" s="674">
        <v>0</v>
      </c>
      <c r="DP48" s="674">
        <v>0</v>
      </c>
      <c r="DQ48" s="674">
        <f t="shared" si="53"/>
        <v>0</v>
      </c>
      <c r="DR48" s="674">
        <v>0</v>
      </c>
      <c r="DS48" s="674">
        <v>0</v>
      </c>
      <c r="DU48" s="674">
        <v>-318968.52000000002</v>
      </c>
      <c r="DV48" s="674">
        <f>+DU48</f>
        <v>-318968.52000000002</v>
      </c>
      <c r="DW48" s="674">
        <v>0</v>
      </c>
      <c r="DX48" s="674">
        <v>0</v>
      </c>
      <c r="DY48" s="668">
        <f t="shared" si="20"/>
        <v>-318968.52000000002</v>
      </c>
      <c r="DZ48" s="674">
        <v>0</v>
      </c>
      <c r="EA48" s="674">
        <v>0</v>
      </c>
      <c r="EB48" s="668">
        <f t="shared" si="21"/>
        <v>0</v>
      </c>
      <c r="EC48" s="674">
        <v>0</v>
      </c>
      <c r="ED48" s="674">
        <v>0</v>
      </c>
      <c r="EE48" s="754">
        <f>+'II-E-3.5'!I55+'II-E-3.5a'!DU48</f>
        <v>0</v>
      </c>
      <c r="EF48" s="754">
        <f t="shared" si="19"/>
        <v>0</v>
      </c>
      <c r="EH48" s="754"/>
    </row>
    <row r="49" spans="1:138" s="423" customFormat="1" ht="12.75">
      <c r="A49" s="524">
        <f t="shared" si="6"/>
        <v>37</v>
      </c>
      <c r="B49" s="184" t="s">
        <v>670</v>
      </c>
      <c r="C49" s="424" t="s">
        <v>408</v>
      </c>
      <c r="D49" s="674">
        <v>-964588.30000000005</v>
      </c>
      <c r="E49" s="674">
        <v>-805294.22999999998</v>
      </c>
      <c r="F49" s="674">
        <v>-79202.130000000005</v>
      </c>
      <c r="G49" s="674">
        <v>0</v>
      </c>
      <c r="H49" s="674">
        <f t="shared" si="34"/>
        <v>-884496.35999999999</v>
      </c>
      <c r="I49" s="674">
        <v>-80091.940000000002</v>
      </c>
      <c r="J49" s="674">
        <v>0</v>
      </c>
      <c r="K49" s="674">
        <f t="shared" si="35"/>
        <v>-80091.940000000002</v>
      </c>
      <c r="L49" s="674">
        <v>0</v>
      </c>
      <c r="M49" s="674">
        <v>0</v>
      </c>
      <c r="N49" s="675"/>
      <c r="O49" s="674">
        <v>-1025735.64</v>
      </c>
      <c r="P49" s="674">
        <v>-852313.01000000001</v>
      </c>
      <c r="Q49" s="674">
        <v>-79202.130000000005</v>
      </c>
      <c r="R49" s="674">
        <v>0</v>
      </c>
      <c r="S49" s="674">
        <f>SUM(P49:R49)</f>
        <v>-931515.14000000001</v>
      </c>
      <c r="T49" s="674">
        <v>-94220.5</v>
      </c>
      <c r="U49" s="674">
        <v>0</v>
      </c>
      <c r="V49" s="674">
        <f>SUM(T49:U49)</f>
        <v>-94220.5</v>
      </c>
      <c r="W49" s="674">
        <v>0</v>
      </c>
      <c r="X49" s="674">
        <v>0</v>
      </c>
      <c r="Y49" s="673"/>
      <c r="Z49" s="674">
        <v>-1058395.6499999999</v>
      </c>
      <c r="AA49" s="674">
        <v>-871170.43000000005</v>
      </c>
      <c r="AB49" s="674">
        <v>-79202.130000000005</v>
      </c>
      <c r="AC49" s="674">
        <v>0</v>
      </c>
      <c r="AD49" s="674">
        <f t="shared" si="54" ref="AD49">SUM(AA49:AC49)</f>
        <v>-950372.56000000006</v>
      </c>
      <c r="AE49" s="674">
        <v>-108023.09</v>
      </c>
      <c r="AF49" s="674">
        <v>0</v>
      </c>
      <c r="AG49" s="674">
        <f>SUM(AE49:AF49)</f>
        <v>-108023.09</v>
      </c>
      <c r="AH49" s="674"/>
      <c r="AI49" s="674"/>
      <c r="AK49" s="674">
        <v>-1149397.9099999999</v>
      </c>
      <c r="AL49" s="674">
        <v>-919524.78000000003</v>
      </c>
      <c r="AM49" s="674">
        <v>-97047.930000000008</v>
      </c>
      <c r="AN49" s="674">
        <v>0</v>
      </c>
      <c r="AO49" s="668">
        <f t="shared" si="22"/>
        <v>-1016572.7100000001</v>
      </c>
      <c r="AP49" s="674">
        <v>-132825.20000000001</v>
      </c>
      <c r="AQ49" s="674">
        <v>0</v>
      </c>
      <c r="AR49" s="668">
        <f t="shared" si="23"/>
        <v>-132825.20000000001</v>
      </c>
      <c r="AS49" s="674">
        <v>0</v>
      </c>
      <c r="AT49" s="674">
        <v>0</v>
      </c>
      <c r="AU49" s="755"/>
      <c r="AV49" s="674">
        <v>-1149749.5399999998</v>
      </c>
      <c r="AW49" s="674">
        <v>-919524.78000000003</v>
      </c>
      <c r="AX49" s="674">
        <v>-97047.930000000008</v>
      </c>
      <c r="AY49" s="674">
        <v>0</v>
      </c>
      <c r="AZ49" s="674">
        <f t="shared" si="55" ref="AZ49">SUM(AW49:AY49)</f>
        <v>-1016572.7100000001</v>
      </c>
      <c r="BA49" s="674">
        <v>-133176.83000000002</v>
      </c>
      <c r="BB49" s="674">
        <v>0</v>
      </c>
      <c r="BC49" s="674">
        <f>SUM(BA49:BB49)</f>
        <v>-133176.83000000002</v>
      </c>
      <c r="BD49" s="674">
        <v>0</v>
      </c>
      <c r="BE49" s="674">
        <v>0</v>
      </c>
      <c r="BF49" s="755"/>
      <c r="BG49" s="674">
        <v>-1149933.3299999998</v>
      </c>
      <c r="BH49" s="674">
        <v>-919524.78000000003</v>
      </c>
      <c r="BI49" s="674">
        <v>-97047.930000000008</v>
      </c>
      <c r="BJ49" s="674">
        <v>0</v>
      </c>
      <c r="BK49" s="674">
        <f t="shared" si="56" ref="BK49">SUM(BH49:BJ49)</f>
        <v>-1016572.7100000001</v>
      </c>
      <c r="BL49" s="674">
        <v>-133360.62000000002</v>
      </c>
      <c r="BM49" s="674">
        <v>0</v>
      </c>
      <c r="BN49" s="674">
        <f>SUM(BL49:BM49)</f>
        <v>-133360.62000000002</v>
      </c>
      <c r="BO49" s="674">
        <v>0</v>
      </c>
      <c r="BP49" s="674">
        <v>0</v>
      </c>
      <c r="BQ49" s="755"/>
      <c r="BR49" s="674">
        <v>-1149933.3299999998</v>
      </c>
      <c r="BS49" s="674">
        <v>-919524.78000000003</v>
      </c>
      <c r="BT49" s="674">
        <v>-97047.930000000008</v>
      </c>
      <c r="BU49" s="674">
        <v>0</v>
      </c>
      <c r="BV49" s="674">
        <f t="shared" si="57" ref="BV49">SUM(BS49:BU49)</f>
        <v>-1016572.7100000001</v>
      </c>
      <c r="BW49" s="674">
        <v>-133360.62000000002</v>
      </c>
      <c r="BX49" s="674">
        <v>0</v>
      </c>
      <c r="BY49" s="674">
        <f>SUM(BW49:BX49)</f>
        <v>-133360.62000000002</v>
      </c>
      <c r="BZ49" s="674">
        <v>0</v>
      </c>
      <c r="CA49" s="674">
        <v>0</v>
      </c>
      <c r="CC49" s="674">
        <v>-1150415.5499999998</v>
      </c>
      <c r="CD49" s="674">
        <v>-919524.78000000003</v>
      </c>
      <c r="CE49" s="674">
        <v>-97047.930000000008</v>
      </c>
      <c r="CF49" s="674">
        <v>0</v>
      </c>
      <c r="CG49" s="674">
        <f t="shared" si="58" ref="CG49">SUM(CD49:CF49)</f>
        <v>-1016572.7100000001</v>
      </c>
      <c r="CH49" s="674">
        <v>-133842.84000000003</v>
      </c>
      <c r="CI49" s="674">
        <v>0</v>
      </c>
      <c r="CJ49" s="674">
        <f>SUM(CH49:CI49)</f>
        <v>-133842.84000000003</v>
      </c>
      <c r="CK49" s="674">
        <v>0</v>
      </c>
      <c r="CL49" s="674">
        <v>0</v>
      </c>
      <c r="CN49" s="674">
        <v>-1150559.8099999998</v>
      </c>
      <c r="CO49" s="674">
        <v>-919524.78000000003</v>
      </c>
      <c r="CP49" s="674">
        <v>-97047.930000000008</v>
      </c>
      <c r="CQ49" s="674">
        <v>0</v>
      </c>
      <c r="CR49" s="674">
        <f t="shared" si="59" ref="CR49">SUM(CO49:CQ49)</f>
        <v>-1016572.7100000001</v>
      </c>
      <c r="CS49" s="674">
        <v>-133987.10000000004</v>
      </c>
      <c r="CT49" s="674">
        <v>0</v>
      </c>
      <c r="CU49" s="674">
        <f>SUM(CS49:CT49)</f>
        <v>-133987.10000000004</v>
      </c>
      <c r="CV49" s="674">
        <v>0</v>
      </c>
      <c r="CW49" s="674">
        <v>0</v>
      </c>
      <c r="CY49" s="105">
        <v>-1509701.8099999998</v>
      </c>
      <c r="CZ49" s="674">
        <v>-1278493.48</v>
      </c>
      <c r="DA49" s="674">
        <v>-97047.930000000008</v>
      </c>
      <c r="DB49" s="674">
        <v>0</v>
      </c>
      <c r="DC49" s="674">
        <f t="shared" si="60" ref="DC49">SUM(CZ49:DB49)</f>
        <v>-1375541.4099999999</v>
      </c>
      <c r="DD49" s="674">
        <v>-134160.40000000002</v>
      </c>
      <c r="DE49" s="674">
        <v>0</v>
      </c>
      <c r="DF49" s="674">
        <f>SUM(DD49:DE49)</f>
        <v>-134160.40000000002</v>
      </c>
      <c r="DG49" s="674">
        <v>0</v>
      </c>
      <c r="DH49" s="674">
        <v>0</v>
      </c>
      <c r="DJ49" s="674">
        <v>-1553938.3599999999</v>
      </c>
      <c r="DK49" s="674">
        <v>-1302176.28</v>
      </c>
      <c r="DL49" s="674">
        <v>-116802.63000000001</v>
      </c>
      <c r="DM49" s="674">
        <v>0</v>
      </c>
      <c r="DN49" s="674">
        <f t="shared" si="61" ref="DN49">SUM(DK49:DM49)</f>
        <v>-1418978.9100000002</v>
      </c>
      <c r="DO49" s="674">
        <v>-134959.45000000001</v>
      </c>
      <c r="DP49" s="674">
        <v>0</v>
      </c>
      <c r="DQ49" s="674">
        <f>SUM(DO49:DP49)</f>
        <v>-134959.45000000001</v>
      </c>
      <c r="DR49" s="674">
        <v>0</v>
      </c>
      <c r="DS49" s="674">
        <v>0</v>
      </c>
      <c r="DU49" s="674">
        <f>-1584988.68-'II-E-3.5'!H56</f>
        <v>-1577814.04</v>
      </c>
      <c r="DV49" s="674">
        <f>-'II-E-3.5'!O56</f>
        <v>-1332237.78</v>
      </c>
      <c r="DW49" s="674">
        <f>-'II-E-3.5'!P56</f>
        <v>-116802.63000000001</v>
      </c>
      <c r="DX49" s="674">
        <f>-'II-E-3.5'!Q56</f>
        <v>0</v>
      </c>
      <c r="DY49" s="668">
        <f t="shared" si="20"/>
        <v>-1449040.4100000002</v>
      </c>
      <c r="DZ49" s="674">
        <f>-'II-E-3.5'!S56</f>
        <v>-128773.63000000001</v>
      </c>
      <c r="EA49" s="674">
        <f>-'II-E-3.5'!T56</f>
        <v>0</v>
      </c>
      <c r="EB49" s="668">
        <f t="shared" si="21"/>
        <v>-128773.63000000001</v>
      </c>
      <c r="EC49" s="674">
        <f>-'II-E-3.5'!V56</f>
        <v>0</v>
      </c>
      <c r="ED49" s="674">
        <f>-'II-E-3.5'!W56</f>
        <v>0</v>
      </c>
      <c r="EE49" s="754">
        <f>+'II-E-3.5'!I56+'II-E-3.5a'!DU49</f>
        <v>0</v>
      </c>
      <c r="EF49" s="754">
        <f t="shared" si="19"/>
        <v>0</v>
      </c>
      <c r="EH49" s="754"/>
    </row>
    <row r="50" spans="1:138" s="423" customFormat="1" ht="12.75">
      <c r="A50" s="524">
        <f t="shared" si="6"/>
        <v>38</v>
      </c>
      <c r="B50" s="184" t="s">
        <v>672</v>
      </c>
      <c r="C50" s="424" t="s">
        <v>843</v>
      </c>
      <c r="D50" s="674">
        <v>-4960884.3199999994</v>
      </c>
      <c r="E50" s="674">
        <f>+D50</f>
        <v>-4960884.3199999994</v>
      </c>
      <c r="F50" s="674">
        <v>0</v>
      </c>
      <c r="G50" s="674">
        <v>0</v>
      </c>
      <c r="H50" s="674">
        <f t="shared" si="34"/>
        <v>-4960884.3199999994</v>
      </c>
      <c r="I50" s="674">
        <v>0</v>
      </c>
      <c r="J50" s="674">
        <v>0</v>
      </c>
      <c r="K50" s="674">
        <f t="shared" si="35"/>
        <v>0</v>
      </c>
      <c r="L50" s="674">
        <v>0</v>
      </c>
      <c r="M50" s="674">
        <v>0</v>
      </c>
      <c r="N50" s="675"/>
      <c r="O50" s="674">
        <v>-5274453.8099999996</v>
      </c>
      <c r="P50" s="674">
        <f>+O50</f>
        <v>-5274453.8099999996</v>
      </c>
      <c r="Q50" s="674">
        <v>0</v>
      </c>
      <c r="R50" s="674">
        <v>0</v>
      </c>
      <c r="S50" s="674">
        <f t="shared" si="62" ref="S50">SUM(P50:R50)</f>
        <v>-5274453.8099999996</v>
      </c>
      <c r="T50" s="674">
        <v>0</v>
      </c>
      <c r="U50" s="674">
        <v>0</v>
      </c>
      <c r="V50" s="674">
        <f t="shared" si="63" ref="V50">SUM(T50:U50)</f>
        <v>0</v>
      </c>
      <c r="W50" s="674">
        <v>0</v>
      </c>
      <c r="X50" s="674">
        <v>0</v>
      </c>
      <c r="Y50" s="673"/>
      <c r="Z50" s="674">
        <v>-5824707.9899999993</v>
      </c>
      <c r="AA50" s="674">
        <f>+Z50</f>
        <v>-5824707.9899999993</v>
      </c>
      <c r="AB50" s="674">
        <v>0</v>
      </c>
      <c r="AC50" s="674">
        <v>0</v>
      </c>
      <c r="AD50" s="674">
        <f t="shared" si="64" ref="AD50">SUM(AA50:AC50)</f>
        <v>-5824707.9899999993</v>
      </c>
      <c r="AE50" s="674">
        <v>0</v>
      </c>
      <c r="AF50" s="674">
        <v>0</v>
      </c>
      <c r="AG50" s="674">
        <f t="shared" si="65" ref="AG50">SUM(AE50:AF50)</f>
        <v>0</v>
      </c>
      <c r="AH50" s="674">
        <v>0</v>
      </c>
      <c r="AI50" s="674">
        <v>0</v>
      </c>
      <c r="AK50" s="674">
        <v>-6280304.2599999998</v>
      </c>
      <c r="AL50" s="674">
        <f>+AK50</f>
        <v>-6280304.2599999998</v>
      </c>
      <c r="AM50" s="674">
        <v>0</v>
      </c>
      <c r="AN50" s="674">
        <v>0</v>
      </c>
      <c r="AO50" s="668">
        <f t="shared" si="22"/>
        <v>-6280304.2599999998</v>
      </c>
      <c r="AP50" s="674">
        <v>0</v>
      </c>
      <c r="AQ50" s="674">
        <v>0</v>
      </c>
      <c r="AR50" s="668">
        <f t="shared" si="23"/>
        <v>0</v>
      </c>
      <c r="AS50" s="674">
        <v>0</v>
      </c>
      <c r="AT50" s="674">
        <v>0</v>
      </c>
      <c r="AU50" s="755"/>
      <c r="AV50" s="674">
        <v>-6561501.54</v>
      </c>
      <c r="AW50" s="674">
        <f>+AV50</f>
        <v>-6561501.54</v>
      </c>
      <c r="AX50" s="674">
        <v>0</v>
      </c>
      <c r="AY50" s="674">
        <v>0</v>
      </c>
      <c r="AZ50" s="674">
        <f t="shared" si="66" ref="AZ50">SUM(AW50:AY50)</f>
        <v>-6561501.54</v>
      </c>
      <c r="BA50" s="674">
        <v>0</v>
      </c>
      <c r="BB50" s="674">
        <v>0</v>
      </c>
      <c r="BC50" s="674">
        <f t="shared" si="67" ref="BC50">SUM(BA50:BB50)</f>
        <v>0</v>
      </c>
      <c r="BD50" s="674">
        <v>0</v>
      </c>
      <c r="BE50" s="674">
        <v>0</v>
      </c>
      <c r="BF50" s="755"/>
      <c r="BG50" s="674">
        <v>-6780203.0099999998</v>
      </c>
      <c r="BH50" s="674">
        <f>+BG50</f>
        <v>-6780203.0099999998</v>
      </c>
      <c r="BI50" s="674">
        <v>0</v>
      </c>
      <c r="BJ50" s="674">
        <v>0</v>
      </c>
      <c r="BK50" s="674">
        <f t="shared" si="68" ref="BK50">SUM(BH50:BJ50)</f>
        <v>-6780203.0099999998</v>
      </c>
      <c r="BL50" s="674">
        <v>0</v>
      </c>
      <c r="BM50" s="674">
        <v>0</v>
      </c>
      <c r="BN50" s="674">
        <f t="shared" si="69" ref="BN50">SUM(BL50:BM50)</f>
        <v>0</v>
      </c>
      <c r="BO50" s="674">
        <v>0</v>
      </c>
      <c r="BP50" s="674">
        <v>0</v>
      </c>
      <c r="BQ50" s="755"/>
      <c r="BR50" s="674">
        <v>-6896808.4799999995</v>
      </c>
      <c r="BS50" s="674">
        <f>+BR50</f>
        <v>-6896808.4799999995</v>
      </c>
      <c r="BT50" s="674">
        <v>0</v>
      </c>
      <c r="BU50" s="674">
        <v>0</v>
      </c>
      <c r="BV50" s="674">
        <f t="shared" si="70" ref="BV50">SUM(BS50:BU50)</f>
        <v>-6896808.4799999995</v>
      </c>
      <c r="BW50" s="674">
        <v>0</v>
      </c>
      <c r="BX50" s="674">
        <v>0</v>
      </c>
      <c r="BY50" s="674">
        <f t="shared" si="71" ref="BY50">SUM(BW50:BX50)</f>
        <v>0</v>
      </c>
      <c r="BZ50" s="674">
        <v>0</v>
      </c>
      <c r="CA50" s="674">
        <v>0</v>
      </c>
      <c r="CC50" s="674">
        <v>-6997422.46</v>
      </c>
      <c r="CD50" s="674">
        <f>+CC50</f>
        <v>-6997422.46</v>
      </c>
      <c r="CE50" s="674">
        <v>0</v>
      </c>
      <c r="CF50" s="674">
        <v>0</v>
      </c>
      <c r="CG50" s="674">
        <f t="shared" si="72" ref="CG50">SUM(CD50:CF50)</f>
        <v>-6997422.46</v>
      </c>
      <c r="CH50" s="674">
        <v>0</v>
      </c>
      <c r="CI50" s="674">
        <v>0</v>
      </c>
      <c r="CJ50" s="674">
        <f t="shared" si="73" ref="CJ50">SUM(CH50:CI50)</f>
        <v>0</v>
      </c>
      <c r="CK50" s="674">
        <v>0</v>
      </c>
      <c r="CL50" s="674">
        <v>0</v>
      </c>
      <c r="CN50" s="674">
        <v>-7048367.1900000004</v>
      </c>
      <c r="CO50" s="674">
        <f>+CN50</f>
        <v>-7048367.1900000004</v>
      </c>
      <c r="CP50" s="674">
        <v>0</v>
      </c>
      <c r="CQ50" s="674">
        <v>0</v>
      </c>
      <c r="CR50" s="674">
        <f t="shared" si="74" ref="CR50">SUM(CO50:CQ50)</f>
        <v>-7048367.1900000004</v>
      </c>
      <c r="CS50" s="674">
        <v>0</v>
      </c>
      <c r="CT50" s="674">
        <v>0</v>
      </c>
      <c r="CU50" s="674">
        <f t="shared" si="75" ref="CU50">SUM(CS50:CT50)</f>
        <v>0</v>
      </c>
      <c r="CV50" s="674">
        <v>0</v>
      </c>
      <c r="CW50" s="674">
        <v>0</v>
      </c>
      <c r="CY50" s="105">
        <v>-7098890.6800000006</v>
      </c>
      <c r="CZ50" s="674">
        <f>+CY50</f>
        <v>-7098890.6800000006</v>
      </c>
      <c r="DA50" s="674">
        <v>0</v>
      </c>
      <c r="DB50" s="674">
        <v>0</v>
      </c>
      <c r="DC50" s="674">
        <f t="shared" si="76" ref="DC50">SUM(CZ50:DB50)</f>
        <v>-7098890.6800000006</v>
      </c>
      <c r="DD50" s="674">
        <v>0</v>
      </c>
      <c r="DE50" s="674">
        <v>0</v>
      </c>
      <c r="DF50" s="674">
        <f t="shared" si="77" ref="DF50">SUM(DD50:DE50)</f>
        <v>0</v>
      </c>
      <c r="DG50" s="674">
        <v>0</v>
      </c>
      <c r="DH50" s="674">
        <v>0</v>
      </c>
      <c r="DJ50" s="674">
        <v>-7191809.5300000003</v>
      </c>
      <c r="DK50" s="674">
        <f>+DJ50</f>
        <v>-7191809.5300000003</v>
      </c>
      <c r="DL50" s="674">
        <v>0</v>
      </c>
      <c r="DM50" s="674">
        <v>0</v>
      </c>
      <c r="DN50" s="674">
        <f t="shared" si="78" ref="DN50">SUM(DK50:DM50)</f>
        <v>-7191809.5300000003</v>
      </c>
      <c r="DO50" s="674">
        <v>0</v>
      </c>
      <c r="DP50" s="674">
        <v>0</v>
      </c>
      <c r="DQ50" s="674">
        <f t="shared" si="79" ref="DQ50">SUM(DO50:DP50)</f>
        <v>0</v>
      </c>
      <c r="DR50" s="674">
        <v>0</v>
      </c>
      <c r="DS50" s="674">
        <v>0</v>
      </c>
      <c r="DU50" s="674">
        <f>-7278558.57-'II-E-3.5'!H57</f>
        <v>-7269911.5300000003</v>
      </c>
      <c r="DV50" s="674">
        <f>-'II-E-3.5'!O57</f>
        <v>-631388.69999999995</v>
      </c>
      <c r="DW50" s="674">
        <f>-'II-E-3.5'!P57</f>
        <v>0</v>
      </c>
      <c r="DX50" s="674">
        <f>-'II-E-3.5'!Q57</f>
        <v>0</v>
      </c>
      <c r="DY50" s="674">
        <f>-'II-E-3.5'!R57</f>
        <v>-631388.69999999995</v>
      </c>
      <c r="DZ50" s="674">
        <f>-'II-E-3.5'!S57</f>
        <v>-6037932.9500000002</v>
      </c>
      <c r="EA50" s="674">
        <f>-'II-E-3.5'!T57</f>
        <v>0</v>
      </c>
      <c r="EB50" s="674">
        <f>-'II-E-3.5'!U57</f>
        <v>-6037932.9500000002</v>
      </c>
      <c r="EC50" s="674">
        <f>-'II-E-3.5'!V57</f>
        <v>-331632.82000000001</v>
      </c>
      <c r="ED50" s="674">
        <f>-'II-E-3.5'!W57</f>
        <v>-268957.05999999988</v>
      </c>
      <c r="EE50" s="754">
        <f>+'II-E-3.5'!I57+'II-E-3.5a'!DU50</f>
        <v>0</v>
      </c>
      <c r="EF50" s="754">
        <f t="shared" si="19"/>
        <v>0</v>
      </c>
      <c r="EH50" s="754"/>
    </row>
    <row r="51" spans="1:138" s="423" customFormat="1" ht="12.75">
      <c r="A51" s="524">
        <f t="shared" si="6"/>
        <v>39</v>
      </c>
      <c r="B51" s="197" t="s">
        <v>1228</v>
      </c>
      <c r="C51" s="424" t="s">
        <v>775</v>
      </c>
      <c r="D51" s="674">
        <v>10314678.390000001</v>
      </c>
      <c r="E51" s="668">
        <f>ROUND(+$D51*'[5]II-F Alloc_Factor'!E$35,2)</f>
        <v>4614961.71</v>
      </c>
      <c r="F51" s="668">
        <f>ROUND(+$D51*'[5]II-F Alloc_Factor'!F$35,2)</f>
        <v>0</v>
      </c>
      <c r="G51" s="668">
        <f>ROUND(+$D51*'[5]II-F Alloc_Factor'!G$35,2)</f>
        <v>0</v>
      </c>
      <c r="H51" s="668">
        <f>ROUND(+$D51*'[5]II-F Alloc_Factor'!H$35,2)</f>
        <v>4614961.71</v>
      </c>
      <c r="I51" s="668">
        <f>ROUND(+$D51*'[5]II-F Alloc_Factor'!I$35,2)</f>
        <v>5386214.2699999996</v>
      </c>
      <c r="J51" s="668">
        <f>ROUND(+$D51*'[5]II-F Alloc_Factor'!J$35,2)</f>
        <v>0</v>
      </c>
      <c r="K51" s="668">
        <f>ROUND(+$D51*'[5]II-F Alloc_Factor'!K$35,2)</f>
        <v>5386214.2699999996</v>
      </c>
      <c r="L51" s="668">
        <f>ROUND(+$D51*'[5]II-F Alloc_Factor'!L$35,2)</f>
        <v>250433.82000000001</v>
      </c>
      <c r="M51" s="668">
        <f>ROUND(+$D51*'[5]II-F Alloc_Factor'!M$35,2)</f>
        <v>63068.589999999997</v>
      </c>
      <c r="N51" s="669"/>
      <c r="O51" s="674">
        <v>10251727.110000001</v>
      </c>
      <c r="P51" s="668">
        <f>ROUND(+$O51*'[5]II-F Alloc_Factor'!E$35,2)</f>
        <v>4586796.2400000002</v>
      </c>
      <c r="Q51" s="668">
        <f>ROUND(+$O51*'[5]II-F Alloc_Factor'!F$35,2)</f>
        <v>0</v>
      </c>
      <c r="R51" s="668">
        <f>ROUND(+$O51*'[5]II-F Alloc_Factor'!G$35,2)</f>
        <v>0</v>
      </c>
      <c r="S51" s="668">
        <f>ROUND(+$O51*'[5]II-F Alloc_Factor'!H$35,2)</f>
        <v>4586796.2400000002</v>
      </c>
      <c r="T51" s="668">
        <f>ROUND(+$O51*'[5]II-F Alloc_Factor'!I$35,2)</f>
        <v>5353341.79</v>
      </c>
      <c r="U51" s="668">
        <f>ROUND(+$O51*'[5]II-F Alloc_Factor'!J$35,2)</f>
        <v>0</v>
      </c>
      <c r="V51" s="668">
        <f>ROUND(+$O51*'[5]II-F Alloc_Factor'!K$35,2)</f>
        <v>5353341.79</v>
      </c>
      <c r="W51" s="668">
        <f>ROUND(+$O51*'[5]II-F Alloc_Factor'!L$35,2)</f>
        <v>248905.39999999999</v>
      </c>
      <c r="X51" s="668">
        <f>ROUND(+$O51*'[5]II-F Alloc_Factor'!M$35,2)</f>
        <v>62683.68</v>
      </c>
      <c r="Y51" s="673"/>
      <c r="Z51" s="674">
        <v>10188175.170000002</v>
      </c>
      <c r="AA51" s="668">
        <f>ROUND(+$Z51*'[5]II-F Alloc_Factor'!E$35,2)</f>
        <v>4558362.0199999996</v>
      </c>
      <c r="AB51" s="668">
        <f>ROUND(+$Z51*'[5]II-F Alloc_Factor'!F$35,2)</f>
        <v>0</v>
      </c>
      <c r="AC51" s="668">
        <f>ROUND(+$Z51*'[5]II-F Alloc_Factor'!G$35,2)</f>
        <v>0</v>
      </c>
      <c r="AD51" s="668">
        <f>ROUND(+$Z51*'[5]II-F Alloc_Factor'!H$35,2)</f>
        <v>4558362.0199999996</v>
      </c>
      <c r="AE51" s="668">
        <f>ROUND(+$Z51*'[5]II-F Alloc_Factor'!I$35,2)</f>
        <v>5320155.6500000004</v>
      </c>
      <c r="AF51" s="668">
        <f>ROUND(+$Z51*'[5]II-F Alloc_Factor'!J$35,2)</f>
        <v>0</v>
      </c>
      <c r="AG51" s="668">
        <f>ROUND(+$Z51*'[5]II-F Alloc_Factor'!K$35,2)</f>
        <v>5320155.6500000004</v>
      </c>
      <c r="AH51" s="668">
        <f>ROUND(+$Z51*'[5]II-F Alloc_Factor'!L$35,2)</f>
        <v>247362.39999999999</v>
      </c>
      <c r="AI51" s="668">
        <f>ROUND(+$Z51*'[5]II-F Alloc_Factor'!M$35,2)</f>
        <v>62295.089999999997</v>
      </c>
      <c r="AK51" s="674">
        <v>10124020.420000002</v>
      </c>
      <c r="AL51" s="668">
        <f>ROUND(+$AK51*'[5]II-F Alloc_Factor'!E$35,2)</f>
        <v>4529658.0999999996</v>
      </c>
      <c r="AM51" s="668">
        <f>ROUND(+$AK51*'[5]II-F Alloc_Factor'!F$35,2)</f>
        <v>0</v>
      </c>
      <c r="AN51" s="668">
        <f>ROUND(+$AK51*'[5]II-F Alloc_Factor'!G$35,2)</f>
        <v>0</v>
      </c>
      <c r="AO51" s="668">
        <f t="shared" si="22"/>
        <v>4529658.0999999996</v>
      </c>
      <c r="AP51" s="668">
        <f>ROUND(+$AK51*'[5]II-F Alloc_Factor'!I$35,2)</f>
        <v>5286654.7300000004</v>
      </c>
      <c r="AQ51" s="668">
        <f>ROUND(+$AK51*'[5]II-F Alloc_Factor'!J$35,2)</f>
        <v>0</v>
      </c>
      <c r="AR51" s="668">
        <f t="shared" si="23"/>
        <v>5286654.7300000004</v>
      </c>
      <c r="AS51" s="668">
        <f>ROUND(+$AK51*'[5]II-F Alloc_Factor'!L$35,2)</f>
        <v>245804.76000000001</v>
      </c>
      <c r="AT51" s="668">
        <f>ROUND(+$AK51*'[5]II-F Alloc_Factor'!M$35,2)</f>
        <v>61902.82</v>
      </c>
      <c r="AU51" s="755"/>
      <c r="AV51" s="674">
        <v>10059260.680000002</v>
      </c>
      <c r="AW51" s="668">
        <f>ROUND(+$AV51*'[5]II-F Alloc_Factor'!E$35,2)</f>
        <v>4500683.5</v>
      </c>
      <c r="AX51" s="668">
        <f>ROUND(+$AV51*'[5]II-F Alloc_Factor'!F$35,2)</f>
        <v>0</v>
      </c>
      <c r="AY51" s="668">
        <f>ROUND(+$AV51*'[5]II-F Alloc_Factor'!G$35,2)</f>
        <v>0</v>
      </c>
      <c r="AZ51" s="668">
        <f>ROUND(+$AV51*'[5]II-F Alloc_Factor'!H$35,2)</f>
        <v>4500683.5</v>
      </c>
      <c r="BA51" s="668">
        <f>ROUND(+$AV51*'[5]II-F Alloc_Factor'!I$35,2)</f>
        <v>5252837.8899999997</v>
      </c>
      <c r="BB51" s="668">
        <f>ROUND(+$AV51*'[5]II-F Alloc_Factor'!J$35,2)</f>
        <v>0</v>
      </c>
      <c r="BC51" s="668">
        <f>ROUND(+$AV51*'[5]II-F Alloc_Factor'!K$35,2)</f>
        <v>5252837.8899999997</v>
      </c>
      <c r="BD51" s="668">
        <f>ROUND(+$AV51*'[5]II-F Alloc_Factor'!L$35,2)</f>
        <v>244232.44</v>
      </c>
      <c r="BE51" s="668">
        <f>ROUND(+$AV51*'[5]II-F Alloc_Factor'!M$35,2)</f>
        <v>61506.849999999999</v>
      </c>
      <c r="BF51" s="755"/>
      <c r="BG51" s="674">
        <v>9995553.6500000022</v>
      </c>
      <c r="BH51" s="668">
        <f>ROUND(+$BG51*'[5]II-F Alloc_Factor'!E$35,2)</f>
        <v>4472179.8899999997</v>
      </c>
      <c r="BI51" s="668">
        <f>ROUND(+$BG51*'[5]II-F Alloc_Factor'!F$35,2)</f>
        <v>0</v>
      </c>
      <c r="BJ51" s="668">
        <f>ROUND(+$BG51*'[5]II-F Alloc_Factor'!G$35,2)</f>
        <v>0</v>
      </c>
      <c r="BK51" s="668">
        <f>ROUND(+$BG51*'[5]II-F Alloc_Factor'!H$35,2)</f>
        <v>4472179.8899999997</v>
      </c>
      <c r="BL51" s="668">
        <f>ROUND(+$BG51*'[5]II-F Alloc_Factor'!I$35,2)</f>
        <v>5219570.7599999998</v>
      </c>
      <c r="BM51" s="668">
        <f>ROUND(+$BG51*'[5]II-F Alloc_Factor'!J$35,2)</f>
        <v>0</v>
      </c>
      <c r="BN51" s="668">
        <f>ROUND(+$BG51*'[5]II-F Alloc_Factor'!K$35,2)</f>
        <v>5219570.7599999998</v>
      </c>
      <c r="BO51" s="668">
        <f>ROUND(+$BG51*'[5]II-F Alloc_Factor'!L$35,2)</f>
        <v>242685.67000000001</v>
      </c>
      <c r="BP51" s="668">
        <f>ROUND(+$BG51*'[5]II-F Alloc_Factor'!M$35,2)</f>
        <v>61117.32</v>
      </c>
      <c r="BQ51" s="755"/>
      <c r="BR51" s="674">
        <v>9934988.2200000025</v>
      </c>
      <c r="BS51" s="668">
        <f>ROUND(+$BR51*'[5]II-F Alloc_Factor'!E$35,2)</f>
        <v>4445081.9000000004</v>
      </c>
      <c r="BT51" s="668">
        <f>ROUND(+$BR51*'[5]II-F Alloc_Factor'!F$35,2)</f>
        <v>0</v>
      </c>
      <c r="BU51" s="668">
        <f>ROUND(+$BR51*'[5]II-F Alloc_Factor'!G$35,2)</f>
        <v>0</v>
      </c>
      <c r="BV51" s="668">
        <f>ROUND(+$BR51*'[5]II-F Alloc_Factor'!H$35,2)</f>
        <v>4445081.9000000004</v>
      </c>
      <c r="BW51" s="668">
        <f>ROUND(+$BR51*'[5]II-F Alloc_Factor'!I$35,2)</f>
        <v>5187944.1500000004</v>
      </c>
      <c r="BX51" s="668">
        <f>ROUND(+$BR51*'[5]II-F Alloc_Factor'!J$35,2)</f>
        <v>0</v>
      </c>
      <c r="BY51" s="668">
        <f>ROUND(+$BR51*'[5]II-F Alloc_Factor'!K$35,2)</f>
        <v>5187944.1500000004</v>
      </c>
      <c r="BZ51" s="668">
        <f>ROUND(+$BR51*'[5]II-F Alloc_Factor'!L$35,2)</f>
        <v>241215.17999999999</v>
      </c>
      <c r="CA51" s="668">
        <f>ROUND(+$BR51*'[5]II-F Alloc_Factor'!M$35,2)</f>
        <v>60747</v>
      </c>
      <c r="CC51" s="674">
        <v>9873824.2800000031</v>
      </c>
      <c r="CD51" s="668">
        <f>ROUND(+$CC51*'[5]II-F Alloc_Factor'!E$35,2)</f>
        <v>4417716.1100000003</v>
      </c>
      <c r="CE51" s="668">
        <f>ROUND(+$CC51*'[5]II-F Alloc_Factor'!F$35,2)</f>
        <v>0</v>
      </c>
      <c r="CF51" s="668">
        <f>ROUND(+$CC51*'[5]II-F Alloc_Factor'!G$35,2)</f>
        <v>0</v>
      </c>
      <c r="CG51" s="668">
        <f>ROUND(+$CC51*'[5]II-F Alloc_Factor'!H$35,2)</f>
        <v>4417716.1100000003</v>
      </c>
      <c r="CH51" s="668">
        <f>ROUND(+$CC51*'[5]II-F Alloc_Factor'!I$35,2)</f>
        <v>5156004.9900000002</v>
      </c>
      <c r="CI51" s="668">
        <f>ROUND(+$CC51*'[5]II-F Alloc_Factor'!J$35,2)</f>
        <v>0</v>
      </c>
      <c r="CJ51" s="668">
        <f>ROUND(+$CC51*'[5]II-F Alloc_Factor'!K$35,2)</f>
        <v>5156004.9900000002</v>
      </c>
      <c r="CK51" s="668">
        <f>ROUND(+$CC51*'[5]II-F Alloc_Factor'!L$35,2)</f>
        <v>239730.16</v>
      </c>
      <c r="CL51" s="668">
        <f>ROUND(+$CC51*'[5]II-F Alloc_Factor'!M$35,2)</f>
        <v>60373.010000000002</v>
      </c>
      <c r="CN51" s="674">
        <v>9812059.6800000034</v>
      </c>
      <c r="CO51" s="668">
        <f>ROUND(+$CN51*'[5]II-F Alloc_Factor'!E$35,2)</f>
        <v>4390081.5899999999</v>
      </c>
      <c r="CP51" s="668">
        <f>ROUND(+$CN51*'[5]II-F Alloc_Factor'!F$35,2)</f>
        <v>0</v>
      </c>
      <c r="CQ51" s="668">
        <f>ROUND(+$CN51*'[5]II-F Alloc_Factor'!G$35,2)</f>
        <v>0</v>
      </c>
      <c r="CR51" s="668">
        <f>ROUND(+$CN51*'[5]II-F Alloc_Factor'!H$35,2)</f>
        <v>4390081.5899999999</v>
      </c>
      <c r="CS51" s="668">
        <f>ROUND(+$CN51*'[5]II-F Alloc_Factor'!I$35,2)</f>
        <v>5123752.1799999997</v>
      </c>
      <c r="CT51" s="668">
        <f>ROUND(+$CN51*'[5]II-F Alloc_Factor'!J$35,2)</f>
        <v>0</v>
      </c>
      <c r="CU51" s="668">
        <f>ROUND(+$CN51*'[5]II-F Alloc_Factor'!K$35,2)</f>
        <v>5123752.1799999997</v>
      </c>
      <c r="CV51" s="668">
        <f>ROUND(+$CN51*'[5]II-F Alloc_Factor'!L$35,2)</f>
        <v>238230.56</v>
      </c>
      <c r="CW51" s="668">
        <f>ROUND(+$CN51*'[5]II-F Alloc_Factor'!M$35,2)</f>
        <v>59995.360000000001</v>
      </c>
      <c r="CY51" s="105">
        <v>9749692.2600000035</v>
      </c>
      <c r="CZ51" s="668">
        <f>ROUND(+$CY51*'[5]II-F Alloc_Factor'!E$35,2)</f>
        <v>4362177.3499999996</v>
      </c>
      <c r="DA51" s="668">
        <f>ROUND(+$CY51*'[5]II-F Alloc_Factor'!F$35,2)</f>
        <v>0</v>
      </c>
      <c r="DB51" s="668">
        <f>ROUND(+$CY51*'[5]II-F Alloc_Factor'!G$35,2)</f>
        <v>0</v>
      </c>
      <c r="DC51" s="668">
        <f>ROUND(+$CY51*'[5]II-F Alloc_Factor'!H$35,2)</f>
        <v>4362177.3499999996</v>
      </c>
      <c r="DD51" s="668">
        <f>ROUND(+$CY51*'[5]II-F Alloc_Factor'!I$35,2)</f>
        <v>5091184.5899999999</v>
      </c>
      <c r="DE51" s="668">
        <f>ROUND(+$CY51*'[5]II-F Alloc_Factor'!J$35,2)</f>
        <v>0</v>
      </c>
      <c r="DF51" s="668">
        <f>ROUND(+$CY51*'[5]II-F Alloc_Factor'!K$35,2)</f>
        <v>5091184.5899999999</v>
      </c>
      <c r="DG51" s="668">
        <f>ROUND(+$CY51*'[5]II-F Alloc_Factor'!L$35,2)</f>
        <v>236716.31</v>
      </c>
      <c r="DH51" s="668">
        <f>ROUND(+$CY51*'[5]II-F Alloc_Factor'!M$35,2)</f>
        <v>59614.010000000002</v>
      </c>
      <c r="DJ51" s="674">
        <v>9686719.8600000031</v>
      </c>
      <c r="DK51" s="668">
        <f>ROUND(+$DJ51*'[5]II-F Alloc_Factor'!E$35,2)</f>
        <v>4334002.4299999997</v>
      </c>
      <c r="DL51" s="668">
        <f>ROUND(+$DJ51*'[5]II-F Alloc_Factor'!F$35,2)</f>
        <v>0</v>
      </c>
      <c r="DM51" s="668">
        <f>ROUND(+$DJ51*'[5]II-F Alloc_Factor'!G$35,2)</f>
        <v>0</v>
      </c>
      <c r="DN51" s="668">
        <f>ROUND(+$DJ51*'[5]II-F Alloc_Factor'!H$35,2)</f>
        <v>4334002.4299999997</v>
      </c>
      <c r="DO51" s="668">
        <f>ROUND(+$DJ51*'[5]II-F Alloc_Factor'!I$35,2)</f>
        <v>5058301.0700000003</v>
      </c>
      <c r="DP51" s="668">
        <f>ROUND(+$DJ51*'[5]II-F Alloc_Factor'!J$35,2)</f>
        <v>0</v>
      </c>
      <c r="DQ51" s="668">
        <f>ROUND(+$DJ51*'[5]II-F Alloc_Factor'!K$35,2)</f>
        <v>5058301.0700000003</v>
      </c>
      <c r="DR51" s="668">
        <f>ROUND(+$DJ51*'[5]II-F Alloc_Factor'!L$35,2)</f>
        <v>235187.38000000001</v>
      </c>
      <c r="DS51" s="668">
        <f>ROUND(+$DJ51*'[5]II-F Alloc_Factor'!M$35,2)</f>
        <v>59228.970000000001</v>
      </c>
      <c r="DU51" s="674">
        <v>9624785.5300000031</v>
      </c>
      <c r="DV51" s="668">
        <f>ROUND(+$DU51*'[5]II-F Alloc_Factor'!E$35,2)</f>
        <v>4306291.96</v>
      </c>
      <c r="DW51" s="668">
        <f>ROUND(+$DU51*'[5]II-F Alloc_Factor'!F$35,2)</f>
        <v>0</v>
      </c>
      <c r="DX51" s="668">
        <f>ROUND(+$DU51*'[5]II-F Alloc_Factor'!G$35,2)</f>
        <v>0</v>
      </c>
      <c r="DY51" s="668">
        <f t="shared" si="20"/>
        <v>4306291.96</v>
      </c>
      <c r="DZ51" s="668">
        <f>ROUND(+$DU51*'[5]II-F Alloc_Factor'!I$35,2)</f>
        <v>5025959.6299999999</v>
      </c>
      <c r="EA51" s="668">
        <f>ROUND(+$DU51*'[5]II-F Alloc_Factor'!J$35,2)</f>
        <v>0</v>
      </c>
      <c r="EB51" s="668">
        <f t="shared" si="21"/>
        <v>5025959.6299999999</v>
      </c>
      <c r="EC51" s="668">
        <f>ROUND(+$DU51*'[5]II-F Alloc_Factor'!L$35,2)</f>
        <v>233683.66</v>
      </c>
      <c r="ED51" s="668">
        <f>ROUND(+$DU51*'[5]II-F Alloc_Factor'!M$35,2)</f>
        <v>58850.279999999999</v>
      </c>
      <c r="EE51" s="754">
        <f>+'II-E-3.5'!I60+'II-E-3.5a'!DU51</f>
        <v>0</v>
      </c>
      <c r="EF51" s="754">
        <f t="shared" si="19"/>
        <v>0</v>
      </c>
      <c r="EH51" s="754"/>
    </row>
    <row r="52" spans="1:138" s="423" customFormat="1" ht="12.75">
      <c r="A52" s="524">
        <f t="shared" si="6"/>
        <v>40</v>
      </c>
      <c r="B52" s="184" t="s">
        <v>1117</v>
      </c>
      <c r="C52" s="424" t="s">
        <v>798</v>
      </c>
      <c r="D52" s="674">
        <v>28754017.91</v>
      </c>
      <c r="E52" s="668">
        <f>ROUND(+$D52*'[5]II-F Alloc_Factor'!E$40,2)</f>
        <v>13348548.039999999</v>
      </c>
      <c r="F52" s="668">
        <f>ROUND(+$D52*'[5]II-F Alloc_Factor'!F$40,2)</f>
        <v>0</v>
      </c>
      <c r="G52" s="668">
        <f>ROUND(+$D52*'[5]II-F Alloc_Factor'!G$40,2)</f>
        <v>17029.84</v>
      </c>
      <c r="H52" s="668">
        <f>ROUND(+$D52*'[5]II-F Alloc_Factor'!H$40,2)</f>
        <v>13365577.880000001</v>
      </c>
      <c r="I52" s="668">
        <f>ROUND(+$D52*'[5]II-F Alloc_Factor'!I$40,2)</f>
        <v>14476293.24</v>
      </c>
      <c r="J52" s="668">
        <f>ROUND(+$D52*'[5]II-F Alloc_Factor'!J$40,2)</f>
        <v>0</v>
      </c>
      <c r="K52" s="668">
        <f>ROUND(+$D52*'[5]II-F Alloc_Factor'!K$40,2)</f>
        <v>14476293.24</v>
      </c>
      <c r="L52" s="668">
        <f>ROUND(+$D52*'[5]II-F Alloc_Factor'!L$40,2)</f>
        <v>492320.67999999999</v>
      </c>
      <c r="M52" s="668">
        <f>ROUND(+$D52*'[5]II-F Alloc_Factor'!M$40,2)</f>
        <v>419826.10999999999</v>
      </c>
      <c r="N52" s="669"/>
      <c r="O52" s="674">
        <v>28430893.52</v>
      </c>
      <c r="P52" s="668">
        <f>ROUND(+$O52*'[5]II-F Alloc_Factor'!E$40,2)</f>
        <v>13198543.210000001</v>
      </c>
      <c r="Q52" s="668">
        <f>ROUND(+$O52*'[5]II-F Alloc_Factor'!F$40,2)</f>
        <v>0</v>
      </c>
      <c r="R52" s="668">
        <f>ROUND(+$O52*'[5]II-F Alloc_Factor'!G$40,2)</f>
        <v>16838.470000000001</v>
      </c>
      <c r="S52" s="668">
        <f>ROUND(+$O52*'[5]II-F Alloc_Factor'!H$40,2)</f>
        <v>13215381.68</v>
      </c>
      <c r="T52" s="668">
        <f>ROUND(+$O52*'[5]II-F Alloc_Factor'!I$40,2)</f>
        <v>14313615.34</v>
      </c>
      <c r="U52" s="668">
        <f>ROUND(+$O52*'[5]II-F Alloc_Factor'!J$40,2)</f>
        <v>0</v>
      </c>
      <c r="V52" s="668">
        <f>ROUND(+$O52*'[5]II-F Alloc_Factor'!K$40,2)</f>
        <v>14313615.34</v>
      </c>
      <c r="W52" s="668">
        <f>ROUND(+$O52*'[5]II-F Alloc_Factor'!L$40,2)</f>
        <v>486788.21000000002</v>
      </c>
      <c r="X52" s="668">
        <f>ROUND(+$O52*'[5]II-F Alloc_Factor'!M$40,2)</f>
        <v>415108.29999999999</v>
      </c>
      <c r="Y52" s="673"/>
      <c r="Z52" s="674">
        <v>28375031.280000001</v>
      </c>
      <c r="AA52" s="668">
        <v>0</v>
      </c>
      <c r="AB52" s="668">
        <v>0</v>
      </c>
      <c r="AC52" s="668">
        <v>0</v>
      </c>
      <c r="AD52" s="668">
        <f>ROUND(+$Z52*'[5]II-F Alloc_Factor'!H$40,2)</f>
        <v>13189415.529999999</v>
      </c>
      <c r="AE52" s="668">
        <v>0</v>
      </c>
      <c r="AF52" s="668">
        <v>0</v>
      </c>
      <c r="AG52" s="668">
        <f>ROUND(+$Z52*'[5]II-F Alloc_Factor'!K$40,2)</f>
        <v>14285491.33</v>
      </c>
      <c r="AH52" s="668">
        <f>ROUND(+$Z52*'[5]II-F Alloc_Factor'!L$40,2)</f>
        <v>485831.75</v>
      </c>
      <c r="AI52" s="668">
        <f>ROUND(+$Z52*'[5]II-F Alloc_Factor'!M$40,2)</f>
        <v>414292.66999999998</v>
      </c>
      <c r="AK52" s="674">
        <v>28647113.420000002</v>
      </c>
      <c r="AL52" s="668">
        <f>ROUND(+$AK52*'[5]II-F Alloc_Factor'!E$40,2)</f>
        <v>13298919.5</v>
      </c>
      <c r="AM52" s="668">
        <f>ROUND(+$AK52*'[5]II-F Alloc_Factor'!F$40,2)</f>
        <v>0</v>
      </c>
      <c r="AN52" s="668">
        <f>ROUND(+$AK52*'[5]II-F Alloc_Factor'!G$40,2)</f>
        <v>16966.529999999999</v>
      </c>
      <c r="AO52" s="668">
        <f>ROUND(+$AK52*'[5]II-F Alloc_Factor'!H$40,2)</f>
        <v>13315886.029999999</v>
      </c>
      <c r="AP52" s="668">
        <f>ROUND(+$AK52*'[5]II-F Alloc_Factor'!I$40,2)</f>
        <v>14422471.869999999</v>
      </c>
      <c r="AQ52" s="668">
        <f>ROUND(+$AK52*'[5]II-F Alloc_Factor'!J$40,2)</f>
        <v>0</v>
      </c>
      <c r="AR52" s="668">
        <f>ROUND(+$AK52*'[5]II-F Alloc_Factor'!K$40,2)</f>
        <v>14422471.869999999</v>
      </c>
      <c r="AS52" s="668">
        <f>ROUND(+$AK52*'[5]II-F Alloc_Factor'!L$40,2)</f>
        <v>490490.28000000003</v>
      </c>
      <c r="AT52" s="668">
        <f>ROUND(+$AK52*'[5]II-F Alloc_Factor'!M$40,2)</f>
        <v>418265.23999999999</v>
      </c>
      <c r="AU52" s="755"/>
      <c r="AV52" s="674">
        <v>30994284.790000003</v>
      </c>
      <c r="AW52" s="668">
        <f>ROUND(+$AV52*'[5]II-F Alloc_Factor'!E$40,2)</f>
        <v>14388552.609999999</v>
      </c>
      <c r="AX52" s="668">
        <f>ROUND(+$AV52*'[5]II-F Alloc_Factor'!F$40,2)</f>
        <v>0</v>
      </c>
      <c r="AY52" s="668">
        <f>ROUND(+$AV52*'[5]II-F Alloc_Factor'!G$40,2)</f>
        <v>18356.66</v>
      </c>
      <c r="AZ52" s="668">
        <f>ROUND(+$AV52*'[5]II-F Alloc_Factor'!H$40,2)</f>
        <v>14406909.27</v>
      </c>
      <c r="BA52" s="668">
        <f>ROUND(+$AV52*'[5]II-F Alloc_Factor'!I$40,2)</f>
        <v>15604162.060000001</v>
      </c>
      <c r="BB52" s="668">
        <f>ROUND(+$AV52*'[5]II-F Alloc_Factor'!J$40,2)</f>
        <v>0</v>
      </c>
      <c r="BC52" s="668">
        <f>ROUND(+$AV52*'[5]II-F Alloc_Factor'!K$40,2)</f>
        <v>15604162.060000001</v>
      </c>
      <c r="BD52" s="668">
        <f>ROUND(+$AV52*'[5]II-F Alloc_Factor'!L$40,2)</f>
        <v>530678.08999999997</v>
      </c>
      <c r="BE52" s="668">
        <f>ROUND(+$AV52*'[5]II-F Alloc_Factor'!M$40,2)</f>
        <v>452535.37</v>
      </c>
      <c r="BF52" s="755"/>
      <c r="BG52" s="674">
        <v>31244377.990000002</v>
      </c>
      <c r="BH52" s="668">
        <f>ROUND(+$BG52*'[5]II-F Alloc_Factor'!E$40,2)</f>
        <v>14504653.98</v>
      </c>
      <c r="BI52" s="668">
        <f>ROUND(+$BG52*'[5]II-F Alloc_Factor'!F$40,2)</f>
        <v>0</v>
      </c>
      <c r="BJ52" s="668">
        <f>ROUND(+$BG52*'[5]II-F Alloc_Factor'!G$40,2)</f>
        <v>18504.779999999999</v>
      </c>
      <c r="BK52" s="668">
        <f>ROUND(+$BG52*'[5]II-F Alloc_Factor'!H$40,2)</f>
        <v>14523158.77</v>
      </c>
      <c r="BL52" s="668">
        <f>ROUND(+$BG52*'[5]II-F Alloc_Factor'!I$40,2)</f>
        <v>15730072.210000001</v>
      </c>
      <c r="BM52" s="668">
        <f>ROUND(+$BG52*'[5]II-F Alloc_Factor'!J$40,2)</f>
        <v>0</v>
      </c>
      <c r="BN52" s="668">
        <f>ROUND(+$BG52*'[5]II-F Alloc_Factor'!K$40,2)</f>
        <v>15730072.210000001</v>
      </c>
      <c r="BO52" s="668">
        <f>ROUND(+$BG52*'[5]II-F Alloc_Factor'!L$40,2)</f>
        <v>534960.14000000001</v>
      </c>
      <c r="BP52" s="668">
        <f>ROUND(+$BG52*'[5]II-F Alloc_Factor'!M$40,2)</f>
        <v>456186.88</v>
      </c>
      <c r="BQ52" s="755"/>
      <c r="BR52" s="674">
        <v>31148910.130000003</v>
      </c>
      <c r="BS52" s="668">
        <f>ROUND(+$BR52*'[5]II-F Alloc_Factor'!E$40,2)</f>
        <v>14460334.710000001</v>
      </c>
      <c r="BT52" s="668">
        <f>ROUND(+$BR52*'[5]II-F Alloc_Factor'!F$40,2)</f>
        <v>0</v>
      </c>
      <c r="BU52" s="668">
        <f>ROUND(+$BR52*'[5]II-F Alloc_Factor'!G$40,2)</f>
        <v>18448.240000000002</v>
      </c>
      <c r="BV52" s="668">
        <f>ROUND(+$BR52*'[5]II-F Alloc_Factor'!H$40,2)</f>
        <v>14478782.949999999</v>
      </c>
      <c r="BW52" s="668">
        <f>ROUND(+$BR52*'[5]II-F Alloc_Factor'!I$40,2)</f>
        <v>15682008.640000001</v>
      </c>
      <c r="BX52" s="668">
        <f>ROUND(+$BR52*'[5]II-F Alloc_Factor'!J$40,2)</f>
        <v>0</v>
      </c>
      <c r="BY52" s="668">
        <f>ROUND(+$BR52*'[5]II-F Alloc_Factor'!K$40,2)</f>
        <v>15682008.640000001</v>
      </c>
      <c r="BZ52" s="668">
        <f>ROUND(+$BR52*'[5]II-F Alloc_Factor'!L$40,2)</f>
        <v>533325.56000000006</v>
      </c>
      <c r="CA52" s="668">
        <f>ROUND(+$BR52*'[5]II-F Alloc_Factor'!M$40,2)</f>
        <v>454792.98999999999</v>
      </c>
      <c r="CC52" s="674">
        <v>31025130.480000004</v>
      </c>
      <c r="CD52" s="668">
        <f>ROUND(+$CC52*'[5]II-F Alloc_Factor'!E$40,2)</f>
        <v>14402872.18</v>
      </c>
      <c r="CE52" s="668">
        <f>ROUND(+$CC52*'[5]II-F Alloc_Factor'!F$40,2)</f>
        <v>0</v>
      </c>
      <c r="CF52" s="668">
        <f>ROUND(+$CC52*'[5]II-F Alloc_Factor'!G$40,2)</f>
        <v>18374.93</v>
      </c>
      <c r="CG52" s="668">
        <f>ROUND(+$CC52*'[5]II-F Alloc_Factor'!H$40,2)</f>
        <v>14421247.109999999</v>
      </c>
      <c r="CH52" s="668">
        <f>ROUND(+$CC52*'[5]II-F Alloc_Factor'!I$40,2)</f>
        <v>15619691.41</v>
      </c>
      <c r="CI52" s="668">
        <f>ROUND(+$CC52*'[5]II-F Alloc_Factor'!J$40,2)</f>
        <v>0</v>
      </c>
      <c r="CJ52" s="668">
        <f>ROUND(+$CC52*'[5]II-F Alloc_Factor'!K$40,2)</f>
        <v>15619691.41</v>
      </c>
      <c r="CK52" s="668">
        <f>ROUND(+$CC52*'[5]II-F Alloc_Factor'!L$40,2)</f>
        <v>531206.22999999998</v>
      </c>
      <c r="CL52" s="668">
        <f>ROUND(+$CC52*'[5]II-F Alloc_Factor'!M$40,2)</f>
        <v>452985.72999999998</v>
      </c>
      <c r="CN52" s="674">
        <v>31423957.760000005</v>
      </c>
      <c r="CO52" s="668">
        <f>ROUND(+$CN52*'[5]II-F Alloc_Factor'!E$40,2)</f>
        <v>14588020.74</v>
      </c>
      <c r="CP52" s="668">
        <f>ROUND(+$CN52*'[5]II-F Alloc_Factor'!F$40,2)</f>
        <v>0</v>
      </c>
      <c r="CQ52" s="668">
        <f>ROUND(+$CN52*'[5]II-F Alloc_Factor'!G$40,2)</f>
        <v>18611.139999999999</v>
      </c>
      <c r="CR52" s="668">
        <f>ROUND(+$CN52*'[5]II-F Alloc_Factor'!H$40,2)</f>
        <v>14606631.880000001</v>
      </c>
      <c r="CS52" s="668">
        <f>ROUND(+$CN52*'[5]II-F Alloc_Factor'!I$40,2)</f>
        <v>15820482.16</v>
      </c>
      <c r="CT52" s="668">
        <f>ROUND(+$CN52*'[5]II-F Alloc_Factor'!J$40,2)</f>
        <v>0</v>
      </c>
      <c r="CU52" s="668">
        <f>ROUND(+$CN52*'[5]II-F Alloc_Factor'!K$40,2)</f>
        <v>15820482.16</v>
      </c>
      <c r="CV52" s="668">
        <f>ROUND(+$CN52*'[5]II-F Alloc_Factor'!L$40,2)</f>
        <v>538034.87</v>
      </c>
      <c r="CW52" s="668">
        <f>ROUND(+$CN52*'[5]II-F Alloc_Factor'!M$40,2)</f>
        <v>458808.84999999998</v>
      </c>
      <c r="CY52" s="674">
        <v>30778901.580000006</v>
      </c>
      <c r="CZ52" s="668">
        <f>ROUND(+$CY52*'[5]II-F Alloc_Factor'!E$40,2)</f>
        <v>14288564.73</v>
      </c>
      <c r="DA52" s="668">
        <f>ROUND(+$CY52*'[5]II-F Alloc_Factor'!F$40,2)</f>
        <v>0</v>
      </c>
      <c r="DB52" s="668">
        <f>ROUND(+$CY52*'[5]II-F Alloc_Factor'!G$40,2)</f>
        <v>18229.099999999999</v>
      </c>
      <c r="DC52" s="668">
        <f>ROUND(+$CY52*'[5]II-F Alloc_Factor'!H$40,2)</f>
        <v>14306793.83</v>
      </c>
      <c r="DD52" s="668">
        <f>ROUND(+$CY52*'[5]II-F Alloc_Factor'!I$40,2)</f>
        <v>15495726.76</v>
      </c>
      <c r="DE52" s="668">
        <f>ROUND(+$CY52*'[5]II-F Alloc_Factor'!J$40,2)</f>
        <v>0</v>
      </c>
      <c r="DF52" s="668">
        <f>ROUND(+$CY52*'[5]II-F Alloc_Factor'!K$40,2)</f>
        <v>15495726.76</v>
      </c>
      <c r="DG52" s="668">
        <f>ROUND(+$CY52*'[5]II-F Alloc_Factor'!L$40,2)</f>
        <v>526990.33999999997</v>
      </c>
      <c r="DH52" s="668">
        <f>ROUND(+$CY52*'[5]II-F Alloc_Factor'!M$40,2)</f>
        <v>449390.64000000001</v>
      </c>
      <c r="DJ52" s="674">
        <v>30646323.760000005</v>
      </c>
      <c r="DK52" s="668">
        <f>ROUND(+$DJ52*'[5]II-F Alloc_Factor'!E$40,2)</f>
        <v>14227017.810000001</v>
      </c>
      <c r="DL52" s="668">
        <f>ROUND(+$DJ52*'[5]II-F Alloc_Factor'!F$40,2)</f>
        <v>0</v>
      </c>
      <c r="DM52" s="668">
        <f>ROUND(+$DJ52*'[5]II-F Alloc_Factor'!G$40,2)</f>
        <v>18150.580000000002</v>
      </c>
      <c r="DN52" s="668">
        <f>ROUND(+$DJ52*'[5]II-F Alloc_Factor'!H$40,2)</f>
        <v>14245168.380000001</v>
      </c>
      <c r="DO52" s="668">
        <f>ROUND(+$DJ52*'[5]II-F Alloc_Factor'!I$40,2)</f>
        <v>15428980.08</v>
      </c>
      <c r="DP52" s="668">
        <f>ROUND(+$DJ52*'[5]II-F Alloc_Factor'!J$40,2)</f>
        <v>0</v>
      </c>
      <c r="DQ52" s="668">
        <f>ROUND(+$DJ52*'[5]II-F Alloc_Factor'!K$40,2)</f>
        <v>15428980.08</v>
      </c>
      <c r="DR52" s="668">
        <f>ROUND(+$DJ52*'[5]II-F Alloc_Factor'!L$40,2)</f>
        <v>524720.37</v>
      </c>
      <c r="DS52" s="668">
        <f>ROUND(+$DJ52*'[5]II-F Alloc_Factor'!M$40,2)</f>
        <v>447454.91999999998</v>
      </c>
      <c r="DU52" s="674">
        <v>29212843.500000004</v>
      </c>
      <c r="DV52" s="668">
        <f>ROUND(+$DU52*'[5]II-F Alloc_Factor'!E$40,2)</f>
        <v>13561549.76</v>
      </c>
      <c r="DW52" s="668">
        <f>ROUND(+$DU52*'[5]II-F Alloc_Factor'!F$40,2)</f>
        <v>0</v>
      </c>
      <c r="DX52" s="668">
        <f>ROUND(+$DU52*'[5]II-F Alloc_Factor'!G$40,2)</f>
        <v>17301.59</v>
      </c>
      <c r="DY52" s="668">
        <f t="shared" si="20"/>
        <v>13578851.35</v>
      </c>
      <c r="DZ52" s="668">
        <f>ROUND(+$DU52*'[5]II-F Alloc_Factor'!I$40,2)</f>
        <v>14707290.310000001</v>
      </c>
      <c r="EA52" s="668">
        <f>ROUND(+$DU52*'[5]II-F Alloc_Factor'!J$40,2)</f>
        <v>0</v>
      </c>
      <c r="EB52" s="668">
        <f t="shared" si="21"/>
        <v>14707290.310000001</v>
      </c>
      <c r="EC52" s="668">
        <f>ROUND(+$DU52*'[5]II-F Alloc_Factor'!L$40,2)</f>
        <v>500176.59999999998</v>
      </c>
      <c r="ED52" s="668">
        <f>ROUND(+$DU52*'[5]II-F Alloc_Factor'!M$40,2)</f>
        <v>426525.23999999999</v>
      </c>
      <c r="EE52" s="754">
        <f>+'II-E-3.5'!I66-'II-E-3.5a'!DU52</f>
        <v>0</v>
      </c>
      <c r="EF52" s="754">
        <f t="shared" si="19"/>
        <v>0</v>
      </c>
      <c r="EH52" s="754"/>
    </row>
    <row r="53" spans="1:138" s="423" customFormat="1" ht="12.75">
      <c r="A53" s="524">
        <f t="shared" si="6"/>
        <v>41</v>
      </c>
      <c r="B53" s="184" t="s">
        <v>26</v>
      </c>
      <c r="C53" s="424" t="s">
        <v>408</v>
      </c>
      <c r="D53" s="674">
        <v>1549079.7</v>
      </c>
      <c r="E53" s="674">
        <v>166389.67000000001</v>
      </c>
      <c r="F53" s="674">
        <v>0</v>
      </c>
      <c r="G53" s="674">
        <v>0</v>
      </c>
      <c r="H53" s="674">
        <f t="shared" si="80" ref="H53:H54">SUM(E53:G53)</f>
        <v>166389.67000000001</v>
      </c>
      <c r="I53" s="674">
        <v>1382690.03</v>
      </c>
      <c r="J53" s="674">
        <v>0</v>
      </c>
      <c r="K53" s="674">
        <f t="shared" si="81" ref="K53:K54">SUM(I53:J53)</f>
        <v>1382690.03</v>
      </c>
      <c r="L53" s="674">
        <v>0</v>
      </c>
      <c r="M53" s="674">
        <v>0</v>
      </c>
      <c r="N53" s="675"/>
      <c r="O53" s="674">
        <v>1645067.71</v>
      </c>
      <c r="P53" s="674">
        <v>120236.76000000001</v>
      </c>
      <c r="Q53" s="674">
        <v>0</v>
      </c>
      <c r="R53" s="674">
        <v>0</v>
      </c>
      <c r="S53" s="674">
        <f>SUM(P53:R53)</f>
        <v>120236.76000000001</v>
      </c>
      <c r="T53" s="674">
        <v>1524830.95</v>
      </c>
      <c r="U53" s="674">
        <v>0</v>
      </c>
      <c r="V53" s="674">
        <f>SUM(T53:U53)</f>
        <v>1524830.95</v>
      </c>
      <c r="W53" s="674">
        <v>0</v>
      </c>
      <c r="X53" s="674">
        <v>0</v>
      </c>
      <c r="Y53" s="673"/>
      <c r="Z53" s="674">
        <v>1797120.8899999999</v>
      </c>
      <c r="AA53" s="674">
        <v>118990.17000000001</v>
      </c>
      <c r="AB53" s="674">
        <v>0</v>
      </c>
      <c r="AC53" s="674">
        <v>0</v>
      </c>
      <c r="AD53" s="674">
        <f t="shared" si="82" ref="AD53">SUM(AA53:AC53)</f>
        <v>118990.17000000001</v>
      </c>
      <c r="AE53" s="674">
        <v>1678130.72</v>
      </c>
      <c r="AF53" s="674">
        <v>0</v>
      </c>
      <c r="AG53" s="674">
        <f>SUM(AE53:AF53)</f>
        <v>1678130.72</v>
      </c>
      <c r="AH53" s="674"/>
      <c r="AI53" s="674"/>
      <c r="AK53" s="674">
        <v>1832480.45</v>
      </c>
      <c r="AL53" s="674">
        <v>65317.400000000016</v>
      </c>
      <c r="AM53" s="674">
        <v>0</v>
      </c>
      <c r="AN53" s="674">
        <v>0</v>
      </c>
      <c r="AO53" s="668">
        <f t="shared" si="22"/>
        <v>65317.400000000016</v>
      </c>
      <c r="AP53" s="674">
        <v>1767163.0500000001</v>
      </c>
      <c r="AQ53" s="674">
        <v>0</v>
      </c>
      <c r="AR53" s="668">
        <f t="shared" si="23"/>
        <v>1767163.0500000001</v>
      </c>
      <c r="AS53" s="674">
        <v>0</v>
      </c>
      <c r="AT53" s="674">
        <v>0</v>
      </c>
      <c r="AU53" s="755"/>
      <c r="AV53" s="674">
        <v>1803366.8000000001</v>
      </c>
      <c r="AW53" s="674">
        <v>65317.400000000016</v>
      </c>
      <c r="AX53" s="674">
        <v>0</v>
      </c>
      <c r="AY53" s="674">
        <v>0</v>
      </c>
      <c r="AZ53" s="674">
        <f t="shared" si="83" ref="AZ53">SUM(AW53:AY53)</f>
        <v>65317.400000000016</v>
      </c>
      <c r="BA53" s="674">
        <v>1738049.4000000001</v>
      </c>
      <c r="BB53" s="674">
        <v>0</v>
      </c>
      <c r="BC53" s="674">
        <f>SUM(BA53:BB53)</f>
        <v>1738049.4000000001</v>
      </c>
      <c r="BD53" s="674">
        <v>0</v>
      </c>
      <c r="BE53" s="674">
        <v>0</v>
      </c>
      <c r="BF53" s="755"/>
      <c r="BG53" s="674">
        <v>2024939.26</v>
      </c>
      <c r="BH53" s="674">
        <v>162237.35000000001</v>
      </c>
      <c r="BI53" s="674">
        <v>0</v>
      </c>
      <c r="BJ53" s="674">
        <v>0</v>
      </c>
      <c r="BK53" s="674">
        <f t="shared" si="84" ref="BK53">SUM(BH53:BJ53)</f>
        <v>162237.35000000001</v>
      </c>
      <c r="BL53" s="674">
        <v>1862701.9100000002</v>
      </c>
      <c r="BM53" s="674">
        <v>0</v>
      </c>
      <c r="BN53" s="674">
        <f>SUM(BL53:BM53)</f>
        <v>1862701.9100000002</v>
      </c>
      <c r="BO53" s="674">
        <v>0</v>
      </c>
      <c r="BP53" s="674">
        <v>0</v>
      </c>
      <c r="BQ53" s="755"/>
      <c r="BR53" s="674">
        <v>2046717.8200000001</v>
      </c>
      <c r="BS53" s="674">
        <v>162214.67000000001</v>
      </c>
      <c r="BT53" s="674">
        <v>0</v>
      </c>
      <c r="BU53" s="674">
        <v>0</v>
      </c>
      <c r="BV53" s="674">
        <f t="shared" si="85" ref="BV53">SUM(BS53:BU53)</f>
        <v>162214.67000000001</v>
      </c>
      <c r="BW53" s="674">
        <v>1884503.1500000001</v>
      </c>
      <c r="BX53" s="674">
        <v>0</v>
      </c>
      <c r="BY53" s="674">
        <f>SUM(BW53:BX53)</f>
        <v>1884503.1500000001</v>
      </c>
      <c r="BZ53" s="674">
        <v>0</v>
      </c>
      <c r="CA53" s="674">
        <v>0</v>
      </c>
      <c r="CC53" s="674">
        <v>2076560.73</v>
      </c>
      <c r="CD53" s="674">
        <v>162214.67000000001</v>
      </c>
      <c r="CE53" s="674">
        <v>0</v>
      </c>
      <c r="CF53" s="674">
        <v>0</v>
      </c>
      <c r="CG53" s="674">
        <f t="shared" si="86" ref="CG53">SUM(CD53:CF53)</f>
        <v>162214.67000000001</v>
      </c>
      <c r="CH53" s="674">
        <v>1914346.0600000001</v>
      </c>
      <c r="CI53" s="674">
        <v>0</v>
      </c>
      <c r="CJ53" s="674">
        <f>SUM(CH53:CI53)</f>
        <v>1914346.0600000001</v>
      </c>
      <c r="CK53" s="674">
        <v>0</v>
      </c>
      <c r="CL53" s="674">
        <v>0</v>
      </c>
      <c r="CN53" s="674">
        <v>2318229.8599999999</v>
      </c>
      <c r="CO53" s="674">
        <v>165735.32000000001</v>
      </c>
      <c r="CP53" s="674">
        <v>0</v>
      </c>
      <c r="CQ53" s="674">
        <v>0</v>
      </c>
      <c r="CR53" s="674">
        <f>SUM(CO53:CQ53)</f>
        <v>165735.32000000001</v>
      </c>
      <c r="CS53" s="674">
        <v>2152494.54</v>
      </c>
      <c r="CT53" s="674">
        <v>0</v>
      </c>
      <c r="CU53" s="674">
        <f>SUM(CS53:CT53)</f>
        <v>2152494.54</v>
      </c>
      <c r="CV53" s="674">
        <v>0</v>
      </c>
      <c r="CW53" s="674">
        <v>0</v>
      </c>
      <c r="CY53" s="674">
        <v>2467775.7799999998</v>
      </c>
      <c r="CZ53" s="674">
        <v>165734.82000000001</v>
      </c>
      <c r="DA53" s="674">
        <v>0</v>
      </c>
      <c r="DB53" s="674">
        <v>0</v>
      </c>
      <c r="DC53" s="674">
        <f t="shared" si="87" ref="DC53">SUM(CZ53:DB53)</f>
        <v>165734.82000000001</v>
      </c>
      <c r="DD53" s="674">
        <v>2302040.96</v>
      </c>
      <c r="DE53" s="674">
        <v>0</v>
      </c>
      <c r="DF53" s="674">
        <f>SUM(DD53:DE53)</f>
        <v>2302040.96</v>
      </c>
      <c r="DG53" s="674">
        <v>0</v>
      </c>
      <c r="DH53" s="674">
        <v>0</v>
      </c>
      <c r="DJ53" s="674">
        <v>2428288.3699999996</v>
      </c>
      <c r="DK53" s="674">
        <v>165734.82000000001</v>
      </c>
      <c r="DL53" s="674">
        <v>0</v>
      </c>
      <c r="DM53" s="674">
        <v>0</v>
      </c>
      <c r="DN53" s="674">
        <f t="shared" si="88" ref="DN53">SUM(DK53:DM53)</f>
        <v>165734.82000000001</v>
      </c>
      <c r="DO53" s="674">
        <v>2262553.5499999998</v>
      </c>
      <c r="DP53" s="674">
        <v>0</v>
      </c>
      <c r="DQ53" s="674">
        <f>SUM(DO53:DP53)</f>
        <v>2262553.5499999998</v>
      </c>
      <c r="DR53" s="674">
        <v>0</v>
      </c>
      <c r="DS53" s="674">
        <v>0</v>
      </c>
      <c r="DU53" s="674">
        <v>2467144.1499999994</v>
      </c>
      <c r="DV53" s="674">
        <v>168181.76000000001</v>
      </c>
      <c r="DW53" s="674">
        <v>0</v>
      </c>
      <c r="DX53" s="674">
        <v>0</v>
      </c>
      <c r="DY53" s="668">
        <f t="shared" si="20"/>
        <v>168181.76000000001</v>
      </c>
      <c r="DZ53" s="674">
        <v>2298962.3899999997</v>
      </c>
      <c r="EA53" s="674">
        <v>0</v>
      </c>
      <c r="EB53" s="668">
        <f t="shared" si="21"/>
        <v>2298962.3899999997</v>
      </c>
      <c r="EC53" s="674">
        <v>0</v>
      </c>
      <c r="ED53" s="674">
        <v>0</v>
      </c>
      <c r="EE53" s="754">
        <f>+'II-E-3.5'!I67-'II-E-3.5a'!DU53</f>
        <v>0</v>
      </c>
      <c r="EF53" s="754">
        <f t="shared" si="19"/>
        <v>0</v>
      </c>
      <c r="EH53" s="754"/>
    </row>
    <row r="54" spans="1:138" s="423" customFormat="1" ht="12.75">
      <c r="A54" s="524">
        <f t="shared" si="6"/>
        <v>42</v>
      </c>
      <c r="B54" s="184" t="s">
        <v>622</v>
      </c>
      <c r="C54" s="424" t="s">
        <v>1122</v>
      </c>
      <c r="D54" s="674">
        <v>161041.29000000001</v>
      </c>
      <c r="E54" s="674">
        <v>0</v>
      </c>
      <c r="F54" s="674">
        <v>0</v>
      </c>
      <c r="G54" s="674">
        <v>0</v>
      </c>
      <c r="H54" s="674">
        <f t="shared" si="80"/>
        <v>0</v>
      </c>
      <c r="I54" s="674">
        <v>0</v>
      </c>
      <c r="J54" s="674">
        <v>0</v>
      </c>
      <c r="K54" s="674">
        <f t="shared" si="81"/>
        <v>0</v>
      </c>
      <c r="L54" s="674">
        <f>+D54</f>
        <v>161041.29000000001</v>
      </c>
      <c r="M54" s="674">
        <v>0</v>
      </c>
      <c r="N54" s="675"/>
      <c r="O54" s="674">
        <v>159160.08000000002</v>
      </c>
      <c r="P54" s="674">
        <v>0</v>
      </c>
      <c r="Q54" s="674">
        <v>0</v>
      </c>
      <c r="R54" s="674">
        <v>0</v>
      </c>
      <c r="S54" s="674">
        <f t="shared" si="89" ref="S54">SUM(P54:R54)</f>
        <v>0</v>
      </c>
      <c r="T54" s="674">
        <v>0</v>
      </c>
      <c r="U54" s="674">
        <v>0</v>
      </c>
      <c r="V54" s="674">
        <f t="shared" si="90" ref="V54">SUM(T54:U54)</f>
        <v>0</v>
      </c>
      <c r="W54" s="674">
        <f>+O54</f>
        <v>159160.08000000002</v>
      </c>
      <c r="X54" s="674">
        <v>0</v>
      </c>
      <c r="Y54" s="673"/>
      <c r="Z54" s="674">
        <v>157278.89000000001</v>
      </c>
      <c r="AA54" s="674">
        <v>0</v>
      </c>
      <c r="AB54" s="674">
        <v>0</v>
      </c>
      <c r="AC54" s="674">
        <v>0</v>
      </c>
      <c r="AD54" s="674">
        <f t="shared" si="91" ref="AD54">SUM(AA54:AC54)</f>
        <v>0</v>
      </c>
      <c r="AE54" s="674">
        <v>0</v>
      </c>
      <c r="AF54" s="674">
        <v>0</v>
      </c>
      <c r="AG54" s="674">
        <f t="shared" si="92" ref="AG54">SUM(AE54:AF54)</f>
        <v>0</v>
      </c>
      <c r="AH54" s="674">
        <f>+Z54</f>
        <v>157278.89000000001</v>
      </c>
      <c r="AI54" s="674">
        <v>0</v>
      </c>
      <c r="AK54" s="674">
        <v>155397.68000000002</v>
      </c>
      <c r="AL54" s="674">
        <v>0</v>
      </c>
      <c r="AM54" s="674">
        <v>0</v>
      </c>
      <c r="AN54" s="674">
        <v>0</v>
      </c>
      <c r="AO54" s="668">
        <f t="shared" si="22"/>
        <v>0</v>
      </c>
      <c r="AP54" s="674">
        <v>0</v>
      </c>
      <c r="AQ54" s="674">
        <v>0</v>
      </c>
      <c r="AR54" s="668">
        <f t="shared" si="23"/>
        <v>0</v>
      </c>
      <c r="AS54" s="674">
        <f>+AK54</f>
        <v>155397.68000000002</v>
      </c>
      <c r="AT54" s="674">
        <v>0</v>
      </c>
      <c r="AU54" s="755"/>
      <c r="AV54" s="674">
        <v>153516.47000000003</v>
      </c>
      <c r="AW54" s="674">
        <v>0</v>
      </c>
      <c r="AX54" s="674">
        <v>0</v>
      </c>
      <c r="AY54" s="674">
        <v>0</v>
      </c>
      <c r="AZ54" s="674">
        <f t="shared" si="93" ref="AZ54">SUM(AW54:AY54)</f>
        <v>0</v>
      </c>
      <c r="BA54" s="674">
        <v>0</v>
      </c>
      <c r="BB54" s="674">
        <v>0</v>
      </c>
      <c r="BC54" s="674">
        <f t="shared" si="94" ref="BC54">SUM(BA54:BB54)</f>
        <v>0</v>
      </c>
      <c r="BD54" s="674">
        <f>+AV54</f>
        <v>153516.47000000003</v>
      </c>
      <c r="BE54" s="674">
        <v>0</v>
      </c>
      <c r="BF54" s="755"/>
      <c r="BG54" s="674">
        <v>151635.27000000002</v>
      </c>
      <c r="BH54" s="674">
        <v>0</v>
      </c>
      <c r="BI54" s="674">
        <v>0</v>
      </c>
      <c r="BJ54" s="674">
        <v>0</v>
      </c>
      <c r="BK54" s="674">
        <f t="shared" si="95" ref="BK54">SUM(BH54:BJ54)</f>
        <v>0</v>
      </c>
      <c r="BL54" s="674">
        <v>0</v>
      </c>
      <c r="BM54" s="674">
        <v>0</v>
      </c>
      <c r="BN54" s="674">
        <f t="shared" si="96" ref="BN54">SUM(BL54:BM54)</f>
        <v>0</v>
      </c>
      <c r="BO54" s="674">
        <f>+BG54</f>
        <v>151635.27000000002</v>
      </c>
      <c r="BP54" s="674">
        <v>0</v>
      </c>
      <c r="BQ54" s="755"/>
      <c r="BR54" s="674">
        <v>149754.06000000003</v>
      </c>
      <c r="BS54" s="674">
        <v>0</v>
      </c>
      <c r="BT54" s="674">
        <v>0</v>
      </c>
      <c r="BU54" s="674">
        <v>0</v>
      </c>
      <c r="BV54" s="674">
        <f t="shared" si="97" ref="BV54">SUM(BS54:BU54)</f>
        <v>0</v>
      </c>
      <c r="BW54" s="674">
        <v>0</v>
      </c>
      <c r="BX54" s="674">
        <v>0</v>
      </c>
      <c r="BY54" s="674">
        <f t="shared" si="98" ref="BY54">SUM(BW54:BX54)</f>
        <v>0</v>
      </c>
      <c r="BZ54" s="674">
        <f>+BR54</f>
        <v>149754.06000000003</v>
      </c>
      <c r="CA54" s="674">
        <v>0</v>
      </c>
      <c r="CC54" s="674">
        <v>147872.85000000004</v>
      </c>
      <c r="CD54" s="674">
        <v>0</v>
      </c>
      <c r="CE54" s="674">
        <v>0</v>
      </c>
      <c r="CF54" s="674">
        <v>0</v>
      </c>
      <c r="CG54" s="674">
        <f t="shared" si="99" ref="CG54">SUM(CD54:CF54)</f>
        <v>0</v>
      </c>
      <c r="CH54" s="674">
        <v>0</v>
      </c>
      <c r="CI54" s="674">
        <v>0</v>
      </c>
      <c r="CJ54" s="674">
        <f t="shared" si="100" ref="CJ54">SUM(CH54:CI54)</f>
        <v>0</v>
      </c>
      <c r="CK54" s="674">
        <f>+CC54</f>
        <v>147872.85000000004</v>
      </c>
      <c r="CL54" s="674">
        <v>0</v>
      </c>
      <c r="CN54" s="674">
        <v>145991.65000000002</v>
      </c>
      <c r="CO54" s="674">
        <v>0</v>
      </c>
      <c r="CP54" s="674">
        <v>0</v>
      </c>
      <c r="CQ54" s="674">
        <v>0</v>
      </c>
      <c r="CR54" s="674">
        <f t="shared" si="101" ref="CR54">SUM(CO54:CQ54)</f>
        <v>0</v>
      </c>
      <c r="CS54" s="674">
        <v>0</v>
      </c>
      <c r="CT54" s="674">
        <v>0</v>
      </c>
      <c r="CU54" s="674">
        <f t="shared" si="102" ref="CU54">SUM(CS54:CT54)</f>
        <v>0</v>
      </c>
      <c r="CV54" s="674">
        <f>+CN54</f>
        <v>145991.65000000002</v>
      </c>
      <c r="CW54" s="674">
        <v>0</v>
      </c>
      <c r="CY54" s="674">
        <v>144110.44000000003</v>
      </c>
      <c r="CZ54" s="674">
        <v>0</v>
      </c>
      <c r="DA54" s="674">
        <v>0</v>
      </c>
      <c r="DB54" s="674">
        <v>0</v>
      </c>
      <c r="DC54" s="674">
        <f t="shared" si="103" ref="DC54">SUM(CZ54:DB54)</f>
        <v>0</v>
      </c>
      <c r="DD54" s="674">
        <v>0</v>
      </c>
      <c r="DE54" s="674">
        <v>0</v>
      </c>
      <c r="DF54" s="674">
        <f t="shared" si="104" ref="DF54">SUM(DD54:DE54)</f>
        <v>0</v>
      </c>
      <c r="DG54" s="674">
        <f>+CY54</f>
        <v>144110.44000000003</v>
      </c>
      <c r="DH54" s="674">
        <v>0</v>
      </c>
      <c r="DJ54" s="674">
        <v>142229.24000000002</v>
      </c>
      <c r="DK54" s="674">
        <v>0</v>
      </c>
      <c r="DL54" s="674">
        <v>0</v>
      </c>
      <c r="DM54" s="674">
        <v>0</v>
      </c>
      <c r="DN54" s="674">
        <f t="shared" si="105" ref="DN54">SUM(DK54:DM54)</f>
        <v>0</v>
      </c>
      <c r="DO54" s="674">
        <v>0</v>
      </c>
      <c r="DP54" s="674">
        <v>0</v>
      </c>
      <c r="DQ54" s="674">
        <f t="shared" si="106" ref="DQ54">SUM(DO54:DP54)</f>
        <v>0</v>
      </c>
      <c r="DR54" s="674">
        <f>+DJ54</f>
        <v>142229.24000000002</v>
      </c>
      <c r="DS54" s="674">
        <v>0</v>
      </c>
      <c r="DU54" s="674">
        <v>140348.02000000002</v>
      </c>
      <c r="DV54" s="674">
        <v>0</v>
      </c>
      <c r="DW54" s="674">
        <v>0</v>
      </c>
      <c r="DX54" s="674">
        <v>0</v>
      </c>
      <c r="DY54" s="668">
        <f t="shared" si="20"/>
        <v>0</v>
      </c>
      <c r="DZ54" s="674">
        <v>0</v>
      </c>
      <c r="EA54" s="674">
        <v>0</v>
      </c>
      <c r="EB54" s="668">
        <f t="shared" si="21"/>
        <v>0</v>
      </c>
      <c r="EC54" s="674">
        <f>+DU54</f>
        <v>140348.02000000002</v>
      </c>
      <c r="ED54" s="674">
        <v>0</v>
      </c>
      <c r="EE54" s="754">
        <f>+'II-E-3.5'!I68-'II-E-3.5a'!DU54</f>
        <v>0</v>
      </c>
      <c r="EF54" s="754">
        <f t="shared" si="19"/>
        <v>0</v>
      </c>
      <c r="EH54" s="754"/>
    </row>
    <row r="55" spans="1:138" s="423" customFormat="1" ht="12.75">
      <c r="A55" s="524">
        <f t="shared" si="6"/>
        <v>43</v>
      </c>
      <c r="B55" s="184" t="s">
        <v>189</v>
      </c>
      <c r="C55" s="424" t="s">
        <v>13</v>
      </c>
      <c r="D55" s="674">
        <v>846108.39000000001</v>
      </c>
      <c r="E55" s="668">
        <f>ROUND(+$D55*'[5]II-F Alloc_Factor'!E$17,2)</f>
        <v>186314.39000000001</v>
      </c>
      <c r="F55" s="668">
        <f>ROUND(+$D55*'[5]II-F Alloc_Factor'!F$17,2)</f>
        <v>0</v>
      </c>
      <c r="G55" s="668">
        <f>ROUND(+$D55*'[5]II-F Alloc_Factor'!G$17,2)</f>
        <v>0</v>
      </c>
      <c r="H55" s="668">
        <f>ROUND(+$D55*'[5]II-F Alloc_Factor'!H$17,2)</f>
        <v>186314.39000000001</v>
      </c>
      <c r="I55" s="668">
        <f>ROUND(+$D55*'[5]II-F Alloc_Factor'!I$17,2)</f>
        <v>514010.42999999999</v>
      </c>
      <c r="J55" s="668">
        <f>ROUND(+$D55*'[5]II-F Alloc_Factor'!J$17,2)</f>
        <v>0</v>
      </c>
      <c r="K55" s="668">
        <f>ROUND(+$D55*'[5]II-F Alloc_Factor'!K$17,2)</f>
        <v>514010.42999999999</v>
      </c>
      <c r="L55" s="668">
        <f>ROUND(+$D55*'[5]II-F Alloc_Factor'!L$17,2)</f>
        <v>140143.98999999999</v>
      </c>
      <c r="M55" s="668">
        <f>ROUND(+$D55*'[5]II-F Alloc_Factor'!M$17,2)</f>
        <v>5639.5799999999999</v>
      </c>
      <c r="N55" s="669"/>
      <c r="O55" s="674">
        <v>846108.39000000001</v>
      </c>
      <c r="P55" s="668">
        <f>ROUND(+$O55*'[5]II-F Alloc_Factor'!E$17,2)</f>
        <v>186314.39000000001</v>
      </c>
      <c r="Q55" s="668">
        <f>ROUND(+$O55*'[5]II-F Alloc_Factor'!F$17,2)</f>
        <v>0</v>
      </c>
      <c r="R55" s="668">
        <f>ROUND(+$O55*'[5]II-F Alloc_Factor'!G$17,2)</f>
        <v>0</v>
      </c>
      <c r="S55" s="668">
        <f>ROUND(+$O55*'[5]II-F Alloc_Factor'!H$17,2)</f>
        <v>186314.39000000001</v>
      </c>
      <c r="T55" s="668">
        <f>ROUND(+$O55*'[5]II-F Alloc_Factor'!I$17,2)</f>
        <v>514010.42999999999</v>
      </c>
      <c r="U55" s="668">
        <f>ROUND(+$O55*'[5]II-F Alloc_Factor'!J$17,2)</f>
        <v>0</v>
      </c>
      <c r="V55" s="668">
        <f>ROUND(+$O55*'[5]II-F Alloc_Factor'!K$17,2)</f>
        <v>514010.42999999999</v>
      </c>
      <c r="W55" s="668">
        <f>ROUND(+$O55*'[5]II-F Alloc_Factor'!L$17,2)</f>
        <v>140143.98999999999</v>
      </c>
      <c r="X55" s="668">
        <f>ROUND(+$O55*'[5]II-F Alloc_Factor'!M$17,2)</f>
        <v>5639.5799999999999</v>
      </c>
      <c r="Y55" s="673"/>
      <c r="Z55" s="674">
        <v>846108.39000000001</v>
      </c>
      <c r="AA55" s="668">
        <f>ROUND(+$Z55*'[5]II-F Alloc_Factor'!E$17,2)</f>
        <v>186314.39000000001</v>
      </c>
      <c r="AB55" s="668">
        <f>ROUND(+$Z55*'[5]II-F Alloc_Factor'!F$17,2)</f>
        <v>0</v>
      </c>
      <c r="AC55" s="668">
        <f>ROUND(+$Z55*'[5]II-F Alloc_Factor'!G$17,2)</f>
        <v>0</v>
      </c>
      <c r="AD55" s="668">
        <f>ROUND(+$Z55*'[5]II-F Alloc_Factor'!H$17,2)</f>
        <v>186314.39000000001</v>
      </c>
      <c r="AE55" s="668">
        <f>ROUND(+$Z55*'[5]II-F Alloc_Factor'!I$17,2)</f>
        <v>514010.42999999999</v>
      </c>
      <c r="AF55" s="668">
        <f>ROUND(+$Z55*'[5]II-F Alloc_Factor'!J$17,2)</f>
        <v>0</v>
      </c>
      <c r="AG55" s="668">
        <f>ROUND(+$Z55*'[5]II-F Alloc_Factor'!K$17,2)</f>
        <v>514010.42999999999</v>
      </c>
      <c r="AH55" s="668">
        <f>ROUND(+$Z55*'[5]II-F Alloc_Factor'!L$17,2)</f>
        <v>140143.98999999999</v>
      </c>
      <c r="AI55" s="668">
        <f>ROUND(+$Z55*'[5]II-F Alloc_Factor'!M$17,2)</f>
        <v>5639.5799999999999</v>
      </c>
      <c r="AK55" s="674">
        <v>846108.39000000001</v>
      </c>
      <c r="AL55" s="668">
        <f>ROUND(+$AK55*'[5]II-F Alloc_Factor'!E$17,2)</f>
        <v>186314.39000000001</v>
      </c>
      <c r="AM55" s="668">
        <f>ROUND(+$AK55*'[5]II-F Alloc_Factor'!F$17,2)</f>
        <v>0</v>
      </c>
      <c r="AN55" s="668">
        <f>ROUND(+$AK55*'[5]II-F Alloc_Factor'!G$17,2)</f>
        <v>0</v>
      </c>
      <c r="AO55" s="668">
        <f t="shared" si="22"/>
        <v>186314.39000000001</v>
      </c>
      <c r="AP55" s="668">
        <f>ROUND(+$AK55*'[5]II-F Alloc_Factor'!I$17,2)</f>
        <v>514010.42999999999</v>
      </c>
      <c r="AQ55" s="668">
        <f>ROUND(+$AK55*'[5]II-F Alloc_Factor'!J$17,2)</f>
        <v>0</v>
      </c>
      <c r="AR55" s="668">
        <f t="shared" si="23"/>
        <v>514010.42999999999</v>
      </c>
      <c r="AS55" s="668">
        <f>ROUND(+$AK55*'[5]II-F Alloc_Factor'!L$17,2)</f>
        <v>140143.98999999999</v>
      </c>
      <c r="AT55" s="668">
        <f>ROUND(+$AK55*'[5]II-F Alloc_Factor'!M$17,2)</f>
        <v>5639.5799999999999</v>
      </c>
      <c r="AU55" s="755"/>
      <c r="AV55" s="674">
        <v>846108.39000000001</v>
      </c>
      <c r="AW55" s="668">
        <f>ROUND(+$AV55*'[5]II-F Alloc_Factor'!E$17,2)</f>
        <v>186314.39000000001</v>
      </c>
      <c r="AX55" s="668">
        <f>ROUND(+$AV55*'[5]II-F Alloc_Factor'!F$17,2)</f>
        <v>0</v>
      </c>
      <c r="AY55" s="668">
        <f>ROUND(+$AV55*'[5]II-F Alloc_Factor'!G$17,2)</f>
        <v>0</v>
      </c>
      <c r="AZ55" s="668">
        <f>ROUND(+$AV55*'[5]II-F Alloc_Factor'!H$17,2)</f>
        <v>186314.39000000001</v>
      </c>
      <c r="BA55" s="668">
        <f>ROUND(+$AV55*'[5]II-F Alloc_Factor'!I$17,2)</f>
        <v>514010.42999999999</v>
      </c>
      <c r="BB55" s="668">
        <f>ROUND(+$AV55*'[5]II-F Alloc_Factor'!J$17,2)</f>
        <v>0</v>
      </c>
      <c r="BC55" s="668">
        <f>ROUND(+$AV55*'[5]II-F Alloc_Factor'!K$17,2)</f>
        <v>514010.42999999999</v>
      </c>
      <c r="BD55" s="668">
        <f>ROUND(+$AV55*'[5]II-F Alloc_Factor'!L$17,2)</f>
        <v>140143.98999999999</v>
      </c>
      <c r="BE55" s="668">
        <f>ROUND(+$AV55*'[5]II-F Alloc_Factor'!M$17,2)</f>
        <v>5639.5799999999999</v>
      </c>
      <c r="BF55" s="755"/>
      <c r="BG55" s="674">
        <v>846108.39000000001</v>
      </c>
      <c r="BH55" s="668">
        <f>ROUND(+$BG55*'[5]II-F Alloc_Factor'!E$17,2)</f>
        <v>186314.39000000001</v>
      </c>
      <c r="BI55" s="668">
        <f>ROUND(+$BG55*'[5]II-F Alloc_Factor'!F$17,2)</f>
        <v>0</v>
      </c>
      <c r="BJ55" s="668">
        <f>ROUND(+$BG55*'[5]II-F Alloc_Factor'!G$17,2)</f>
        <v>0</v>
      </c>
      <c r="BK55" s="668">
        <f>ROUND(+$BG55*'[5]II-F Alloc_Factor'!H$17,2)</f>
        <v>186314.39000000001</v>
      </c>
      <c r="BL55" s="668">
        <f>ROUND(+$BG55*'[5]II-F Alloc_Factor'!I$17,2)</f>
        <v>514010.42999999999</v>
      </c>
      <c r="BM55" s="668">
        <f>ROUND(+$BG55*'[5]II-F Alloc_Factor'!J$17,2)</f>
        <v>0</v>
      </c>
      <c r="BN55" s="668">
        <f>ROUND(+$BG55*'[5]II-F Alloc_Factor'!K$17,2)</f>
        <v>514010.42999999999</v>
      </c>
      <c r="BO55" s="668">
        <f>ROUND(+$BG55*'[5]II-F Alloc_Factor'!L$17,2)</f>
        <v>140143.98999999999</v>
      </c>
      <c r="BP55" s="668">
        <f>ROUND(+$BG55*'[5]II-F Alloc_Factor'!M$17,2)</f>
        <v>5639.5799999999999</v>
      </c>
      <c r="BQ55" s="755"/>
      <c r="BR55" s="674">
        <v>846108.39000000001</v>
      </c>
      <c r="BS55" s="668">
        <f>ROUND(+$BR55*'[5]II-F Alloc_Factor'!E$17,2)</f>
        <v>186314.39000000001</v>
      </c>
      <c r="BT55" s="668">
        <f>ROUND(+$BR55*'[5]II-F Alloc_Factor'!F$17,2)</f>
        <v>0</v>
      </c>
      <c r="BU55" s="668">
        <f>ROUND(+$BR55*'[5]II-F Alloc_Factor'!G$17,2)</f>
        <v>0</v>
      </c>
      <c r="BV55" s="668">
        <f>ROUND(+$BR55*'[5]II-F Alloc_Factor'!H$17,2)</f>
        <v>186314.39000000001</v>
      </c>
      <c r="BW55" s="668">
        <f>ROUND(+$BR55*'[5]II-F Alloc_Factor'!I$17,2)</f>
        <v>514010.42999999999</v>
      </c>
      <c r="BX55" s="668">
        <f>ROUND(+$BR55*'[5]II-F Alloc_Factor'!J$17,2)</f>
        <v>0</v>
      </c>
      <c r="BY55" s="668">
        <f>ROUND(+$BR55*'[5]II-F Alloc_Factor'!K$17,2)</f>
        <v>514010.42999999999</v>
      </c>
      <c r="BZ55" s="668">
        <f>ROUND(+$BR55*'[5]II-F Alloc_Factor'!L$17,2)</f>
        <v>140143.98999999999</v>
      </c>
      <c r="CA55" s="668">
        <f>ROUND(+$BR55*'[5]II-F Alloc_Factor'!M$17,2)</f>
        <v>5639.5799999999999</v>
      </c>
      <c r="CC55" s="674">
        <v>846108.39000000001</v>
      </c>
      <c r="CD55" s="668">
        <f>ROUND(+$CC55*'[5]II-F Alloc_Factor'!E$17,2)</f>
        <v>186314.39000000001</v>
      </c>
      <c r="CE55" s="668">
        <f>ROUND(+$CC55*'[5]II-F Alloc_Factor'!F$17,2)</f>
        <v>0</v>
      </c>
      <c r="CF55" s="668">
        <f>ROUND(+$CC55*'[5]II-F Alloc_Factor'!G$17,2)</f>
        <v>0</v>
      </c>
      <c r="CG55" s="668">
        <f>ROUND(+$CC55*'[5]II-F Alloc_Factor'!H$17,2)</f>
        <v>186314.39000000001</v>
      </c>
      <c r="CH55" s="668">
        <f>ROUND(+$CC55*'[5]II-F Alloc_Factor'!I$17,2)</f>
        <v>514010.42999999999</v>
      </c>
      <c r="CI55" s="668">
        <f>ROUND(+$CC55*'[5]II-F Alloc_Factor'!J$17,2)</f>
        <v>0</v>
      </c>
      <c r="CJ55" s="668">
        <f>ROUND(+$CC55*'[5]II-F Alloc_Factor'!K$17,2)</f>
        <v>514010.42999999999</v>
      </c>
      <c r="CK55" s="668">
        <f>ROUND(+$CC55*'[5]II-F Alloc_Factor'!L$17,2)</f>
        <v>140143.98999999999</v>
      </c>
      <c r="CL55" s="668">
        <f>ROUND(+$CC55*'[5]II-F Alloc_Factor'!M$17,2)</f>
        <v>5639.5799999999999</v>
      </c>
      <c r="CN55" s="674">
        <v>846108.39000000001</v>
      </c>
      <c r="CO55" s="668">
        <f>ROUND(+$CN55*'[5]II-F Alloc_Factor'!E$17,2)</f>
        <v>186314.39000000001</v>
      </c>
      <c r="CP55" s="668">
        <f>ROUND(+$CN55*'[5]II-F Alloc_Factor'!F$17,2)</f>
        <v>0</v>
      </c>
      <c r="CQ55" s="668">
        <f>ROUND(+$CN55*'[5]II-F Alloc_Factor'!G$17,2)</f>
        <v>0</v>
      </c>
      <c r="CR55" s="668">
        <f>ROUND(+$CN55*'[5]II-F Alloc_Factor'!H$17,2)</f>
        <v>186314.39000000001</v>
      </c>
      <c r="CS55" s="668">
        <f>ROUND(+$CN55*'[5]II-F Alloc_Factor'!I$17,2)</f>
        <v>514010.42999999999</v>
      </c>
      <c r="CT55" s="668">
        <f>ROUND(+$CN55*'[5]II-F Alloc_Factor'!J$17,2)</f>
        <v>0</v>
      </c>
      <c r="CU55" s="668">
        <f>ROUND(+$CN55*'[5]II-F Alloc_Factor'!K$17,2)</f>
        <v>514010.42999999999</v>
      </c>
      <c r="CV55" s="668">
        <f>ROUND(+$CN55*'[5]II-F Alloc_Factor'!L$17,2)</f>
        <v>140143.98999999999</v>
      </c>
      <c r="CW55" s="668">
        <f>ROUND(+$CN55*'[5]II-F Alloc_Factor'!M$17,2)</f>
        <v>5639.5799999999999</v>
      </c>
      <c r="CY55" s="674">
        <v>846108.39000000001</v>
      </c>
      <c r="CZ55" s="668">
        <f>ROUND(+$CY55*'[5]II-F Alloc_Factor'!E$17,2)</f>
        <v>186314.39000000001</v>
      </c>
      <c r="DA55" s="668">
        <f>ROUND(+$CY55*'[5]II-F Alloc_Factor'!F$17,2)</f>
        <v>0</v>
      </c>
      <c r="DB55" s="668">
        <f>ROUND(+$CY55*'[5]II-F Alloc_Factor'!G$17,2)</f>
        <v>0</v>
      </c>
      <c r="DC55" s="668">
        <f>ROUND(+$CY55*'[5]II-F Alloc_Factor'!H$17,2)</f>
        <v>186314.39000000001</v>
      </c>
      <c r="DD55" s="668">
        <f>ROUND(+$CY55*'[5]II-F Alloc_Factor'!I$17,2)</f>
        <v>514010.42999999999</v>
      </c>
      <c r="DE55" s="668">
        <f>ROUND(+$CY55*'[5]II-F Alloc_Factor'!J$17,2)</f>
        <v>0</v>
      </c>
      <c r="DF55" s="668">
        <f>ROUND(+$CY55*'[5]II-F Alloc_Factor'!K$17,2)</f>
        <v>514010.42999999999</v>
      </c>
      <c r="DG55" s="668">
        <f>ROUND(+$CY55*'[5]II-F Alloc_Factor'!L$17,2)</f>
        <v>140143.98999999999</v>
      </c>
      <c r="DH55" s="668">
        <f>ROUND(+$CY55*'[5]II-F Alloc_Factor'!M$17,2)</f>
        <v>5639.5799999999999</v>
      </c>
      <c r="DI55" s="668"/>
      <c r="DJ55" s="674">
        <v>846108.39000000001</v>
      </c>
      <c r="DK55" s="668">
        <f>ROUND(+$DJ55*'[5]II-F Alloc_Factor'!E$17,2)</f>
        <v>186314.39000000001</v>
      </c>
      <c r="DL55" s="668">
        <f>ROUND(+$DJ55*'[5]II-F Alloc_Factor'!F$17,2)</f>
        <v>0</v>
      </c>
      <c r="DM55" s="668">
        <f>ROUND(+$DJ55*'[5]II-F Alloc_Factor'!G$17,2)</f>
        <v>0</v>
      </c>
      <c r="DN55" s="668">
        <f>ROUND(+$DJ55*'[5]II-F Alloc_Factor'!H$17,2)</f>
        <v>186314.39000000001</v>
      </c>
      <c r="DO55" s="668">
        <f>ROUND(+$DJ55*'[5]II-F Alloc_Factor'!I$17,2)</f>
        <v>514010.42999999999</v>
      </c>
      <c r="DP55" s="668">
        <f>ROUND(+$DJ55*'[5]II-F Alloc_Factor'!J$17,2)</f>
        <v>0</v>
      </c>
      <c r="DQ55" s="668">
        <f>ROUND(+$DJ55*'[5]II-F Alloc_Factor'!K$17,2)</f>
        <v>514010.42999999999</v>
      </c>
      <c r="DR55" s="668">
        <f>ROUND(+$DJ55*'[5]II-F Alloc_Factor'!L$17,2)</f>
        <v>140143.98999999999</v>
      </c>
      <c r="DS55" s="668">
        <f>ROUND(+$DJ55*'[5]II-F Alloc_Factor'!M$17,2)</f>
        <v>5639.5799999999999</v>
      </c>
      <c r="DU55" s="674">
        <v>776266.44000000006</v>
      </c>
      <c r="DV55" s="668">
        <f>ROUND(+$DU55*'[5]II-F Alloc_Factor'!E$17,2)</f>
        <v>170935.07999999999</v>
      </c>
      <c r="DW55" s="668">
        <f>ROUND(+$DU55*'[5]II-F Alloc_Factor'!F$17,2)</f>
        <v>0</v>
      </c>
      <c r="DX55" s="668">
        <f>ROUND(+$DU55*'[5]II-F Alloc_Factor'!G$17,2)</f>
        <v>0</v>
      </c>
      <c r="DY55" s="668">
        <f t="shared" si="20"/>
        <v>170935.07999999999</v>
      </c>
      <c r="DZ55" s="668">
        <f>ROUND(+$DU55*'[5]II-F Alloc_Factor'!I$17,2)</f>
        <v>471581.47999999998</v>
      </c>
      <c r="EA55" s="668">
        <f>ROUND(+$DU55*'[5]II-F Alloc_Factor'!J$17,2)</f>
        <v>0</v>
      </c>
      <c r="EB55" s="668">
        <f t="shared" si="21"/>
        <v>471581.47999999998</v>
      </c>
      <c r="EC55" s="668">
        <f>ROUND(+$DU55*'[5]II-F Alloc_Factor'!L$17,2)</f>
        <v>128575.81</v>
      </c>
      <c r="ED55" s="668">
        <f>ROUND(+$DU55*'[5]II-F Alloc_Factor'!M$17,2)+0.01</f>
        <v>5174.0700000000006</v>
      </c>
      <c r="EE55" s="754">
        <f>+'II-E-3.5'!I69-'II-E-3.5a'!DU55</f>
        <v>0</v>
      </c>
      <c r="EF55" s="754">
        <f t="shared" si="19"/>
        <v>0</v>
      </c>
      <c r="EH55" s="754"/>
    </row>
    <row r="56" spans="1:138" s="423" customFormat="1" ht="12.75">
      <c r="A56" s="524">
        <f t="shared" si="6"/>
        <v>44</v>
      </c>
      <c r="B56" s="184" t="s">
        <v>444</v>
      </c>
      <c r="C56" s="424" t="s">
        <v>13</v>
      </c>
      <c r="D56" s="674">
        <v>13435058.059999999</v>
      </c>
      <c r="E56" s="668">
        <f>ROUND(+$D56*'[5]II-F Alloc_Factor'!E$17,2)</f>
        <v>2958420.7999999998</v>
      </c>
      <c r="F56" s="668">
        <f>ROUND(+$D56*'[5]II-F Alloc_Factor'!F$17,2)</f>
        <v>0</v>
      </c>
      <c r="G56" s="668">
        <f>ROUND(+$D56*'[5]II-F Alloc_Factor'!G$17,2)</f>
        <v>0</v>
      </c>
      <c r="H56" s="668">
        <f>ROUND(+$D56*'[5]II-F Alloc_Factor'!H$17,2)</f>
        <v>2958420.7999999998</v>
      </c>
      <c r="I56" s="668">
        <f>ROUND(+$D56*'[5]II-F Alloc_Factor'!I$17,2)</f>
        <v>8161791.2000000002</v>
      </c>
      <c r="J56" s="668">
        <f>ROUND(+$D56*'[5]II-F Alloc_Factor'!J$17,2)</f>
        <v>0</v>
      </c>
      <c r="K56" s="668">
        <f>ROUND(+$D56*'[5]II-F Alloc_Factor'!K$17,2)</f>
        <v>8161791.2000000002</v>
      </c>
      <c r="L56" s="668">
        <f>ROUND(+$D56*'[5]II-F Alloc_Factor'!L$17,2)</f>
        <v>2225297.1699999999</v>
      </c>
      <c r="M56" s="668">
        <f>ROUND(+$D56*'[5]II-F Alloc_Factor'!M$17,2)</f>
        <v>89548.889999999999</v>
      </c>
      <c r="N56" s="669"/>
      <c r="O56" s="674">
        <v>14131256.499999998</v>
      </c>
      <c r="P56" s="668">
        <f>ROUND(+$O56*'[5]II-F Alloc_Factor'!E$17,2)</f>
        <v>3111724.79</v>
      </c>
      <c r="Q56" s="668">
        <f>ROUND(+$O56*'[5]II-F Alloc_Factor'!F$17,2)</f>
        <v>0</v>
      </c>
      <c r="R56" s="668">
        <f>ROUND(+$O56*'[5]II-F Alloc_Factor'!G$17,2)</f>
        <v>0</v>
      </c>
      <c r="S56" s="668">
        <f>ROUND(+$O56*'[5]II-F Alloc_Factor'!H$17,2)</f>
        <v>3111724.79</v>
      </c>
      <c r="T56" s="668">
        <f>ROUND(+$O56*'[5]II-F Alloc_Factor'!I$17,2)</f>
        <v>8584731.4199999999</v>
      </c>
      <c r="U56" s="668">
        <f>ROUND(+$O56*'[5]II-F Alloc_Factor'!J$17,2)</f>
        <v>0</v>
      </c>
      <c r="V56" s="668">
        <f>ROUND(+$O56*'[5]II-F Alloc_Factor'!K$17,2)</f>
        <v>8584731.4199999999</v>
      </c>
      <c r="W56" s="668">
        <f>ROUND(+$O56*'[5]II-F Alloc_Factor'!L$17,2)</f>
        <v>2340611.0299999998</v>
      </c>
      <c r="X56" s="668">
        <f>ROUND(+$O56*'[5]II-F Alloc_Factor'!M$17,2)</f>
        <v>94189.270000000004</v>
      </c>
      <c r="Y56" s="673"/>
      <c r="Z56" s="674">
        <v>11650867.689999998</v>
      </c>
      <c r="AA56" s="668">
        <f>ROUND(+$Z56*'[5]II-F Alloc_Factor'!E$17,2)</f>
        <v>2565539.29</v>
      </c>
      <c r="AB56" s="668">
        <f>ROUND(+$Z56*'[5]II-F Alloc_Factor'!F$17,2)</f>
        <v>0</v>
      </c>
      <c r="AC56" s="668">
        <f>ROUND(+$Z56*'[5]II-F Alloc_Factor'!G$17,2)</f>
        <v>0</v>
      </c>
      <c r="AD56" s="668">
        <f>ROUND(+$Z56*'[5]II-F Alloc_Factor'!H$17,2)</f>
        <v>2565539.29</v>
      </c>
      <c r="AE56" s="668">
        <f>ROUND(+$Z56*'[5]II-F Alloc_Factor'!I$17,2)</f>
        <v>7077896.4299999997</v>
      </c>
      <c r="AF56" s="668">
        <f>ROUND(+$Z56*'[5]II-F Alloc_Factor'!J$17,2)</f>
        <v>0</v>
      </c>
      <c r="AG56" s="668">
        <f>ROUND(+$Z56*'[5]II-F Alloc_Factor'!K$17,2)</f>
        <v>7077896.4299999997</v>
      </c>
      <c r="AH56" s="668">
        <f>ROUND(+$Z56*'[5]II-F Alloc_Factor'!L$17,2)</f>
        <v>1929775.28</v>
      </c>
      <c r="AI56" s="668">
        <f>ROUND(+$Z56*'[5]II-F Alloc_Factor'!M$17,2)</f>
        <v>77656.699999999997</v>
      </c>
      <c r="AK56" s="674">
        <v>11275463.719999997</v>
      </c>
      <c r="AL56" s="668">
        <f>ROUND(+$AK56*'[5]II-F Alloc_Factor'!E$17,2)</f>
        <v>2482874.75</v>
      </c>
      <c r="AM56" s="668">
        <f>ROUND(+$AK56*'[5]II-F Alloc_Factor'!F$17,2)</f>
        <v>0</v>
      </c>
      <c r="AN56" s="668">
        <f>ROUND(+$AK56*'[5]II-F Alloc_Factor'!G$17,2)</f>
        <v>0</v>
      </c>
      <c r="AO56" s="668">
        <f t="shared" si="22"/>
        <v>2482874.75</v>
      </c>
      <c r="AP56" s="668">
        <f>ROUND(+$AK56*'[5]II-F Alloc_Factor'!I$17,2)</f>
        <v>6849838.7000000002</v>
      </c>
      <c r="AQ56" s="668">
        <f>ROUND(+$AK56*'[5]II-F Alloc_Factor'!J$17,2)</f>
        <v>0</v>
      </c>
      <c r="AR56" s="668">
        <f t="shared" si="23"/>
        <v>6849838.7000000002</v>
      </c>
      <c r="AS56" s="668">
        <f>ROUND(+$AK56*'[5]II-F Alloc_Factor'!L$17,2)</f>
        <v>1867595.76</v>
      </c>
      <c r="AT56" s="668">
        <f>ROUND(+$AK56*'[5]II-F Alloc_Factor'!M$17,2)</f>
        <v>75154.509999999995</v>
      </c>
      <c r="AU56" s="755"/>
      <c r="AV56" s="674">
        <v>10900059.749999996</v>
      </c>
      <c r="AW56" s="668">
        <f>ROUND(+$AV56*'[5]II-F Alloc_Factor'!E$17,2)</f>
        <v>2400210.21</v>
      </c>
      <c r="AX56" s="668">
        <f>ROUND(+$AV56*'[5]II-F Alloc_Factor'!F$17,2)</f>
        <v>0</v>
      </c>
      <c r="AY56" s="668">
        <f>ROUND(+$AV56*'[5]II-F Alloc_Factor'!G$17,2)</f>
        <v>0</v>
      </c>
      <c r="AZ56" s="668">
        <f>ROUND(+$AV56*'[5]II-F Alloc_Factor'!H$17,2)</f>
        <v>2400210.21</v>
      </c>
      <c r="BA56" s="668">
        <f>ROUND(+$AV56*'[5]II-F Alloc_Factor'!I$17,2)</f>
        <v>6621780.9699999997</v>
      </c>
      <c r="BB56" s="668">
        <f>ROUND(+$AV56*'[5]II-F Alloc_Factor'!J$17,2)</f>
        <v>0</v>
      </c>
      <c r="BC56" s="668">
        <f>ROUND(+$AV56*'[5]II-F Alloc_Factor'!K$17,2)</f>
        <v>6621780.9699999997</v>
      </c>
      <c r="BD56" s="668">
        <f>ROUND(+$AV56*'[5]II-F Alloc_Factor'!L$17,2)</f>
        <v>1805416.25</v>
      </c>
      <c r="BE56" s="668">
        <f>ROUND(+$AV56*'[5]II-F Alloc_Factor'!M$17,2)</f>
        <v>72652.320000000007</v>
      </c>
      <c r="BF56" s="755"/>
      <c r="BG56" s="674">
        <v>10634368.399999997</v>
      </c>
      <c r="BH56" s="668">
        <f>ROUND(+$BG56*'[5]II-F Alloc_Factor'!E$17,2)</f>
        <v>2341704.5600000001</v>
      </c>
      <c r="BI56" s="668">
        <f>ROUND(+$BG56*'[5]II-F Alloc_Factor'!F$17,2)</f>
        <v>0</v>
      </c>
      <c r="BJ56" s="668">
        <f>ROUND(+$BG56*'[5]II-F Alloc_Factor'!G$17,2)</f>
        <v>0</v>
      </c>
      <c r="BK56" s="668">
        <f>ROUND(+$BG56*'[5]II-F Alloc_Factor'!H$17,2)</f>
        <v>2341704.5600000001</v>
      </c>
      <c r="BL56" s="668">
        <f>ROUND(+$BG56*'[5]II-F Alloc_Factor'!I$17,2)</f>
        <v>6460373.5999999996</v>
      </c>
      <c r="BM56" s="668">
        <f>ROUND(+$BG56*'[5]II-F Alloc_Factor'!J$17,2)</f>
        <v>0</v>
      </c>
      <c r="BN56" s="668">
        <f>ROUND(+$BG56*'[5]II-F Alloc_Factor'!K$17,2)</f>
        <v>6460373.5999999996</v>
      </c>
      <c r="BO56" s="668">
        <f>ROUND(+$BG56*'[5]II-F Alloc_Factor'!L$17,2)</f>
        <v>1761408.8300000001</v>
      </c>
      <c r="BP56" s="668">
        <f>ROUND(+$BG56*'[5]II-F Alloc_Factor'!M$17,2)</f>
        <v>70881.410000000003</v>
      </c>
      <c r="BQ56" s="755"/>
      <c r="BR56" s="674">
        <v>10277249.859999998</v>
      </c>
      <c r="BS56" s="668">
        <f>ROUND(+$BR56*'[5]II-F Alloc_Factor'!E$17,2)</f>
        <v>2263066.5</v>
      </c>
      <c r="BT56" s="668">
        <f>ROUND(+$BR56*'[5]II-F Alloc_Factor'!F$17,2)</f>
        <v>0</v>
      </c>
      <c r="BU56" s="668">
        <f>ROUND(+$BR56*'[5]II-F Alloc_Factor'!G$17,2)</f>
        <v>0</v>
      </c>
      <c r="BV56" s="668">
        <f>ROUND(+$BR56*'[5]II-F Alloc_Factor'!H$17,2)</f>
        <v>2263066.5</v>
      </c>
      <c r="BW56" s="668">
        <f>ROUND(+$BR56*'[5]II-F Alloc_Factor'!I$17,2)</f>
        <v>6243424.2699999996</v>
      </c>
      <c r="BX56" s="668">
        <f>ROUND(+$BR56*'[5]II-F Alloc_Factor'!J$17,2)</f>
        <v>0</v>
      </c>
      <c r="BY56" s="668">
        <f>ROUND(+$BR56*'[5]II-F Alloc_Factor'!K$17,2)</f>
        <v>6243424.2699999996</v>
      </c>
      <c r="BZ56" s="668">
        <f>ROUND(+$BR56*'[5]II-F Alloc_Factor'!L$17,2)</f>
        <v>1702258</v>
      </c>
      <c r="CA56" s="668">
        <f>ROUND(+$BR56*'[5]II-F Alloc_Factor'!M$17,2)</f>
        <v>68501.100000000006</v>
      </c>
      <c r="CC56" s="674">
        <v>9920131.3299999982</v>
      </c>
      <c r="CD56" s="668">
        <f>ROUND(+$CC56*'[5]II-F Alloc_Factor'!E$17,2)</f>
        <v>2184428.4399999999</v>
      </c>
      <c r="CE56" s="668">
        <f>ROUND(+$CC56*'[5]II-F Alloc_Factor'!F$17,2)</f>
        <v>0</v>
      </c>
      <c r="CF56" s="668">
        <f>ROUND(+$CC56*'[5]II-F Alloc_Factor'!G$17,2)</f>
        <v>0</v>
      </c>
      <c r="CG56" s="668">
        <f>ROUND(+$CC56*'[5]II-F Alloc_Factor'!H$17,2)</f>
        <v>2184428.4399999999</v>
      </c>
      <c r="CH56" s="668">
        <f>ROUND(+$CC56*'[5]II-F Alloc_Factor'!I$17,2)</f>
        <v>6026474.9299999997</v>
      </c>
      <c r="CI56" s="668">
        <f>ROUND(+$CC56*'[5]II-F Alloc_Factor'!J$17,2)</f>
        <v>0</v>
      </c>
      <c r="CJ56" s="668">
        <f>ROUND(+$CC56*'[5]II-F Alloc_Factor'!K$17,2)</f>
        <v>6026474.9299999997</v>
      </c>
      <c r="CK56" s="668">
        <f>ROUND(+$CC56*'[5]II-F Alloc_Factor'!L$17,2)</f>
        <v>1643107.1699999999</v>
      </c>
      <c r="CL56" s="668">
        <f>ROUND(+$CC56*'[5]II-F Alloc_Factor'!M$17,2)</f>
        <v>66120.789999999994</v>
      </c>
      <c r="CN56" s="674">
        <v>10649935.639999999</v>
      </c>
      <c r="CO56" s="668">
        <f>ROUND(+$CN56*'[5]II-F Alloc_Factor'!E$17,2)</f>
        <v>2345132.4900000002</v>
      </c>
      <c r="CP56" s="668">
        <f>ROUND(+$CN56*'[5]II-F Alloc_Factor'!F$17,2)</f>
        <v>0</v>
      </c>
      <c r="CQ56" s="668">
        <f>ROUND(+$CN56*'[5]II-F Alloc_Factor'!G$17,2)</f>
        <v>0</v>
      </c>
      <c r="CR56" s="668">
        <f>ROUND(+$CN56*'[5]II-F Alloc_Factor'!H$17,2)</f>
        <v>2345132.4900000002</v>
      </c>
      <c r="CS56" s="668">
        <f>ROUND(+$CN56*'[5]II-F Alloc_Factor'!I$17,2)</f>
        <v>6469830.7000000002</v>
      </c>
      <c r="CT56" s="668">
        <f>ROUND(+$CN56*'[5]II-F Alloc_Factor'!J$17,2)</f>
        <v>0</v>
      </c>
      <c r="CU56" s="668">
        <f>ROUND(+$CN56*'[5]II-F Alloc_Factor'!K$17,2)</f>
        <v>6469830.7000000002</v>
      </c>
      <c r="CV56" s="668">
        <f>ROUND(+$CN56*'[5]II-F Alloc_Factor'!L$17,2)</f>
        <v>1763987.29</v>
      </c>
      <c r="CW56" s="668">
        <f>ROUND(+$CN56*'[5]II-F Alloc_Factor'!M$17,2)</f>
        <v>70985.169999999998</v>
      </c>
      <c r="CY56" s="674">
        <v>10413586.299999999</v>
      </c>
      <c r="CZ56" s="668">
        <f>ROUND(+$CY56*'[5]II-F Alloc_Factor'!E$17,2)</f>
        <v>2293087.9900000002</v>
      </c>
      <c r="DA56" s="668">
        <f>ROUND(+$CY56*'[5]II-F Alloc_Factor'!F$17,2)</f>
        <v>0</v>
      </c>
      <c r="DB56" s="668">
        <f>ROUND(+$CY56*'[5]II-F Alloc_Factor'!G$17,2)</f>
        <v>0</v>
      </c>
      <c r="DC56" s="668">
        <f>ROUND(+$CY56*'[5]II-F Alloc_Factor'!H$17,2)</f>
        <v>2293087.9900000002</v>
      </c>
      <c r="DD56" s="668">
        <f>ROUND(+$CY56*'[5]II-F Alloc_Factor'!I$17,2)</f>
        <v>6326248.5899999999</v>
      </c>
      <c r="DE56" s="668">
        <f>ROUND(+$CY56*'[5]II-F Alloc_Factor'!J$17,2)</f>
        <v>0</v>
      </c>
      <c r="DF56" s="668">
        <f>ROUND(+$CY56*'[5]II-F Alloc_Factor'!K$17,2)</f>
        <v>6326248.5899999999</v>
      </c>
      <c r="DG56" s="668">
        <f>ROUND(+$CY56*'[5]II-F Alloc_Factor'!L$17,2)</f>
        <v>1724839.8899999999</v>
      </c>
      <c r="DH56" s="668">
        <f>ROUND(+$CY56*'[5]II-F Alloc_Factor'!M$17,2)</f>
        <v>69409.830000000002</v>
      </c>
      <c r="DI56" s="668"/>
      <c r="DJ56" s="674">
        <v>10177236.969999999</v>
      </c>
      <c r="DK56" s="668">
        <f>ROUND(+$DJ56*'[5]II-F Alloc_Factor'!E$17,2)</f>
        <v>2241043.5</v>
      </c>
      <c r="DL56" s="668">
        <f>ROUND(+$DJ56*'[5]II-F Alloc_Factor'!F$17,2)</f>
        <v>0</v>
      </c>
      <c r="DM56" s="668">
        <f>ROUND(+$DJ56*'[5]II-F Alloc_Factor'!G$17,2)</f>
        <v>0</v>
      </c>
      <c r="DN56" s="668">
        <f>ROUND(+$DJ56*'[5]II-F Alloc_Factor'!H$17,2)</f>
        <v>2241043.5</v>
      </c>
      <c r="DO56" s="668">
        <f>ROUND(+$DJ56*'[5]II-F Alloc_Factor'!I$17,2)</f>
        <v>6182666.4800000004</v>
      </c>
      <c r="DP56" s="668">
        <f>ROUND(+$DJ56*'[5]II-F Alloc_Factor'!J$17,2)</f>
        <v>0</v>
      </c>
      <c r="DQ56" s="668">
        <f>ROUND(+$DJ56*'[5]II-F Alloc_Factor'!K$17,2)</f>
        <v>6182666.4800000004</v>
      </c>
      <c r="DR56" s="668">
        <f>ROUND(+$DJ56*'[5]II-F Alloc_Factor'!L$17,2)</f>
        <v>1685692.5</v>
      </c>
      <c r="DS56" s="668">
        <f>ROUND(+$DJ56*'[5]II-F Alloc_Factor'!M$17,2)</f>
        <v>67834.479999999996</v>
      </c>
      <c r="DU56" s="674">
        <v>9798136.3199999984</v>
      </c>
      <c r="DV56" s="668">
        <f>ROUND(+$DU56*'[5]II-F Alloc_Factor'!E$17,2)</f>
        <v>2157564.9500000002</v>
      </c>
      <c r="DW56" s="668">
        <f>ROUND(+$DU56*'[5]II-F Alloc_Factor'!F$17,2)</f>
        <v>0</v>
      </c>
      <c r="DX56" s="668">
        <f>ROUND(+$DU56*'[5]II-F Alloc_Factor'!G$17,2)</f>
        <v>0</v>
      </c>
      <c r="DY56" s="668">
        <f t="shared" si="20"/>
        <v>2157564.9500000002</v>
      </c>
      <c r="DZ56" s="668">
        <f>ROUND(+$DU56*'[5]II-F Alloc_Factor'!I$17,2)</f>
        <v>5952363.0199999996</v>
      </c>
      <c r="EA56" s="668">
        <f>ROUND(+$DU56*'[5]II-F Alloc_Factor'!J$17,2)</f>
        <v>0</v>
      </c>
      <c r="EB56" s="668">
        <f t="shared" si="21"/>
        <v>5952363.0199999996</v>
      </c>
      <c r="EC56" s="668">
        <f>ROUND(+$DU56*'[5]II-F Alloc_Factor'!L$17,2)</f>
        <v>1622900.6899999999</v>
      </c>
      <c r="ED56" s="668">
        <f>ROUND(+$DU56*'[5]II-F Alloc_Factor'!M$17,2)</f>
        <v>65307.660000000003</v>
      </c>
      <c r="EE56" s="754">
        <f>+'II-E-3.5'!I70-'II-E-3.5a'!DU56</f>
        <v>0</v>
      </c>
      <c r="EF56" s="754">
        <f t="shared" si="19"/>
        <v>0</v>
      </c>
      <c r="EH56" s="754"/>
    </row>
    <row r="57" spans="1:138" s="423" customFormat="1" ht="12.75">
      <c r="A57" s="524">
        <f t="shared" si="6"/>
        <v>45</v>
      </c>
      <c r="B57" s="184" t="s">
        <v>673</v>
      </c>
      <c r="C57" s="424" t="s">
        <v>841</v>
      </c>
      <c r="D57" s="674">
        <v>14744844.813299997</v>
      </c>
      <c r="E57" s="674">
        <v>0</v>
      </c>
      <c r="F57" s="674">
        <v>0</v>
      </c>
      <c r="G57" s="674">
        <v>0</v>
      </c>
      <c r="H57" s="674">
        <f t="shared" si="107" ref="H57:H59">SUM(E57:G57)</f>
        <v>0</v>
      </c>
      <c r="I57" s="674">
        <f>+D57</f>
        <v>14744844.813299997</v>
      </c>
      <c r="J57" s="674">
        <v>0</v>
      </c>
      <c r="K57" s="674">
        <f t="shared" si="108" ref="K57:K59">SUM(I57:J57)</f>
        <v>14744844.813299997</v>
      </c>
      <c r="L57" s="674">
        <v>0</v>
      </c>
      <c r="M57" s="674">
        <v>0</v>
      </c>
      <c r="N57" s="675"/>
      <c r="O57" s="674">
        <v>16880954.926499996</v>
      </c>
      <c r="P57" s="674">
        <v>0</v>
      </c>
      <c r="Q57" s="674">
        <v>0</v>
      </c>
      <c r="R57" s="674">
        <v>0</v>
      </c>
      <c r="S57" s="674">
        <f t="shared" si="109" ref="S57:S59">SUM(P57:R57)</f>
        <v>0</v>
      </c>
      <c r="T57" s="674">
        <f>+O57</f>
        <v>16880954.926499996</v>
      </c>
      <c r="U57" s="674">
        <v>0</v>
      </c>
      <c r="V57" s="674">
        <f t="shared" si="110" ref="V57:V59">SUM(T57:U57)</f>
        <v>16880954.926499996</v>
      </c>
      <c r="W57" s="674">
        <v>0</v>
      </c>
      <c r="X57" s="674">
        <v>0</v>
      </c>
      <c r="Y57" s="673"/>
      <c r="Z57" s="674">
        <v>9719801.7650999948</v>
      </c>
      <c r="AA57" s="674">
        <v>0</v>
      </c>
      <c r="AB57" s="674">
        <v>0</v>
      </c>
      <c r="AC57" s="674">
        <v>0</v>
      </c>
      <c r="AD57" s="674">
        <f t="shared" si="111" ref="AD57:AD59">SUM(AA57:AC57)</f>
        <v>0</v>
      </c>
      <c r="AE57" s="674">
        <f>+Z57</f>
        <v>9719801.7650999948</v>
      </c>
      <c r="AF57" s="674">
        <v>0</v>
      </c>
      <c r="AG57" s="674">
        <f t="shared" si="112" ref="AG57:AG59">SUM(AE57:AF57)</f>
        <v>9719801.7650999948</v>
      </c>
      <c r="AH57" s="674">
        <v>0</v>
      </c>
      <c r="AI57" s="674">
        <v>0</v>
      </c>
      <c r="AK57" s="674">
        <v>9039308.4536999948</v>
      </c>
      <c r="AL57" s="674">
        <v>0</v>
      </c>
      <c r="AM57" s="674">
        <v>0</v>
      </c>
      <c r="AN57" s="674">
        <v>0</v>
      </c>
      <c r="AO57" s="668">
        <f t="shared" si="22"/>
        <v>0</v>
      </c>
      <c r="AP57" s="674">
        <f>+AK57</f>
        <v>9039308.4536999948</v>
      </c>
      <c r="AQ57" s="674">
        <v>0</v>
      </c>
      <c r="AR57" s="668">
        <f t="shared" si="23"/>
        <v>9039308.4536999948</v>
      </c>
      <c r="AS57" s="674">
        <v>0</v>
      </c>
      <c r="AT57" s="674">
        <v>0</v>
      </c>
      <c r="AU57" s="755"/>
      <c r="AV57" s="674">
        <v>10031612.516099995</v>
      </c>
      <c r="AW57" s="674">
        <v>0</v>
      </c>
      <c r="AX57" s="674">
        <v>0</v>
      </c>
      <c r="AY57" s="674">
        <v>0</v>
      </c>
      <c r="AZ57" s="674">
        <f t="shared" si="113" ref="AZ57:AZ59">SUM(AW57:AY57)</f>
        <v>0</v>
      </c>
      <c r="BA57" s="674">
        <f>+AV57</f>
        <v>10031612.516099995</v>
      </c>
      <c r="BB57" s="674">
        <v>0</v>
      </c>
      <c r="BC57" s="674">
        <f t="shared" si="114" ref="BC57:BC59">SUM(BA57:BB57)</f>
        <v>10031612.516099995</v>
      </c>
      <c r="BD57" s="674">
        <v>0</v>
      </c>
      <c r="BE57" s="674">
        <v>0</v>
      </c>
      <c r="BF57" s="755"/>
      <c r="BG57" s="674">
        <v>13103600.241899995</v>
      </c>
      <c r="BH57" s="674">
        <v>0</v>
      </c>
      <c r="BI57" s="674">
        <v>0</v>
      </c>
      <c r="BJ57" s="674">
        <v>0</v>
      </c>
      <c r="BK57" s="674">
        <f t="shared" si="115" ref="BK57:BK59">SUM(BH57:BJ57)</f>
        <v>0</v>
      </c>
      <c r="BL57" s="674">
        <f>+BG57</f>
        <v>13103600.241899995</v>
      </c>
      <c r="BM57" s="674">
        <v>0</v>
      </c>
      <c r="BN57" s="674">
        <f t="shared" si="116" ref="BN57:BN59">SUM(BL57:BM57)</f>
        <v>13103600.241899995</v>
      </c>
      <c r="BO57" s="674">
        <v>0</v>
      </c>
      <c r="BP57" s="674">
        <v>0</v>
      </c>
      <c r="BQ57" s="755"/>
      <c r="BR57" s="674">
        <v>13723456.609799996</v>
      </c>
      <c r="BS57" s="674">
        <v>0</v>
      </c>
      <c r="BT57" s="674">
        <v>0</v>
      </c>
      <c r="BU57" s="674">
        <v>0</v>
      </c>
      <c r="BV57" s="674">
        <f t="shared" si="117" ref="BV57:BV59">SUM(BS57:BU57)</f>
        <v>0</v>
      </c>
      <c r="BW57" s="674">
        <f>+BR57</f>
        <v>13723456.609799996</v>
      </c>
      <c r="BX57" s="674">
        <v>0</v>
      </c>
      <c r="BY57" s="674">
        <f t="shared" si="118" ref="BY57:BY59">SUM(BW57:BX57)</f>
        <v>13723456.609799996</v>
      </c>
      <c r="BZ57" s="674">
        <v>0</v>
      </c>
      <c r="CA57" s="674">
        <v>0</v>
      </c>
      <c r="CC57" s="674">
        <v>14720993.779799996</v>
      </c>
      <c r="CD57" s="674">
        <v>0</v>
      </c>
      <c r="CE57" s="674">
        <v>0</v>
      </c>
      <c r="CF57" s="674">
        <v>0</v>
      </c>
      <c r="CG57" s="674">
        <f t="shared" si="119" ref="CG57:CG59">SUM(CD57:CF57)</f>
        <v>0</v>
      </c>
      <c r="CH57" s="674">
        <f>+CC57</f>
        <v>14720993.779799996</v>
      </c>
      <c r="CI57" s="674">
        <v>0</v>
      </c>
      <c r="CJ57" s="674">
        <f t="shared" si="120" ref="CJ57:CJ59">SUM(CH57:CI57)</f>
        <v>14720993.779799996</v>
      </c>
      <c r="CK57" s="674">
        <v>0</v>
      </c>
      <c r="CL57" s="674">
        <v>0</v>
      </c>
      <c r="CN57" s="674">
        <v>15682657.790099995</v>
      </c>
      <c r="CO57" s="674">
        <v>0</v>
      </c>
      <c r="CP57" s="674">
        <v>0</v>
      </c>
      <c r="CQ57" s="674">
        <v>0</v>
      </c>
      <c r="CR57" s="674">
        <f t="shared" si="121" ref="CR57:CR59">SUM(CO57:CQ57)</f>
        <v>0</v>
      </c>
      <c r="CS57" s="674">
        <f>+CN57</f>
        <v>15682657.790099995</v>
      </c>
      <c r="CT57" s="674">
        <v>0</v>
      </c>
      <c r="CU57" s="674">
        <f t="shared" si="122" ref="CU57:CU59">SUM(CS57:CT57)</f>
        <v>15682657.790099995</v>
      </c>
      <c r="CV57" s="674">
        <v>0</v>
      </c>
      <c r="CW57" s="674">
        <v>0</v>
      </c>
      <c r="CY57" s="674">
        <v>14651162.437799996</v>
      </c>
      <c r="CZ57" s="674">
        <v>0</v>
      </c>
      <c r="DA57" s="674">
        <v>0</v>
      </c>
      <c r="DB57" s="674">
        <v>0</v>
      </c>
      <c r="DC57" s="674">
        <f t="shared" si="123" ref="DC57:DC59">SUM(CZ57:DB57)</f>
        <v>0</v>
      </c>
      <c r="DD57" s="674">
        <f>+CY57</f>
        <v>14651162.437799996</v>
      </c>
      <c r="DE57" s="674">
        <v>0</v>
      </c>
      <c r="DF57" s="674">
        <f t="shared" si="124" ref="DF57:DF59">SUM(DD57:DE57)</f>
        <v>14651162.437799996</v>
      </c>
      <c r="DG57" s="674">
        <v>0</v>
      </c>
      <c r="DH57" s="674">
        <v>0</v>
      </c>
      <c r="DJ57" s="674">
        <v>13712349.199499996</v>
      </c>
      <c r="DK57" s="674">
        <v>0</v>
      </c>
      <c r="DL57" s="674">
        <v>0</v>
      </c>
      <c r="DM57" s="674">
        <v>0</v>
      </c>
      <c r="DN57" s="674">
        <f t="shared" si="125" ref="DN57:DN59">SUM(DK57:DM57)</f>
        <v>0</v>
      </c>
      <c r="DO57" s="674">
        <f>+DJ57</f>
        <v>13712349.199499996</v>
      </c>
      <c r="DP57" s="674">
        <v>0</v>
      </c>
      <c r="DQ57" s="674">
        <f t="shared" si="126" ref="DQ57:DQ59">SUM(DO57:DP57)</f>
        <v>13712349.199499996</v>
      </c>
      <c r="DR57" s="674">
        <v>0</v>
      </c>
      <c r="DS57" s="674">
        <v>0</v>
      </c>
      <c r="DU57" s="674">
        <v>14031341.869999999</v>
      </c>
      <c r="DV57" s="674">
        <v>0</v>
      </c>
      <c r="DW57" s="674">
        <v>0</v>
      </c>
      <c r="DX57" s="674">
        <v>0</v>
      </c>
      <c r="DY57" s="668">
        <f t="shared" si="20"/>
        <v>0</v>
      </c>
      <c r="DZ57" s="674">
        <f>+DU57</f>
        <v>14031341.869999999</v>
      </c>
      <c r="EA57" s="674">
        <v>0</v>
      </c>
      <c r="EB57" s="668">
        <f t="shared" si="21"/>
        <v>14031341.869999999</v>
      </c>
      <c r="EC57" s="674">
        <v>0</v>
      </c>
      <c r="ED57" s="674">
        <v>0</v>
      </c>
      <c r="EE57" s="754">
        <f>+'II-E-3.5'!I71-'II-E-3.5a'!DU57</f>
        <v>0</v>
      </c>
      <c r="EF57" s="754">
        <f t="shared" si="19"/>
        <v>0</v>
      </c>
      <c r="EH57" s="754"/>
    </row>
    <row r="58" spans="1:138" s="423" customFormat="1" ht="12.75">
      <c r="A58" s="524">
        <f t="shared" si="6"/>
        <v>46</v>
      </c>
      <c r="B58" s="184" t="s">
        <v>674</v>
      </c>
      <c r="C58" s="424" t="s">
        <v>841</v>
      </c>
      <c r="D58" s="674">
        <v>-17189.991000000009</v>
      </c>
      <c r="E58" s="674">
        <v>0</v>
      </c>
      <c r="F58" s="674">
        <v>0</v>
      </c>
      <c r="G58" s="674">
        <v>0</v>
      </c>
      <c r="H58" s="674">
        <f t="shared" si="107"/>
        <v>0</v>
      </c>
      <c r="I58" s="674">
        <f t="shared" si="127" ref="I58:I59">+D58</f>
        <v>-17189.991000000009</v>
      </c>
      <c r="J58" s="674">
        <v>0</v>
      </c>
      <c r="K58" s="674">
        <f t="shared" si="108"/>
        <v>-17189.991000000009</v>
      </c>
      <c r="L58" s="674">
        <v>0</v>
      </c>
      <c r="M58" s="674">
        <v>0</v>
      </c>
      <c r="N58" s="675"/>
      <c r="O58" s="674">
        <v>-17189.95740000001</v>
      </c>
      <c r="P58" s="674">
        <v>0</v>
      </c>
      <c r="Q58" s="674">
        <v>0</v>
      </c>
      <c r="R58" s="674">
        <v>0</v>
      </c>
      <c r="S58" s="674">
        <f t="shared" si="109"/>
        <v>0</v>
      </c>
      <c r="T58" s="674">
        <f t="shared" si="128" ref="T58:T59">+O58</f>
        <v>-17189.95740000001</v>
      </c>
      <c r="U58" s="674">
        <v>0</v>
      </c>
      <c r="V58" s="674">
        <f t="shared" si="110"/>
        <v>-17189.95740000001</v>
      </c>
      <c r="W58" s="674">
        <v>0</v>
      </c>
      <c r="X58" s="674">
        <v>0</v>
      </c>
      <c r="Y58" s="673"/>
      <c r="Z58" s="674">
        <v>-17189.953200000011</v>
      </c>
      <c r="AA58" s="674">
        <v>0</v>
      </c>
      <c r="AB58" s="674">
        <v>0</v>
      </c>
      <c r="AC58" s="674">
        <v>0</v>
      </c>
      <c r="AD58" s="674">
        <f t="shared" si="111"/>
        <v>0</v>
      </c>
      <c r="AE58" s="674">
        <f t="shared" si="129" ref="AE58:AE59">+Z58</f>
        <v>-17189.953200000011</v>
      </c>
      <c r="AF58" s="674">
        <v>0</v>
      </c>
      <c r="AG58" s="674">
        <f t="shared" si="112"/>
        <v>-17189.953200000011</v>
      </c>
      <c r="AH58" s="674">
        <v>0</v>
      </c>
      <c r="AI58" s="674">
        <v>0</v>
      </c>
      <c r="AK58" s="674">
        <v>-17189.95740000001</v>
      </c>
      <c r="AL58" s="674">
        <v>0</v>
      </c>
      <c r="AM58" s="674">
        <v>0</v>
      </c>
      <c r="AN58" s="674">
        <v>0</v>
      </c>
      <c r="AO58" s="668">
        <f t="shared" si="22"/>
        <v>0</v>
      </c>
      <c r="AP58" s="674">
        <f t="shared" si="130" ref="AP58:AP59">+AK58</f>
        <v>-17189.95740000001</v>
      </c>
      <c r="AQ58" s="674">
        <v>0</v>
      </c>
      <c r="AR58" s="668">
        <f t="shared" si="23"/>
        <v>-17189.95740000001</v>
      </c>
      <c r="AS58" s="674">
        <v>0</v>
      </c>
      <c r="AT58" s="674">
        <v>0</v>
      </c>
      <c r="AU58" s="755"/>
      <c r="AV58" s="674">
        <v>-17189.673900000009</v>
      </c>
      <c r="AW58" s="674">
        <v>0</v>
      </c>
      <c r="AX58" s="674">
        <v>0</v>
      </c>
      <c r="AY58" s="674">
        <v>0</v>
      </c>
      <c r="AZ58" s="674">
        <f t="shared" si="113"/>
        <v>0</v>
      </c>
      <c r="BA58" s="674">
        <f t="shared" si="131" ref="BA58:BA59">+AV58</f>
        <v>-17189.673900000009</v>
      </c>
      <c r="BB58" s="674">
        <v>0</v>
      </c>
      <c r="BC58" s="674">
        <f t="shared" si="114"/>
        <v>-17189.673900000009</v>
      </c>
      <c r="BD58" s="674">
        <v>0</v>
      </c>
      <c r="BE58" s="674">
        <v>0</v>
      </c>
      <c r="BF58" s="755"/>
      <c r="BG58" s="674">
        <v>-17172.02970000001</v>
      </c>
      <c r="BH58" s="674">
        <v>0</v>
      </c>
      <c r="BI58" s="674">
        <v>0</v>
      </c>
      <c r="BJ58" s="674">
        <v>0</v>
      </c>
      <c r="BK58" s="674">
        <f t="shared" si="115"/>
        <v>0</v>
      </c>
      <c r="BL58" s="674">
        <f t="shared" si="132" ref="BL58:BL59">+BG58</f>
        <v>-17172.02970000001</v>
      </c>
      <c r="BM58" s="674">
        <v>0</v>
      </c>
      <c r="BN58" s="674">
        <f t="shared" si="116"/>
        <v>-17172.02970000001</v>
      </c>
      <c r="BO58" s="674">
        <v>0</v>
      </c>
      <c r="BP58" s="674">
        <v>0</v>
      </c>
      <c r="BQ58" s="755"/>
      <c r="BR58" s="674">
        <v>-17171.975100000011</v>
      </c>
      <c r="BS58" s="674">
        <v>0</v>
      </c>
      <c r="BT58" s="674">
        <v>0</v>
      </c>
      <c r="BU58" s="674">
        <v>0</v>
      </c>
      <c r="BV58" s="674">
        <f t="shared" si="117"/>
        <v>0</v>
      </c>
      <c r="BW58" s="674">
        <f t="shared" si="133" ref="BW58:BW59">+BR58</f>
        <v>-17171.975100000011</v>
      </c>
      <c r="BX58" s="674">
        <v>0</v>
      </c>
      <c r="BY58" s="674">
        <f t="shared" si="118"/>
        <v>-17171.975100000011</v>
      </c>
      <c r="BZ58" s="674">
        <v>0</v>
      </c>
      <c r="CA58" s="674">
        <v>0</v>
      </c>
      <c r="CC58" s="674">
        <v>-17171.95410000001</v>
      </c>
      <c r="CD58" s="674">
        <v>0</v>
      </c>
      <c r="CE58" s="674">
        <v>0</v>
      </c>
      <c r="CF58" s="674">
        <v>0</v>
      </c>
      <c r="CG58" s="674">
        <f t="shared" si="119"/>
        <v>0</v>
      </c>
      <c r="CH58" s="674">
        <f t="shared" si="134" ref="CH58:CH59">+CC58</f>
        <v>-17171.95410000001</v>
      </c>
      <c r="CI58" s="674">
        <v>0</v>
      </c>
      <c r="CJ58" s="674">
        <f t="shared" si="120"/>
        <v>-17171.95410000001</v>
      </c>
      <c r="CK58" s="674">
        <v>0</v>
      </c>
      <c r="CL58" s="674">
        <v>0</v>
      </c>
      <c r="CN58" s="674">
        <v>-17169.53070000001</v>
      </c>
      <c r="CO58" s="674">
        <v>0</v>
      </c>
      <c r="CP58" s="674">
        <v>0</v>
      </c>
      <c r="CQ58" s="674">
        <v>0</v>
      </c>
      <c r="CR58" s="674">
        <f t="shared" si="121"/>
        <v>0</v>
      </c>
      <c r="CS58" s="674">
        <f t="shared" si="135" ref="CS58:CS59">+CN58</f>
        <v>-17169.53070000001</v>
      </c>
      <c r="CT58" s="674">
        <v>0</v>
      </c>
      <c r="CU58" s="674">
        <f t="shared" si="122"/>
        <v>-17169.53070000001</v>
      </c>
      <c r="CV58" s="674">
        <v>0</v>
      </c>
      <c r="CW58" s="674">
        <v>0</v>
      </c>
      <c r="CY58" s="674">
        <v>-17162.846400000009</v>
      </c>
      <c r="CZ58" s="674">
        <v>0</v>
      </c>
      <c r="DA58" s="674">
        <v>0</v>
      </c>
      <c r="DB58" s="674">
        <v>0</v>
      </c>
      <c r="DC58" s="674">
        <f t="shared" si="123"/>
        <v>0</v>
      </c>
      <c r="DD58" s="674">
        <f t="shared" si="136" ref="DD58:DD59">+CY58</f>
        <v>-17162.846400000009</v>
      </c>
      <c r="DE58" s="674">
        <v>0</v>
      </c>
      <c r="DF58" s="674">
        <f t="shared" si="124"/>
        <v>-17162.846400000009</v>
      </c>
      <c r="DG58" s="674">
        <v>0</v>
      </c>
      <c r="DH58" s="674">
        <v>0</v>
      </c>
      <c r="DJ58" s="674">
        <v>-17162.821200000009</v>
      </c>
      <c r="DK58" s="674">
        <v>0</v>
      </c>
      <c r="DL58" s="674">
        <v>0</v>
      </c>
      <c r="DM58" s="674">
        <v>0</v>
      </c>
      <c r="DN58" s="674">
        <f t="shared" si="125"/>
        <v>0</v>
      </c>
      <c r="DO58" s="674">
        <f t="shared" si="137" ref="DO58:DO59">+DJ58</f>
        <v>-17162.821200000009</v>
      </c>
      <c r="DP58" s="674">
        <v>0</v>
      </c>
      <c r="DQ58" s="674">
        <f t="shared" si="126"/>
        <v>-17162.821200000009</v>
      </c>
      <c r="DR58" s="674">
        <v>0</v>
      </c>
      <c r="DS58" s="674">
        <v>0</v>
      </c>
      <c r="DU58" s="674">
        <v>-17145.34</v>
      </c>
      <c r="DV58" s="674">
        <v>0</v>
      </c>
      <c r="DW58" s="674">
        <v>0</v>
      </c>
      <c r="DX58" s="674">
        <v>0</v>
      </c>
      <c r="DY58" s="668">
        <f t="shared" si="20"/>
        <v>0</v>
      </c>
      <c r="DZ58" s="674">
        <f t="shared" si="138" ref="DZ58:DZ59">+DU58</f>
        <v>-17145.34</v>
      </c>
      <c r="EA58" s="674">
        <v>0</v>
      </c>
      <c r="EB58" s="668">
        <f t="shared" si="21"/>
        <v>-17145.34</v>
      </c>
      <c r="EC58" s="674">
        <v>0</v>
      </c>
      <c r="ED58" s="674">
        <v>0</v>
      </c>
      <c r="EE58" s="754">
        <f>+'II-E-3.5'!I72-'II-E-3.5a'!DU58</f>
        <v>0</v>
      </c>
      <c r="EF58" s="754">
        <f t="shared" si="19"/>
        <v>0</v>
      </c>
      <c r="EH58" s="754"/>
    </row>
    <row r="59" spans="1:138" s="423" customFormat="1" ht="12.75">
      <c r="A59" s="524">
        <f t="shared" si="6"/>
        <v>47</v>
      </c>
      <c r="B59" s="184" t="s">
        <v>675</v>
      </c>
      <c r="C59" s="424" t="s">
        <v>841</v>
      </c>
      <c r="D59" s="674">
        <v>-497950.9394999994</v>
      </c>
      <c r="E59" s="674">
        <v>0</v>
      </c>
      <c r="F59" s="674">
        <v>0</v>
      </c>
      <c r="G59" s="674">
        <v>0</v>
      </c>
      <c r="H59" s="674">
        <f t="shared" si="107"/>
        <v>0</v>
      </c>
      <c r="I59" s="674">
        <f t="shared" si="127"/>
        <v>-497950.9394999994</v>
      </c>
      <c r="J59" s="674">
        <v>0</v>
      </c>
      <c r="K59" s="674">
        <f t="shared" si="108"/>
        <v>-497950.9394999994</v>
      </c>
      <c r="L59" s="674">
        <v>0</v>
      </c>
      <c r="M59" s="674">
        <v>0</v>
      </c>
      <c r="N59" s="675"/>
      <c r="O59" s="674">
        <v>-497950.42499999941</v>
      </c>
      <c r="P59" s="674">
        <v>0</v>
      </c>
      <c r="Q59" s="674">
        <v>0</v>
      </c>
      <c r="R59" s="674">
        <v>0</v>
      </c>
      <c r="S59" s="674">
        <f t="shared" si="109"/>
        <v>0</v>
      </c>
      <c r="T59" s="674">
        <f t="shared" si="128"/>
        <v>-497950.42499999941</v>
      </c>
      <c r="U59" s="674">
        <v>0</v>
      </c>
      <c r="V59" s="674">
        <f t="shared" si="110"/>
        <v>-497950.42499999941</v>
      </c>
      <c r="W59" s="674">
        <v>0</v>
      </c>
      <c r="X59" s="674">
        <v>0</v>
      </c>
      <c r="Y59" s="673"/>
      <c r="Z59" s="674">
        <v>-497950.17929999938</v>
      </c>
      <c r="AA59" s="674">
        <v>0</v>
      </c>
      <c r="AB59" s="674">
        <v>0</v>
      </c>
      <c r="AC59" s="674">
        <v>0</v>
      </c>
      <c r="AD59" s="674">
        <f t="shared" si="111"/>
        <v>0</v>
      </c>
      <c r="AE59" s="674">
        <f t="shared" si="129"/>
        <v>-497950.17929999938</v>
      </c>
      <c r="AF59" s="674">
        <v>0</v>
      </c>
      <c r="AG59" s="674">
        <f t="shared" si="112"/>
        <v>-497950.17929999938</v>
      </c>
      <c r="AH59" s="674">
        <v>0</v>
      </c>
      <c r="AI59" s="674">
        <v>0</v>
      </c>
      <c r="AK59" s="674">
        <v>-497950.14779999939</v>
      </c>
      <c r="AL59" s="674">
        <v>0</v>
      </c>
      <c r="AM59" s="674">
        <v>0</v>
      </c>
      <c r="AN59" s="674">
        <v>0</v>
      </c>
      <c r="AO59" s="668">
        <f t="shared" si="22"/>
        <v>0</v>
      </c>
      <c r="AP59" s="674">
        <f t="shared" si="130"/>
        <v>-497950.14779999939</v>
      </c>
      <c r="AQ59" s="674">
        <v>0</v>
      </c>
      <c r="AR59" s="668">
        <f t="shared" si="23"/>
        <v>-497950.14779999939</v>
      </c>
      <c r="AS59" s="674">
        <v>0</v>
      </c>
      <c r="AT59" s="674">
        <v>0</v>
      </c>
      <c r="AU59" s="755"/>
      <c r="AV59" s="674">
        <v>-497938.55369999941</v>
      </c>
      <c r="AW59" s="674">
        <v>0</v>
      </c>
      <c r="AX59" s="674">
        <v>0</v>
      </c>
      <c r="AY59" s="674">
        <v>0</v>
      </c>
      <c r="AZ59" s="674">
        <f t="shared" si="113"/>
        <v>0</v>
      </c>
      <c r="BA59" s="674">
        <f t="shared" si="131"/>
        <v>-497938.55369999941</v>
      </c>
      <c r="BB59" s="674">
        <v>0</v>
      </c>
      <c r="BC59" s="674">
        <f t="shared" si="114"/>
        <v>-497938.55369999941</v>
      </c>
      <c r="BD59" s="674">
        <v>0</v>
      </c>
      <c r="BE59" s="674">
        <v>0</v>
      </c>
      <c r="BF59" s="755"/>
      <c r="BG59" s="674">
        <v>-497711.51639999938</v>
      </c>
      <c r="BH59" s="674">
        <v>0</v>
      </c>
      <c r="BI59" s="674">
        <v>0</v>
      </c>
      <c r="BJ59" s="674">
        <v>0</v>
      </c>
      <c r="BK59" s="674">
        <f t="shared" si="115"/>
        <v>0</v>
      </c>
      <c r="BL59" s="674">
        <f t="shared" si="132"/>
        <v>-497711.51639999938</v>
      </c>
      <c r="BM59" s="674">
        <v>0</v>
      </c>
      <c r="BN59" s="674">
        <f t="shared" si="116"/>
        <v>-497711.51639999938</v>
      </c>
      <c r="BO59" s="674">
        <v>0</v>
      </c>
      <c r="BP59" s="674">
        <v>0</v>
      </c>
      <c r="BQ59" s="755"/>
      <c r="BR59" s="674">
        <v>-497708.59949999937</v>
      </c>
      <c r="BS59" s="674">
        <v>0</v>
      </c>
      <c r="BT59" s="674">
        <v>0</v>
      </c>
      <c r="BU59" s="674">
        <v>0</v>
      </c>
      <c r="BV59" s="674">
        <f t="shared" si="117"/>
        <v>0</v>
      </c>
      <c r="BW59" s="674">
        <f t="shared" si="133"/>
        <v>-497708.59949999937</v>
      </c>
      <c r="BX59" s="674">
        <v>0</v>
      </c>
      <c r="BY59" s="674">
        <f t="shared" si="118"/>
        <v>-497708.59949999937</v>
      </c>
      <c r="BZ59" s="674">
        <v>0</v>
      </c>
      <c r="CA59" s="674">
        <v>0</v>
      </c>
      <c r="CC59" s="674">
        <v>-497708.29709999938</v>
      </c>
      <c r="CD59" s="674">
        <v>0</v>
      </c>
      <c r="CE59" s="674">
        <v>0</v>
      </c>
      <c r="CF59" s="674">
        <v>0</v>
      </c>
      <c r="CG59" s="674">
        <f t="shared" si="119"/>
        <v>0</v>
      </c>
      <c r="CH59" s="674">
        <f t="shared" si="134"/>
        <v>-497708.29709999938</v>
      </c>
      <c r="CI59" s="674">
        <v>0</v>
      </c>
      <c r="CJ59" s="674">
        <f t="shared" si="120"/>
        <v>-497708.29709999938</v>
      </c>
      <c r="CK59" s="674">
        <v>0</v>
      </c>
      <c r="CL59" s="674">
        <v>0</v>
      </c>
      <c r="CN59" s="674">
        <v>-497672.6747999994</v>
      </c>
      <c r="CO59" s="674">
        <v>0</v>
      </c>
      <c r="CP59" s="674">
        <v>0</v>
      </c>
      <c r="CQ59" s="674">
        <v>0</v>
      </c>
      <c r="CR59" s="674">
        <f t="shared" si="121"/>
        <v>0</v>
      </c>
      <c r="CS59" s="674">
        <f t="shared" si="135"/>
        <v>-497672.6747999994</v>
      </c>
      <c r="CT59" s="674">
        <v>0</v>
      </c>
      <c r="CU59" s="674">
        <f t="shared" si="122"/>
        <v>-497672.6747999994</v>
      </c>
      <c r="CV59" s="674">
        <v>0</v>
      </c>
      <c r="CW59" s="674">
        <v>0</v>
      </c>
      <c r="CY59" s="674">
        <v>-497547.22499999939</v>
      </c>
      <c r="CZ59" s="674">
        <v>0</v>
      </c>
      <c r="DA59" s="674">
        <v>0</v>
      </c>
      <c r="DB59" s="674">
        <v>0</v>
      </c>
      <c r="DC59" s="674">
        <f t="shared" si="123"/>
        <v>0</v>
      </c>
      <c r="DD59" s="674">
        <f t="shared" si="136"/>
        <v>-497547.22499999939</v>
      </c>
      <c r="DE59" s="674">
        <v>0</v>
      </c>
      <c r="DF59" s="674">
        <f t="shared" si="124"/>
        <v>-497547.22499999939</v>
      </c>
      <c r="DG59" s="674">
        <v>0</v>
      </c>
      <c r="DH59" s="674">
        <v>0</v>
      </c>
      <c r="DJ59" s="674">
        <v>-497547.3635999994</v>
      </c>
      <c r="DK59" s="674">
        <v>0</v>
      </c>
      <c r="DL59" s="674">
        <v>0</v>
      </c>
      <c r="DM59" s="674">
        <v>0</v>
      </c>
      <c r="DN59" s="674">
        <f t="shared" si="125"/>
        <v>0</v>
      </c>
      <c r="DO59" s="674">
        <f t="shared" si="137"/>
        <v>-497547.3635999994</v>
      </c>
      <c r="DP59" s="674">
        <v>0</v>
      </c>
      <c r="DQ59" s="674">
        <f t="shared" si="126"/>
        <v>-497547.3635999994</v>
      </c>
      <c r="DR59" s="674">
        <v>0</v>
      </c>
      <c r="DS59" s="674">
        <v>0</v>
      </c>
      <c r="DU59" s="674">
        <v>-497343.69</v>
      </c>
      <c r="DV59" s="674">
        <v>0</v>
      </c>
      <c r="DW59" s="674">
        <v>0</v>
      </c>
      <c r="DX59" s="674">
        <v>0</v>
      </c>
      <c r="DY59" s="668">
        <f t="shared" si="20"/>
        <v>0</v>
      </c>
      <c r="DZ59" s="674">
        <f t="shared" si="138"/>
        <v>-497343.69</v>
      </c>
      <c r="EA59" s="674">
        <v>0</v>
      </c>
      <c r="EB59" s="668">
        <f t="shared" si="21"/>
        <v>-497343.69</v>
      </c>
      <c r="EC59" s="674">
        <v>0</v>
      </c>
      <c r="ED59" s="674">
        <v>0</v>
      </c>
      <c r="EE59" s="754">
        <f>+'II-E-3.5'!I73-'II-E-3.5a'!DU59</f>
        <v>0</v>
      </c>
      <c r="EF59" s="754">
        <f t="shared" si="19"/>
        <v>0</v>
      </c>
      <c r="EH59" s="754"/>
    </row>
    <row r="60" spans="1:138" s="423" customFormat="1" ht="12.75">
      <c r="A60" s="524">
        <f t="shared" si="6"/>
        <v>48</v>
      </c>
      <c r="B60" s="184" t="s">
        <v>1007</v>
      </c>
      <c r="C60" s="424" t="s">
        <v>407</v>
      </c>
      <c r="D60" s="674">
        <v>0</v>
      </c>
      <c r="E60" s="668">
        <f>ROUND(+$D60*'[5]II-F Alloc_Factor'!E$27,2)</f>
        <v>0</v>
      </c>
      <c r="F60" s="668">
        <f>ROUND(+$D60*'[5]II-F Alloc_Factor'!F$27,2)</f>
        <v>0</v>
      </c>
      <c r="G60" s="668">
        <f>ROUND(+$D60*'[5]II-F Alloc_Factor'!G$27,2)</f>
        <v>0</v>
      </c>
      <c r="H60" s="668">
        <f>ROUND(+$D60*'[5]II-F Alloc_Factor'!H$27,2)</f>
        <v>0</v>
      </c>
      <c r="I60" s="668">
        <f>ROUND(+$D60*'[5]II-F Alloc_Factor'!I$27,2)</f>
        <v>0</v>
      </c>
      <c r="J60" s="668">
        <f>ROUND(+$D60*'[5]II-F Alloc_Factor'!J$27,2)</f>
        <v>0</v>
      </c>
      <c r="K60" s="668">
        <f>ROUND(+$D60*'[5]II-F Alloc_Factor'!K$27,2)</f>
        <v>0</v>
      </c>
      <c r="L60" s="668">
        <f>ROUND(+$D60*'[5]II-F Alloc_Factor'!L$27,2)</f>
        <v>0</v>
      </c>
      <c r="M60" s="668">
        <f>ROUND(+$D60*'[5]II-F Alloc_Factor'!M$27,2)</f>
        <v>0</v>
      </c>
      <c r="N60" s="675"/>
      <c r="O60" s="674">
        <v>0</v>
      </c>
      <c r="P60" s="668">
        <f>ROUND(+$O60*'[5]II-F Alloc_Factor'!E$27,2)</f>
        <v>0</v>
      </c>
      <c r="Q60" s="668">
        <f>ROUND(+$O60*'[5]II-F Alloc_Factor'!F$27,2)</f>
        <v>0</v>
      </c>
      <c r="R60" s="668">
        <f>ROUND(+$O60*'[5]II-F Alloc_Factor'!G$27,2)</f>
        <v>0</v>
      </c>
      <c r="S60" s="668">
        <f>ROUND(+$O60*'[5]II-F Alloc_Factor'!H$27,2)</f>
        <v>0</v>
      </c>
      <c r="T60" s="668">
        <f>ROUND(+$O60*'[5]II-F Alloc_Factor'!I$27,2)</f>
        <v>0</v>
      </c>
      <c r="U60" s="668">
        <f>ROUND(+$O60*'[5]II-F Alloc_Factor'!J$27,2)</f>
        <v>0</v>
      </c>
      <c r="V60" s="668">
        <f>ROUND(+$O60*'[5]II-F Alloc_Factor'!K$27,2)</f>
        <v>0</v>
      </c>
      <c r="W60" s="668">
        <f>ROUND(+$O60*'[5]II-F Alloc_Factor'!L$27,2)</f>
        <v>0</v>
      </c>
      <c r="X60" s="668">
        <f>ROUND(+$O60*'[5]II-F Alloc_Factor'!M$27,2)</f>
        <v>0</v>
      </c>
      <c r="Y60" s="673"/>
      <c r="Z60" s="674">
        <v>0</v>
      </c>
      <c r="AA60" s="674"/>
      <c r="AB60" s="674"/>
      <c r="AC60" s="674"/>
      <c r="AD60" s="674"/>
      <c r="AE60" s="674"/>
      <c r="AF60" s="674"/>
      <c r="AG60" s="674"/>
      <c r="AH60" s="674"/>
      <c r="AI60" s="674"/>
      <c r="AK60" s="674">
        <v>0</v>
      </c>
      <c r="AL60" s="668">
        <f>ROUND(+$AK60*'[5]II-F Alloc_Factor'!E$27,2)</f>
        <v>0</v>
      </c>
      <c r="AM60" s="668">
        <f>ROUND(+$AK60*'[5]II-F Alloc_Factor'!F$27,2)</f>
        <v>0</v>
      </c>
      <c r="AN60" s="668">
        <f>ROUND(+$AK60*'[5]II-F Alloc_Factor'!G$27,2)</f>
        <v>0</v>
      </c>
      <c r="AO60" s="668">
        <f t="shared" si="22"/>
        <v>0</v>
      </c>
      <c r="AP60" s="668">
        <f>ROUND(+$AK60*'[5]II-F Alloc_Factor'!I$27,2)</f>
        <v>0</v>
      </c>
      <c r="AQ60" s="668">
        <f>ROUND(+$AK60*'[5]II-F Alloc_Factor'!J$27,2)</f>
        <v>0</v>
      </c>
      <c r="AR60" s="668">
        <f t="shared" si="23"/>
        <v>0</v>
      </c>
      <c r="AS60" s="668">
        <f>ROUND(+$AK60*'[5]II-F Alloc_Factor'!L$27,2)</f>
        <v>0</v>
      </c>
      <c r="AT60" s="668">
        <f>ROUND(+$AK60*'[5]II-F Alloc_Factor'!M$27,2)</f>
        <v>0</v>
      </c>
      <c r="AU60" s="755"/>
      <c r="AV60" s="674">
        <v>0</v>
      </c>
      <c r="AW60" s="668">
        <f>ROUND(+$AV60*'[5]II-F Alloc_Factor'!E$27,2)</f>
        <v>0</v>
      </c>
      <c r="AX60" s="668">
        <f>ROUND(+$AV60*'[5]II-F Alloc_Factor'!F$27,2)</f>
        <v>0</v>
      </c>
      <c r="AY60" s="668">
        <f>ROUND(+$AV60*'[5]II-F Alloc_Factor'!G$27,2)</f>
        <v>0</v>
      </c>
      <c r="AZ60" s="668">
        <f>ROUND(+$AV60*'[5]II-F Alloc_Factor'!H$27,2)</f>
        <v>0</v>
      </c>
      <c r="BA60" s="668">
        <f>ROUND(+$AV60*'[5]II-F Alloc_Factor'!I$27,2)</f>
        <v>0</v>
      </c>
      <c r="BB60" s="668">
        <f>ROUND(+$AV60*'[5]II-F Alloc_Factor'!J$27,2)</f>
        <v>0</v>
      </c>
      <c r="BC60" s="668">
        <f>ROUND(+$AV60*'[5]II-F Alloc_Factor'!K$27,2)</f>
        <v>0</v>
      </c>
      <c r="BD60" s="668">
        <f>ROUND(+$AV60*'[5]II-F Alloc_Factor'!L$27,2)</f>
        <v>0</v>
      </c>
      <c r="BE60" s="668">
        <f>ROUND(+$AV60*'[5]II-F Alloc_Factor'!M$27,2)</f>
        <v>0</v>
      </c>
      <c r="BF60" s="755"/>
      <c r="BG60" s="674">
        <v>6336474.4000000004</v>
      </c>
      <c r="BH60" s="668">
        <f>ROUND(+$BG60*'[5]II-F Alloc_Factor'!E$27,2)</f>
        <v>1818804.02</v>
      </c>
      <c r="BI60" s="668">
        <f>ROUND(+$BG60*'[5]II-F Alloc_Factor'!F$27,2)</f>
        <v>0</v>
      </c>
      <c r="BJ60" s="668">
        <f>ROUND(+$BG60*'[5]II-F Alloc_Factor'!G$27,2)</f>
        <v>0</v>
      </c>
      <c r="BK60" s="668">
        <f>ROUND(+$BG60*'[5]II-F Alloc_Factor'!H$27,2)</f>
        <v>1818804.02</v>
      </c>
      <c r="BL60" s="668">
        <f>ROUND(+$BG60*'[5]II-F Alloc_Factor'!I$27,2)</f>
        <v>3137161.6899999999</v>
      </c>
      <c r="BM60" s="668">
        <f>ROUND(+$BG60*'[5]II-F Alloc_Factor'!J$27,2)</f>
        <v>0</v>
      </c>
      <c r="BN60" s="668">
        <f>ROUND(+$BG60*'[5]II-F Alloc_Factor'!K$27,2)</f>
        <v>3137161.6899999999</v>
      </c>
      <c r="BO60" s="668">
        <f>ROUND(+$BG60*'[5]II-F Alloc_Factor'!L$27,2)</f>
        <v>1039165.57</v>
      </c>
      <c r="BP60" s="668">
        <f>ROUND(+$BG60*'[5]II-F Alloc_Factor'!M$27,2)</f>
        <v>341343.13</v>
      </c>
      <c r="BQ60" s="755"/>
      <c r="BR60" s="674">
        <v>6654622.4700000007</v>
      </c>
      <c r="BS60" s="668">
        <f>ROUND(+$BR60*'[5]II-F Alloc_Factor'!E$27,2)</f>
        <v>1910124.3600000001</v>
      </c>
      <c r="BT60" s="668">
        <f>ROUND(+$BR60*'[5]II-F Alloc_Factor'!F$27,2)</f>
        <v>0</v>
      </c>
      <c r="BU60" s="668">
        <f>ROUND(+$BR60*'[5]II-F Alloc_Factor'!G$27,2)</f>
        <v>0</v>
      </c>
      <c r="BV60" s="668">
        <f>ROUND(+$BR60*'[5]II-F Alloc_Factor'!H$27,2)</f>
        <v>1910124.3600000001</v>
      </c>
      <c r="BW60" s="668">
        <f>ROUND(+$BR60*'[5]II-F Alloc_Factor'!I$27,2)</f>
        <v>3294675.4500000002</v>
      </c>
      <c r="BX60" s="668">
        <f>ROUND(+$BR60*'[5]II-F Alloc_Factor'!J$27,2)</f>
        <v>0</v>
      </c>
      <c r="BY60" s="668">
        <f>ROUND(+$BR60*'[5]II-F Alloc_Factor'!K$27,2)</f>
        <v>3294675.4500000002</v>
      </c>
      <c r="BZ60" s="668">
        <f>ROUND(+$BR60*'[5]II-F Alloc_Factor'!L$27,2)</f>
        <v>1091341.03</v>
      </c>
      <c r="CA60" s="668">
        <f>ROUND(+$BR60*'[5]II-F Alloc_Factor'!M$27,2)</f>
        <v>358481.63</v>
      </c>
      <c r="CC60" s="674">
        <v>6973743.540000001</v>
      </c>
      <c r="CD60" s="668">
        <f>ROUND(+$CC60*'[5]II-F Alloc_Factor'!E$27,2)</f>
        <v>2001723.98</v>
      </c>
      <c r="CE60" s="668">
        <f>ROUND(+$CC60*'[5]II-F Alloc_Factor'!F$27,2)</f>
        <v>0</v>
      </c>
      <c r="CF60" s="668">
        <f>ROUND(+$CC60*'[5]II-F Alloc_Factor'!G$27,2)</f>
        <v>0</v>
      </c>
      <c r="CG60" s="668">
        <f>ROUND(+$CC60*'[5]II-F Alloc_Factor'!H$27,2)</f>
        <v>2001723.98</v>
      </c>
      <c r="CH60" s="668">
        <f>ROUND(+$CC60*'[5]II-F Alloc_Factor'!I$27,2)</f>
        <v>3452670.9399999999</v>
      </c>
      <c r="CI60" s="668">
        <f>ROUND(+$CC60*'[5]II-F Alloc_Factor'!J$27,2)</f>
        <v>0</v>
      </c>
      <c r="CJ60" s="668">
        <f>ROUND(+$CC60*'[5]II-F Alloc_Factor'!K$27,2)</f>
        <v>3452670.9399999999</v>
      </c>
      <c r="CK60" s="668">
        <f>ROUND(+$CC60*'[5]II-F Alloc_Factor'!L$27,2)</f>
        <v>1143676.0700000001</v>
      </c>
      <c r="CL60" s="668">
        <f>ROUND(+$CC60*'[5]II-F Alloc_Factor'!M$27,2)</f>
        <v>375672.53999999998</v>
      </c>
      <c r="CN60" s="674">
        <v>7281316.1400000006</v>
      </c>
      <c r="CO60" s="668">
        <f>ROUND(+$CN60*'[5]II-F Alloc_Factor'!E$27,2)</f>
        <v>2090008.77</v>
      </c>
      <c r="CP60" s="668">
        <f>ROUND(+$CN60*'[5]II-F Alloc_Factor'!F$27,2)</f>
        <v>0</v>
      </c>
      <c r="CQ60" s="668">
        <f>ROUND(+$CN60*'[5]II-F Alloc_Factor'!G$27,2)</f>
        <v>0</v>
      </c>
      <c r="CR60" s="668">
        <f>ROUND(+$CN60*'[5]II-F Alloc_Factor'!H$27,2)</f>
        <v>2090008.77</v>
      </c>
      <c r="CS60" s="668">
        <f>ROUND(+$CN60*'[5]II-F Alloc_Factor'!I$27,2)</f>
        <v>3604948.8399999999</v>
      </c>
      <c r="CT60" s="668">
        <f>ROUND(+$CN60*'[5]II-F Alloc_Factor'!J$27,2)</f>
        <v>0</v>
      </c>
      <c r="CU60" s="668">
        <f>ROUND(+$CN60*'[5]II-F Alloc_Factor'!K$27,2)</f>
        <v>3604948.8399999999</v>
      </c>
      <c r="CV60" s="668">
        <f>ROUND(+$CN60*'[5]II-F Alloc_Factor'!L$27,2)</f>
        <v>1194117.1899999999</v>
      </c>
      <c r="CW60" s="668">
        <f>ROUND(+$CN60*'[5]II-F Alloc_Factor'!M$27,2)</f>
        <v>392241.34000000003</v>
      </c>
      <c r="CY60" s="674">
        <v>7605680.8100000005</v>
      </c>
      <c r="CZ60" s="668">
        <f>ROUND(+$CY60*'[5]II-F Alloc_Factor'!E$27,2)</f>
        <v>2183113.5</v>
      </c>
      <c r="DA60" s="668">
        <f>ROUND(+$CY60*'[5]II-F Alloc_Factor'!F$27,2)</f>
        <v>0</v>
      </c>
      <c r="DB60" s="668">
        <f>ROUND(+$CY60*'[5]II-F Alloc_Factor'!G$27,2)</f>
        <v>0</v>
      </c>
      <c r="DC60" s="668">
        <f>ROUND(+$CY60*'[5]II-F Alloc_Factor'!H$27,2)</f>
        <v>2183113.5</v>
      </c>
      <c r="DD60" s="668">
        <f>ROUND(+$CY60*'[5]II-F Alloc_Factor'!I$27,2)</f>
        <v>3765540.4100000001</v>
      </c>
      <c r="DE60" s="668">
        <f>ROUND(+$CY60*'[5]II-F Alloc_Factor'!J$27,2)</f>
        <v>0</v>
      </c>
      <c r="DF60" s="668">
        <f>ROUND(+$CY60*'[5]II-F Alloc_Factor'!K$27,2)</f>
        <v>3765540.4100000001</v>
      </c>
      <c r="DG60" s="668">
        <f>ROUND(+$CY60*'[5]II-F Alloc_Factor'!L$27,2)</f>
        <v>1247312.1699999999</v>
      </c>
      <c r="DH60" s="668">
        <f>ROUND(+$CY60*'[5]II-F Alloc_Factor'!M$27,2)</f>
        <v>409714.72999999998</v>
      </c>
      <c r="DJ60" s="674">
        <v>7933351.3700000001</v>
      </c>
      <c r="DK60" s="668">
        <f>ROUND(+$DJ60*'[5]II-F Alloc_Factor'!E$27,2)</f>
        <v>2277167.1499999999</v>
      </c>
      <c r="DL60" s="668">
        <f>ROUND(+$DJ60*'[5]II-F Alloc_Factor'!F$27,2)</f>
        <v>0</v>
      </c>
      <c r="DM60" s="668">
        <f>ROUND(+$DJ60*'[5]II-F Alloc_Factor'!G$27,2)</f>
        <v>0</v>
      </c>
      <c r="DN60" s="668">
        <f>ROUND(+$DJ60*'[5]II-F Alloc_Factor'!H$27,2)</f>
        <v>2277167.1499999999</v>
      </c>
      <c r="DO60" s="668">
        <f>ROUND(+$DJ60*'[5]II-F Alloc_Factor'!I$27,2)</f>
        <v>3927768.7200000002</v>
      </c>
      <c r="DP60" s="668">
        <f>ROUND(+$DJ60*'[5]II-F Alloc_Factor'!J$27,2)</f>
        <v>0</v>
      </c>
      <c r="DQ60" s="668">
        <f>ROUND(+$DJ60*'[5]II-F Alloc_Factor'!K$27,2)</f>
        <v>3927768.7200000002</v>
      </c>
      <c r="DR60" s="668">
        <f>ROUND(+$DJ60*'[5]II-F Alloc_Factor'!L$27,2)</f>
        <v>1301049.3000000001</v>
      </c>
      <c r="DS60" s="668">
        <f>ROUND(+$DJ60*'[5]II-F Alloc_Factor'!M$27,2)</f>
        <v>427366.20000000001</v>
      </c>
      <c r="DU60" s="674">
        <v>8250720.1699999999</v>
      </c>
      <c r="DV60" s="668">
        <f>ROUND(+$DU60*'[5]II-F Alloc_Factor'!E$27,2)</f>
        <v>2368263.8100000001</v>
      </c>
      <c r="DW60" s="668">
        <f>ROUND(+$DU60*'[5]II-F Alloc_Factor'!F$27,2)</f>
        <v>0</v>
      </c>
      <c r="DX60" s="668">
        <f>ROUND(+$DU60*'[5]II-F Alloc_Factor'!G$27,2)</f>
        <v>0</v>
      </c>
      <c r="DY60" s="668">
        <f t="shared" si="20"/>
        <v>2368263.8100000001</v>
      </c>
      <c r="DZ60" s="668">
        <f>ROUND(+$DU60*'[5]II-F Alloc_Factor'!I$27,2)</f>
        <v>4084896.6699999999</v>
      </c>
      <c r="EA60" s="668">
        <f>ROUND(+$DU60*'[5]II-F Alloc_Factor'!J$27,2)</f>
        <v>0</v>
      </c>
      <c r="EB60" s="668">
        <f t="shared" si="21"/>
        <v>4084896.6699999999</v>
      </c>
      <c r="EC60" s="668">
        <f>ROUND(+$DU60*'[5]II-F Alloc_Factor'!L$27,2)</f>
        <v>1353096.97</v>
      </c>
      <c r="ED60" s="668">
        <f>ROUND(+$DU60*'[5]II-F Alloc_Factor'!M$27,2)</f>
        <v>444462.71999999997</v>
      </c>
      <c r="EE60" s="754">
        <f>+'II-E-3.5'!I76-'II-E-3.5a'!DU60</f>
        <v>0</v>
      </c>
      <c r="EF60" s="754">
        <f t="shared" si="19"/>
        <v>0</v>
      </c>
      <c r="EH60" s="754"/>
    </row>
    <row r="61" spans="1:138" s="423" customFormat="1" ht="12.75">
      <c r="A61" s="524">
        <f t="shared" si="6"/>
        <v>49</v>
      </c>
      <c r="B61" s="184" t="s">
        <v>1008</v>
      </c>
      <c r="C61" s="424" t="s">
        <v>408</v>
      </c>
      <c r="D61" s="674">
        <v>0</v>
      </c>
      <c r="E61" s="674">
        <v>0</v>
      </c>
      <c r="F61" s="674">
        <v>0</v>
      </c>
      <c r="G61" s="674">
        <v>0</v>
      </c>
      <c r="H61" s="674">
        <v>0</v>
      </c>
      <c r="I61" s="674">
        <v>0</v>
      </c>
      <c r="J61" s="674">
        <v>0</v>
      </c>
      <c r="K61" s="674">
        <v>0</v>
      </c>
      <c r="L61" s="674">
        <v>0</v>
      </c>
      <c r="M61" s="674">
        <v>0</v>
      </c>
      <c r="N61" s="675"/>
      <c r="O61" s="674">
        <v>0</v>
      </c>
      <c r="P61" s="674">
        <v>0</v>
      </c>
      <c r="Q61" s="674">
        <v>0</v>
      </c>
      <c r="R61" s="674">
        <v>0</v>
      </c>
      <c r="S61" s="674">
        <v>0</v>
      </c>
      <c r="T61" s="674">
        <v>0</v>
      </c>
      <c r="U61" s="674">
        <v>0</v>
      </c>
      <c r="V61" s="674">
        <v>0</v>
      </c>
      <c r="W61" s="674">
        <v>0</v>
      </c>
      <c r="X61" s="674">
        <v>0</v>
      </c>
      <c r="Y61" s="673"/>
      <c r="Z61" s="674">
        <v>0</v>
      </c>
      <c r="AA61" s="674"/>
      <c r="AB61" s="674"/>
      <c r="AC61" s="674"/>
      <c r="AD61" s="674"/>
      <c r="AE61" s="674"/>
      <c r="AF61" s="674"/>
      <c r="AG61" s="674"/>
      <c r="AH61" s="674"/>
      <c r="AI61" s="674"/>
      <c r="AK61" s="674">
        <v>0</v>
      </c>
      <c r="AL61" s="674"/>
      <c r="AM61" s="674"/>
      <c r="AN61" s="674"/>
      <c r="AO61" s="668">
        <f t="shared" si="22"/>
        <v>0</v>
      </c>
      <c r="AP61" s="674"/>
      <c r="AQ61" s="674"/>
      <c r="AR61" s="668">
        <f t="shared" si="23"/>
        <v>0</v>
      </c>
      <c r="AS61" s="674"/>
      <c r="AT61" s="674"/>
      <c r="AU61" s="755"/>
      <c r="AV61" s="674">
        <v>0</v>
      </c>
      <c r="AW61" s="674"/>
      <c r="AX61" s="674"/>
      <c r="AY61" s="674"/>
      <c r="AZ61" s="674"/>
      <c r="BA61" s="674"/>
      <c r="BB61" s="674"/>
      <c r="BC61" s="674"/>
      <c r="BD61" s="674"/>
      <c r="BE61" s="674"/>
      <c r="BF61" s="755"/>
      <c r="BG61" s="674">
        <v>0</v>
      </c>
      <c r="BH61" s="674"/>
      <c r="BI61" s="674"/>
      <c r="BJ61" s="674"/>
      <c r="BK61" s="674"/>
      <c r="BL61" s="674"/>
      <c r="BM61" s="674"/>
      <c r="BN61" s="674"/>
      <c r="BO61" s="674"/>
      <c r="BP61" s="674"/>
      <c r="BQ61" s="755"/>
      <c r="BR61" s="674">
        <v>0</v>
      </c>
      <c r="BS61" s="674"/>
      <c r="BT61" s="674"/>
      <c r="BU61" s="674"/>
      <c r="BV61" s="674"/>
      <c r="BW61" s="674"/>
      <c r="BX61" s="674"/>
      <c r="BY61" s="674"/>
      <c r="BZ61" s="674"/>
      <c r="CA61" s="674"/>
      <c r="CC61" s="674">
        <v>0</v>
      </c>
      <c r="CD61" s="674"/>
      <c r="CE61" s="674"/>
      <c r="CF61" s="674"/>
      <c r="CG61" s="674"/>
      <c r="CH61" s="674"/>
      <c r="CI61" s="674"/>
      <c r="CJ61" s="674"/>
      <c r="CK61" s="674"/>
      <c r="CL61" s="674"/>
      <c r="CN61" s="674">
        <v>0</v>
      </c>
      <c r="CO61" s="674"/>
      <c r="CP61" s="674"/>
      <c r="CQ61" s="674"/>
      <c r="CR61" s="674"/>
      <c r="CS61" s="674"/>
      <c r="CT61" s="674"/>
      <c r="CU61" s="674"/>
      <c r="CV61" s="674"/>
      <c r="CW61" s="674"/>
      <c r="CY61" s="674">
        <v>0</v>
      </c>
      <c r="CZ61" s="674"/>
      <c r="DA61" s="674"/>
      <c r="DB61" s="674"/>
      <c r="DC61" s="674"/>
      <c r="DD61" s="674"/>
      <c r="DE61" s="674"/>
      <c r="DF61" s="674"/>
      <c r="DG61" s="674"/>
      <c r="DH61" s="674"/>
      <c r="DJ61" s="674">
        <v>0</v>
      </c>
      <c r="DK61" s="674"/>
      <c r="DL61" s="674"/>
      <c r="DM61" s="674"/>
      <c r="DN61" s="674"/>
      <c r="DO61" s="674"/>
      <c r="DP61" s="674"/>
      <c r="DQ61" s="674"/>
      <c r="DR61" s="674"/>
      <c r="DS61" s="674"/>
      <c r="DU61" s="674">
        <v>2842758.02</v>
      </c>
      <c r="DV61" s="674">
        <v>34254.809999999998</v>
      </c>
      <c r="DW61" s="674"/>
      <c r="DX61" s="674"/>
      <c r="DY61" s="668">
        <f t="shared" si="20"/>
        <v>34254.809999999998</v>
      </c>
      <c r="DZ61" s="674">
        <v>2808503.21</v>
      </c>
      <c r="EA61" s="674"/>
      <c r="EB61" s="668">
        <f t="shared" si="21"/>
        <v>2808503.21</v>
      </c>
      <c r="EC61" s="674"/>
      <c r="ED61" s="674"/>
      <c r="EE61" s="754">
        <f>+'II-E-3.5'!I77-'II-E-3.5a'!DU61</f>
        <v>0</v>
      </c>
      <c r="EF61" s="754">
        <f t="shared" si="19"/>
        <v>0</v>
      </c>
      <c r="EH61" s="754"/>
    </row>
    <row r="62" spans="1:138" s="423" customFormat="1" ht="12.75">
      <c r="A62" s="524">
        <f t="shared" si="6"/>
        <v>50</v>
      </c>
      <c r="B62" s="184" t="s">
        <v>446</v>
      </c>
      <c r="C62" s="424" t="s">
        <v>468</v>
      </c>
      <c r="D62" s="674">
        <v>2621417.3999999999</v>
      </c>
      <c r="E62" s="668">
        <f>ROUND(+$D62*'[5]II-F Alloc_Factor'!E$26,2)</f>
        <v>566653.68000000005</v>
      </c>
      <c r="F62" s="668">
        <f>ROUND(+$D62*'[5]II-F Alloc_Factor'!F$26,2)</f>
        <v>0</v>
      </c>
      <c r="G62" s="668">
        <f>ROUND(+$D62*'[5]II-F Alloc_Factor'!G$26,2)</f>
        <v>0</v>
      </c>
      <c r="H62" s="668">
        <f>ROUND(+$D62*'[5]II-F Alloc_Factor'!H$26,2)</f>
        <v>566653.68000000005</v>
      </c>
      <c r="I62" s="668">
        <f>ROUND(+$D62*'[5]II-F Alloc_Factor'!I$26,2)</f>
        <v>2054763.72</v>
      </c>
      <c r="J62" s="668">
        <f>ROUND(+$D62*'[5]II-F Alloc_Factor'!J$26,2)</f>
        <v>0</v>
      </c>
      <c r="K62" s="668">
        <f>ROUND(+$D62*'[5]II-F Alloc_Factor'!K$26,2)</f>
        <v>2054763.72</v>
      </c>
      <c r="L62" s="668">
        <f>ROUND(+$D62*'[5]II-F Alloc_Factor'!L$26,2)</f>
        <v>0</v>
      </c>
      <c r="M62" s="668">
        <f>ROUND(+$D62*'[5]II-F Alloc_Factor'!M$26,2)</f>
        <v>0</v>
      </c>
      <c r="N62" s="668"/>
      <c r="O62" s="674">
        <v>2621417.3999999999</v>
      </c>
      <c r="P62" s="668">
        <f>ROUND(+$O62*'[5]II-F Alloc_Factor'!E$26,2)</f>
        <v>566653.68000000005</v>
      </c>
      <c r="Q62" s="668">
        <f>ROUND(+$O62*'[5]II-F Alloc_Factor'!F$26,2)</f>
        <v>0</v>
      </c>
      <c r="R62" s="668">
        <f>ROUND(+$O62*'[5]II-F Alloc_Factor'!G$26,2)</f>
        <v>0</v>
      </c>
      <c r="S62" s="668">
        <f>ROUND(+$O62*'[5]II-F Alloc_Factor'!H$26,2)</f>
        <v>566653.68000000005</v>
      </c>
      <c r="T62" s="668">
        <f>ROUND(+$O62*'[5]II-F Alloc_Factor'!I$26,2)</f>
        <v>2054763.72</v>
      </c>
      <c r="U62" s="668">
        <f>ROUND(+$O62*'[5]II-F Alloc_Factor'!J$26,2)</f>
        <v>0</v>
      </c>
      <c r="V62" s="668">
        <f>ROUND(+$O62*'[5]II-F Alloc_Factor'!K$26,2)</f>
        <v>2054763.72</v>
      </c>
      <c r="W62" s="668">
        <f>ROUND(+$O62*'[5]II-F Alloc_Factor'!L$26,2)</f>
        <v>0</v>
      </c>
      <c r="X62" s="668">
        <f>ROUND(+$O62*'[5]II-F Alloc_Factor'!M$26,2)</f>
        <v>0</v>
      </c>
      <c r="Y62" s="673"/>
      <c r="Z62" s="674">
        <v>2265866.3999999999</v>
      </c>
      <c r="AA62" s="668">
        <f>ROUND(+$Z62*'[5]II-F Alloc_Factor'!E$26,2)</f>
        <v>489796.67999999999</v>
      </c>
      <c r="AB62" s="668">
        <f>ROUND(+$Z62*'[5]II-F Alloc_Factor'!F$26,2)</f>
        <v>0</v>
      </c>
      <c r="AC62" s="668">
        <f>ROUND(+$Z62*'[5]II-F Alloc_Factor'!G$26,2)</f>
        <v>0</v>
      </c>
      <c r="AD62" s="668">
        <f>ROUND(+$Z62*'[5]II-F Alloc_Factor'!H$26,2)</f>
        <v>489796.67999999999</v>
      </c>
      <c r="AE62" s="668">
        <f>ROUND(+$Z62*'[5]II-F Alloc_Factor'!I$26,2)</f>
        <v>1776069.72</v>
      </c>
      <c r="AF62" s="668">
        <f>ROUND(+$Z62*'[5]II-F Alloc_Factor'!J$26,2)</f>
        <v>0</v>
      </c>
      <c r="AG62" s="668">
        <f>ROUND(+$Z62*'[5]II-F Alloc_Factor'!K$26,2)</f>
        <v>1776069.72</v>
      </c>
      <c r="AH62" s="668">
        <f>ROUND(+$Z62*'[5]II-F Alloc_Factor'!L$26,2)</f>
        <v>0</v>
      </c>
      <c r="AI62" s="668">
        <f>ROUND(+$Z62*'[5]II-F Alloc_Factor'!M$26,2)</f>
        <v>0</v>
      </c>
      <c r="AK62" s="674">
        <v>2265866.3999999999</v>
      </c>
      <c r="AL62" s="668">
        <f>ROUND(+$AK62*'[5]II-F Alloc_Factor'!E$26,2)</f>
        <v>489796.67999999999</v>
      </c>
      <c r="AM62" s="668">
        <f>ROUND(+$AK62*'[5]II-F Alloc_Factor'!F$26,2)</f>
        <v>0</v>
      </c>
      <c r="AN62" s="668">
        <f>ROUND(+$AK62*'[5]II-F Alloc_Factor'!G$26,2)</f>
        <v>0</v>
      </c>
      <c r="AO62" s="668">
        <f t="shared" si="22"/>
        <v>489796.67999999999</v>
      </c>
      <c r="AP62" s="668">
        <f>ROUND(+$AK62*'[5]II-F Alloc_Factor'!I$26,2)</f>
        <v>1776069.72</v>
      </c>
      <c r="AQ62" s="668">
        <f>ROUND(+$AK62*'[5]II-F Alloc_Factor'!J$26,2)</f>
        <v>0</v>
      </c>
      <c r="AR62" s="668">
        <f t="shared" si="23"/>
        <v>1776069.72</v>
      </c>
      <c r="AS62" s="668">
        <f>ROUND(+$AK62*'[5]II-F Alloc_Factor'!L$26,2)</f>
        <v>0</v>
      </c>
      <c r="AT62" s="668">
        <f>ROUND(+$AK62*'[5]II-F Alloc_Factor'!M$26,2)</f>
        <v>0</v>
      </c>
      <c r="AU62" s="755"/>
      <c r="AV62" s="674">
        <v>2265866.3999999999</v>
      </c>
      <c r="AW62" s="668">
        <f>ROUND(+$AV62*'[5]II-F Alloc_Factor'!E$26,2)</f>
        <v>489796.67999999999</v>
      </c>
      <c r="AX62" s="668">
        <f>ROUND(+$AV62*'[5]II-F Alloc_Factor'!F$26,2)</f>
        <v>0</v>
      </c>
      <c r="AY62" s="668">
        <f>ROUND(+$AV62*'[5]II-F Alloc_Factor'!G$26,2)</f>
        <v>0</v>
      </c>
      <c r="AZ62" s="668">
        <f>ROUND(+$AV62*'[5]II-F Alloc_Factor'!H$26,2)</f>
        <v>489796.67999999999</v>
      </c>
      <c r="BA62" s="668">
        <f>ROUND(+$AV62*'[5]II-F Alloc_Factor'!I$26,2)</f>
        <v>1776069.72</v>
      </c>
      <c r="BB62" s="668">
        <f>ROUND(+$AV62*'[5]II-F Alloc_Factor'!J$26,2)</f>
        <v>0</v>
      </c>
      <c r="BC62" s="668">
        <f>ROUND(+$AV62*'[5]II-F Alloc_Factor'!K$26,2)</f>
        <v>1776069.72</v>
      </c>
      <c r="BD62" s="668">
        <f>ROUND(+$AV62*'[5]II-F Alloc_Factor'!L$26,2)</f>
        <v>0</v>
      </c>
      <c r="BE62" s="668">
        <f>ROUND(+$AV62*'[5]II-F Alloc_Factor'!M$26,2)</f>
        <v>0</v>
      </c>
      <c r="BF62" s="755"/>
      <c r="BG62" s="674">
        <v>2415827.3999999999</v>
      </c>
      <c r="BH62" s="668">
        <f>ROUND(+$BG62*'[5]II-F Alloc_Factor'!E$26,2)</f>
        <v>522212.71000000002</v>
      </c>
      <c r="BI62" s="668">
        <f>ROUND(+$BG62*'[5]II-F Alloc_Factor'!F$26,2)</f>
        <v>0</v>
      </c>
      <c r="BJ62" s="668">
        <f>ROUND(+$BG62*'[5]II-F Alloc_Factor'!G$26,2)</f>
        <v>0</v>
      </c>
      <c r="BK62" s="668">
        <f>ROUND(+$BG62*'[5]II-F Alloc_Factor'!H$26,2)</f>
        <v>522212.71000000002</v>
      </c>
      <c r="BL62" s="668">
        <f>ROUND(+$BG62*'[5]II-F Alloc_Factor'!I$26,2)</f>
        <v>1893614.6899999999</v>
      </c>
      <c r="BM62" s="668">
        <f>ROUND(+$BG62*'[5]II-F Alloc_Factor'!J$26,2)</f>
        <v>0</v>
      </c>
      <c r="BN62" s="668">
        <f>ROUND(+$BG62*'[5]II-F Alloc_Factor'!K$26,2)</f>
        <v>1893614.6899999999</v>
      </c>
      <c r="BO62" s="668">
        <f>ROUND(+$BG62*'[5]II-F Alloc_Factor'!L$26,2)</f>
        <v>0</v>
      </c>
      <c r="BP62" s="668">
        <f>ROUND(+$BG62*'[5]II-F Alloc_Factor'!M$26,2)</f>
        <v>0</v>
      </c>
      <c r="BQ62" s="755"/>
      <c r="BR62" s="674">
        <v>3045827.3999999999</v>
      </c>
      <c r="BS62" s="668">
        <f>ROUND(+$BR62*'[5]II-F Alloc_Factor'!E$26,2)</f>
        <v>658395.45999999996</v>
      </c>
      <c r="BT62" s="668">
        <f>ROUND(+$BR62*'[5]II-F Alloc_Factor'!F$26,2)</f>
        <v>0</v>
      </c>
      <c r="BU62" s="668">
        <f>ROUND(+$BR62*'[5]II-F Alloc_Factor'!G$26,2)</f>
        <v>0</v>
      </c>
      <c r="BV62" s="668">
        <f>ROUND(+$BR62*'[5]II-F Alloc_Factor'!H$26,2)</f>
        <v>658395.45999999996</v>
      </c>
      <c r="BW62" s="668">
        <f>ROUND(+$BR62*'[5]II-F Alloc_Factor'!I$26,2)</f>
        <v>2387431.9399999999</v>
      </c>
      <c r="BX62" s="668">
        <f>ROUND(+$BR62*'[5]II-F Alloc_Factor'!J$26,2)</f>
        <v>0</v>
      </c>
      <c r="BY62" s="668">
        <f>ROUND(+$BR62*'[5]II-F Alloc_Factor'!K$26,2)</f>
        <v>2387431.9399999999</v>
      </c>
      <c r="BZ62" s="668">
        <f>ROUND(+$BR62*'[5]II-F Alloc_Factor'!L$26,2)</f>
        <v>0</v>
      </c>
      <c r="CA62" s="668">
        <f>ROUND(+$BR62*'[5]II-F Alloc_Factor'!M$26,2)</f>
        <v>0</v>
      </c>
      <c r="CC62" s="674">
        <v>3045827.3999999999</v>
      </c>
      <c r="CD62" s="668">
        <f>ROUND(+$CC62*'[5]II-F Alloc_Factor'!E$26,2)</f>
        <v>658395.45999999996</v>
      </c>
      <c r="CE62" s="668">
        <f>ROUND(+$CC62*'[5]II-F Alloc_Factor'!F$26,2)</f>
        <v>0</v>
      </c>
      <c r="CF62" s="668">
        <f>ROUND(+$CC62*'[5]II-F Alloc_Factor'!G$26,2)</f>
        <v>0</v>
      </c>
      <c r="CG62" s="668">
        <f>ROUND(+$CC62*'[5]II-F Alloc_Factor'!H$26,2)</f>
        <v>658395.45999999996</v>
      </c>
      <c r="CH62" s="668">
        <f>ROUND(+$CC62*'[5]II-F Alloc_Factor'!I$26,2)</f>
        <v>2387431.9399999999</v>
      </c>
      <c r="CI62" s="668">
        <f>ROUND(+$CC62*'[5]II-F Alloc_Factor'!J$26,2)</f>
        <v>0</v>
      </c>
      <c r="CJ62" s="668">
        <f>ROUND(+$CC62*'[5]II-F Alloc_Factor'!K$26,2)</f>
        <v>2387431.9399999999</v>
      </c>
      <c r="CK62" s="668">
        <f>ROUND(+$CC62*'[5]II-F Alloc_Factor'!L$26,2)</f>
        <v>0</v>
      </c>
      <c r="CL62" s="668">
        <f>ROUND(+$CC62*'[5]II-F Alloc_Factor'!M$26,2)</f>
        <v>0</v>
      </c>
      <c r="CN62" s="674">
        <v>3158303.3999999999</v>
      </c>
      <c r="CO62" s="668">
        <f>ROUND(+$CN62*'[5]II-F Alloc_Factor'!E$26,2)</f>
        <v>682708.62</v>
      </c>
      <c r="CP62" s="668">
        <f>ROUND(+$CN62*'[5]II-F Alloc_Factor'!F$26,2)</f>
        <v>0</v>
      </c>
      <c r="CQ62" s="668">
        <f>ROUND(+$CN62*'[5]II-F Alloc_Factor'!G$26,2)</f>
        <v>0</v>
      </c>
      <c r="CR62" s="668">
        <f>ROUND(+$CN62*'[5]II-F Alloc_Factor'!H$26,2)</f>
        <v>682708.62</v>
      </c>
      <c r="CS62" s="668">
        <f>ROUND(+$CN62*'[5]II-F Alloc_Factor'!I$26,2)</f>
        <v>2475594.7799999998</v>
      </c>
      <c r="CT62" s="668">
        <f>ROUND(+$CN62*'[5]II-F Alloc_Factor'!J$26,2)</f>
        <v>0</v>
      </c>
      <c r="CU62" s="668">
        <f>ROUND(+$CN62*'[5]II-F Alloc_Factor'!K$26,2)</f>
        <v>2475594.7799999998</v>
      </c>
      <c r="CV62" s="668">
        <f>ROUND(+$CN62*'[5]II-F Alloc_Factor'!L$26,2)</f>
        <v>0</v>
      </c>
      <c r="CW62" s="668">
        <f>ROUND(+$CN62*'[5]II-F Alloc_Factor'!M$26,2)</f>
        <v>0</v>
      </c>
      <c r="CY62" s="674">
        <v>3158303.3999999999</v>
      </c>
      <c r="CZ62" s="668">
        <f>ROUND(+$CY62*'[5]II-F Alloc_Factor'!E$26,2)</f>
        <v>682708.62</v>
      </c>
      <c r="DA62" s="668">
        <f>ROUND(+$CY62*'[5]II-F Alloc_Factor'!F$26,2)</f>
        <v>0</v>
      </c>
      <c r="DB62" s="668">
        <f>ROUND(+$CY62*'[5]II-F Alloc_Factor'!G$26,2)</f>
        <v>0</v>
      </c>
      <c r="DC62" s="668">
        <f>ROUND(+$CY62*'[5]II-F Alloc_Factor'!H$26,2)</f>
        <v>682708.62</v>
      </c>
      <c r="DD62" s="668">
        <f>ROUND(+$CY62*'[5]II-F Alloc_Factor'!I$26,2)</f>
        <v>2475594.7799999998</v>
      </c>
      <c r="DE62" s="668">
        <f>ROUND(+$CY62*'[5]II-F Alloc_Factor'!J$26,2)</f>
        <v>0</v>
      </c>
      <c r="DF62" s="668">
        <f>ROUND(+$CY62*'[5]II-F Alloc_Factor'!K$26,2)</f>
        <v>2475594.7799999998</v>
      </c>
      <c r="DG62" s="668">
        <f>ROUND(+$CY62*'[5]II-F Alloc_Factor'!L$26,2)</f>
        <v>0</v>
      </c>
      <c r="DH62" s="668">
        <f>ROUND(+$CY62*'[5]II-F Alloc_Factor'!M$26,2)</f>
        <v>0</v>
      </c>
      <c r="DJ62" s="674">
        <v>3158303.3999999999</v>
      </c>
      <c r="DK62" s="668">
        <f>ROUND(+$DJ62*'[5]II-F Alloc_Factor'!E$26,2)</f>
        <v>682708.62</v>
      </c>
      <c r="DL62" s="668">
        <f>ROUND(+$DJ62*'[5]II-F Alloc_Factor'!F$26,2)</f>
        <v>0</v>
      </c>
      <c r="DM62" s="668">
        <f>ROUND(+$DJ62*'[5]II-F Alloc_Factor'!G$26,2)</f>
        <v>0</v>
      </c>
      <c r="DN62" s="668">
        <f>ROUND(+$DJ62*'[5]II-F Alloc_Factor'!H$26,2)</f>
        <v>682708.62</v>
      </c>
      <c r="DO62" s="668">
        <f>ROUND(+$DJ62*'[5]II-F Alloc_Factor'!I$26,2)</f>
        <v>2475594.7799999998</v>
      </c>
      <c r="DP62" s="668">
        <f>ROUND(+$DJ62*'[5]II-F Alloc_Factor'!J$26,2)</f>
        <v>0</v>
      </c>
      <c r="DQ62" s="668">
        <f>ROUND(+$DJ62*'[5]II-F Alloc_Factor'!K$26,2)</f>
        <v>2475594.7799999998</v>
      </c>
      <c r="DR62" s="668">
        <f>ROUND(+$DJ62*'[5]II-F Alloc_Factor'!L$26,2)</f>
        <v>0</v>
      </c>
      <c r="DS62" s="668">
        <f>ROUND(+$DJ62*'[5]II-F Alloc_Factor'!M$26,2)</f>
        <v>0</v>
      </c>
      <c r="DU62" s="674">
        <v>3053114.3999999999</v>
      </c>
      <c r="DV62" s="668">
        <f>ROUND(+$DU62*'[5]II-F Alloc_Factor'!E$26,2)</f>
        <v>659970.64000000001</v>
      </c>
      <c r="DW62" s="668">
        <f>ROUND(+$DU62*'[5]II-F Alloc_Factor'!F$26,2)</f>
        <v>0</v>
      </c>
      <c r="DX62" s="668">
        <f>ROUND(+$DU62*'[5]II-F Alloc_Factor'!G$26,2)</f>
        <v>0</v>
      </c>
      <c r="DY62" s="668">
        <f t="shared" si="20"/>
        <v>659970.64000000001</v>
      </c>
      <c r="DZ62" s="668">
        <f>ROUND(+$DU62*'[5]II-F Alloc_Factor'!I$26,2)</f>
        <v>2393143.7599999998</v>
      </c>
      <c r="EA62" s="668">
        <f>ROUND(+$DU62*'[5]II-F Alloc_Factor'!J$26,2)</f>
        <v>0</v>
      </c>
      <c r="EB62" s="668">
        <f t="shared" si="21"/>
        <v>2393143.7599999998</v>
      </c>
      <c r="EC62" s="668">
        <f>ROUND(+$DU62*'[5]II-F Alloc_Factor'!L$26,2)</f>
        <v>0</v>
      </c>
      <c r="ED62" s="668">
        <f>ROUND(+$DU62*'[5]II-F Alloc_Factor'!M$26,2)</f>
        <v>0</v>
      </c>
      <c r="EE62" s="754">
        <f>+'II-E-3.5'!I78-'II-E-3.5a'!DU62</f>
        <v>0</v>
      </c>
      <c r="EF62" s="754">
        <f t="shared" si="19"/>
        <v>0</v>
      </c>
      <c r="EH62" s="754"/>
    </row>
    <row r="63" spans="1:138" s="423" customFormat="1" ht="12.75">
      <c r="A63" s="524">
        <f t="shared" si="6"/>
        <v>51</v>
      </c>
      <c r="B63" s="184" t="s">
        <v>361</v>
      </c>
      <c r="C63" s="424" t="s">
        <v>407</v>
      </c>
      <c r="D63" s="674">
        <v>9724206.3100000005</v>
      </c>
      <c r="E63" s="668">
        <f>ROUND(+$D63*'[5]II-F Alloc_Factor'!E$27,2)</f>
        <v>2791209.1800000002</v>
      </c>
      <c r="F63" s="668">
        <f>ROUND(+$D63*'[5]II-F Alloc_Factor'!F$27,2)</f>
        <v>0</v>
      </c>
      <c r="G63" s="668">
        <f>ROUND(+$D63*'[5]II-F Alloc_Factor'!G$27,2)</f>
        <v>0</v>
      </c>
      <c r="H63" s="668">
        <f>ROUND(+$D63*'[5]II-F Alloc_Factor'!H$27,2)</f>
        <v>2791209.1800000002</v>
      </c>
      <c r="I63" s="668">
        <f>ROUND(+$D63*'[5]II-F Alloc_Factor'!I$27,2)</f>
        <v>4814413.4299999997</v>
      </c>
      <c r="J63" s="668">
        <f>ROUND(+$D63*'[5]II-F Alloc_Factor'!J$27,2)</f>
        <v>0</v>
      </c>
      <c r="K63" s="668">
        <f>ROUND(+$D63*'[5]II-F Alloc_Factor'!K$27,2)</f>
        <v>4814413.4299999997</v>
      </c>
      <c r="L63" s="668">
        <f>ROUND(+$D63*'[5]II-F Alloc_Factor'!L$27,2)</f>
        <v>1594744.9199999999</v>
      </c>
      <c r="M63" s="668">
        <f>ROUND(+$D63*'[5]II-F Alloc_Factor'!M$27,2)</f>
        <v>523838.78000000003</v>
      </c>
      <c r="N63" s="669"/>
      <c r="O63" s="674">
        <v>9701065.2599999998</v>
      </c>
      <c r="P63" s="668">
        <f>ROUND(+$O63*'[5]II-F Alloc_Factor'!E$27,2)</f>
        <v>2784566.8399999999</v>
      </c>
      <c r="Q63" s="668">
        <f>ROUND(+$O63*'[5]II-F Alloc_Factor'!F$27,2)</f>
        <v>0</v>
      </c>
      <c r="R63" s="668">
        <f>ROUND(+$O63*'[5]II-F Alloc_Factor'!G$27,2)</f>
        <v>0</v>
      </c>
      <c r="S63" s="668">
        <f>ROUND(+$O63*'[5]II-F Alloc_Factor'!H$27,2)</f>
        <v>2784566.8399999999</v>
      </c>
      <c r="T63" s="668">
        <f>ROUND(+$O63*'[5]II-F Alloc_Factor'!I$27,2)</f>
        <v>4802956.4000000004</v>
      </c>
      <c r="U63" s="668">
        <f>ROUND(+$O63*'[5]II-F Alloc_Factor'!J$27,2)</f>
        <v>0</v>
      </c>
      <c r="V63" s="668">
        <f>ROUND(+$O63*'[5]II-F Alloc_Factor'!K$27,2)</f>
        <v>4802956.4000000004</v>
      </c>
      <c r="W63" s="668">
        <f>ROUND(+$O63*'[5]II-F Alloc_Factor'!L$27,2)</f>
        <v>1590949.8500000001</v>
      </c>
      <c r="X63" s="668">
        <f>ROUND(+$O63*'[5]II-F Alloc_Factor'!M$27,2)</f>
        <v>522592.17999999999</v>
      </c>
      <c r="Y63" s="673"/>
      <c r="Z63" s="674">
        <v>9877203.4399999995</v>
      </c>
      <c r="AA63" s="668">
        <v>0</v>
      </c>
      <c r="AB63" s="668">
        <v>0</v>
      </c>
      <c r="AC63" s="668">
        <v>0</v>
      </c>
      <c r="AD63" s="668">
        <f>ROUND(+$Z63*'[5]II-F Alloc_Factor'!H$27,2)</f>
        <v>2835125.0499999998</v>
      </c>
      <c r="AE63" s="668">
        <v>0</v>
      </c>
      <c r="AF63" s="668">
        <v>0</v>
      </c>
      <c r="AG63" s="668">
        <f>ROUND(+$Z63*'[5]II-F Alloc_Factor'!K$27,2)</f>
        <v>4890161.6699999999</v>
      </c>
      <c r="AH63" s="668">
        <f>ROUND(+$Z63*'[5]II-F Alloc_Factor'!L$27,2)</f>
        <v>1619836.0600000001</v>
      </c>
      <c r="AI63" s="668">
        <f>ROUND(+$Z63*'[5]II-F Alloc_Factor'!M$27,2)</f>
        <v>532080.67000000004</v>
      </c>
      <c r="AK63" s="674">
        <v>9854925.5599999987</v>
      </c>
      <c r="AL63" s="668">
        <f>ROUND(+$AK63*'[5]II-F Alloc_Factor'!E$27,2)</f>
        <v>2828730.4700000002</v>
      </c>
      <c r="AM63" s="668">
        <f>ROUND(+$AK63*'[5]II-F Alloc_Factor'!F$27,2)</f>
        <v>0</v>
      </c>
      <c r="AN63" s="668">
        <f>ROUND(+$AK63*'[5]II-F Alloc_Factor'!G$27,2)</f>
        <v>0</v>
      </c>
      <c r="AO63" s="668">
        <f t="shared" si="22"/>
        <v>2828730.4700000002</v>
      </c>
      <c r="AP63" s="668">
        <f>ROUND(+$AK63*'[5]II-F Alloc_Factor'!I$27,2)</f>
        <v>4879131.9800000004</v>
      </c>
      <c r="AQ63" s="668">
        <f>ROUND(+$AK63*'[5]II-F Alloc_Factor'!J$27,2)</f>
        <v>0</v>
      </c>
      <c r="AR63" s="668">
        <f t="shared" si="23"/>
        <v>4879131.9800000004</v>
      </c>
      <c r="AS63" s="668">
        <f>ROUND(+$AK63*'[5]II-F Alloc_Factor'!L$27,2)</f>
        <v>1616182.54</v>
      </c>
      <c r="AT63" s="668">
        <f>ROUND(+$AK63*'[5]II-F Alloc_Factor'!M$27,2)</f>
        <v>530880.56999999995</v>
      </c>
      <c r="AU63" s="755"/>
      <c r="AV63" s="674">
        <v>9832647.6799999978</v>
      </c>
      <c r="AW63" s="668">
        <f>ROUND(+$AV63*'[5]II-F Alloc_Factor'!E$27,2)</f>
        <v>2822335.8900000001</v>
      </c>
      <c r="AX63" s="668">
        <f>ROUND(+$AV63*'[5]II-F Alloc_Factor'!F$27,2)</f>
        <v>0</v>
      </c>
      <c r="AY63" s="668">
        <f>ROUND(+$AV63*'[5]II-F Alloc_Factor'!G$27,2)</f>
        <v>0</v>
      </c>
      <c r="AZ63" s="668">
        <f>ROUND(+$AV63*'[5]II-F Alloc_Factor'!H$27,2)</f>
        <v>2822335.8900000001</v>
      </c>
      <c r="BA63" s="668">
        <f>ROUND(+$AV63*'[5]II-F Alloc_Factor'!I$27,2)</f>
        <v>4868102.2999999998</v>
      </c>
      <c r="BB63" s="668">
        <f>ROUND(+$AV63*'[5]II-F Alloc_Factor'!J$27,2)</f>
        <v>0</v>
      </c>
      <c r="BC63" s="668">
        <f>ROUND(+$AV63*'[5]II-F Alloc_Factor'!K$27,2)</f>
        <v>4868102.2999999998</v>
      </c>
      <c r="BD63" s="668">
        <f>ROUND(+$AV63*'[5]II-F Alloc_Factor'!L$27,2)</f>
        <v>1612529.03</v>
      </c>
      <c r="BE63" s="668">
        <f>ROUND(+$AV63*'[5]II-F Alloc_Factor'!M$27,2)</f>
        <v>529680.46999999997</v>
      </c>
      <c r="BF63" s="755"/>
      <c r="BG63" s="674">
        <v>10009119.299999997</v>
      </c>
      <c r="BH63" s="668">
        <f>ROUND(+$BG63*'[5]II-F Alloc_Factor'!E$27,2)</f>
        <v>2872989.8100000001</v>
      </c>
      <c r="BI63" s="668">
        <f>ROUND(+$BG63*'[5]II-F Alloc_Factor'!F$27,2)</f>
        <v>0</v>
      </c>
      <c r="BJ63" s="668">
        <f>ROUND(+$BG63*'[5]II-F Alloc_Factor'!G$27,2)</f>
        <v>0</v>
      </c>
      <c r="BK63" s="668">
        <f>ROUND(+$BG63*'[5]II-F Alloc_Factor'!H$27,2)</f>
        <v>2872989.8100000001</v>
      </c>
      <c r="BL63" s="668">
        <f>ROUND(+$BG63*'[5]II-F Alloc_Factor'!I$27,2)</f>
        <v>4955472.6500000004</v>
      </c>
      <c r="BM63" s="668">
        <f>ROUND(+$BG63*'[5]II-F Alloc_Factor'!J$27,2)</f>
        <v>0</v>
      </c>
      <c r="BN63" s="668">
        <f>ROUND(+$BG63*'[5]II-F Alloc_Factor'!K$27,2)</f>
        <v>4955472.6500000004</v>
      </c>
      <c r="BO63" s="668">
        <f>ROUND(+$BG63*'[5]II-F Alloc_Factor'!L$27,2)</f>
        <v>1641469.9199999999</v>
      </c>
      <c r="BP63" s="668">
        <f>ROUND(+$BG63*'[5]II-F Alloc_Factor'!M$27,2)</f>
        <v>539186.92000000004</v>
      </c>
      <c r="BQ63" s="755"/>
      <c r="BR63" s="674">
        <v>9985324.7299999967</v>
      </c>
      <c r="BS63" s="668">
        <f>ROUND(+$BR63*'[5]II-F Alloc_Factor'!E$27,2)</f>
        <v>2866159.8900000001</v>
      </c>
      <c r="BT63" s="668">
        <f>ROUND(+$BR63*'[5]II-F Alloc_Factor'!F$27,2)</f>
        <v>0</v>
      </c>
      <c r="BU63" s="668">
        <f>ROUND(+$BR63*'[5]II-F Alloc_Factor'!G$27,2)</f>
        <v>0</v>
      </c>
      <c r="BV63" s="668">
        <f>ROUND(+$BR63*'[5]II-F Alloc_Factor'!H$27,2)</f>
        <v>2866159.8900000001</v>
      </c>
      <c r="BW63" s="668">
        <f>ROUND(+$BR63*'[5]II-F Alloc_Factor'!I$27,2)</f>
        <v>4943692.0599999996</v>
      </c>
      <c r="BX63" s="668">
        <f>ROUND(+$BR63*'[5]II-F Alloc_Factor'!J$27,2)</f>
        <v>0</v>
      </c>
      <c r="BY63" s="668">
        <f>ROUND(+$BR63*'[5]II-F Alloc_Factor'!K$27,2)</f>
        <v>4943692.0599999996</v>
      </c>
      <c r="BZ63" s="668">
        <f>ROUND(+$BR63*'[5]II-F Alloc_Factor'!L$27,2)</f>
        <v>1637567.6699999999</v>
      </c>
      <c r="CA63" s="668">
        <f>ROUND(+$BR63*'[5]II-F Alloc_Factor'!M$27,2)</f>
        <v>537905.10999999999</v>
      </c>
      <c r="CC63" s="674">
        <v>9962680.6899999976</v>
      </c>
      <c r="CD63" s="668">
        <f>ROUND(+$CC63*'[5]II-F Alloc_Factor'!E$27,2)</f>
        <v>2859660.2000000002</v>
      </c>
      <c r="CE63" s="668">
        <f>ROUND(+$CC63*'[5]II-F Alloc_Factor'!F$27,2)</f>
        <v>0</v>
      </c>
      <c r="CF63" s="668">
        <f>ROUND(+$CC63*'[5]II-F Alloc_Factor'!G$27,2)</f>
        <v>0</v>
      </c>
      <c r="CG63" s="668">
        <f>ROUND(+$CC63*'[5]II-F Alloc_Factor'!H$27,2)</f>
        <v>2859660.2000000002</v>
      </c>
      <c r="CH63" s="668">
        <f>ROUND(+$CC63*'[5]II-F Alloc_Factor'!I$27,2)</f>
        <v>4932481.0899999999</v>
      </c>
      <c r="CI63" s="668">
        <f>ROUND(+$CC63*'[5]II-F Alloc_Factor'!J$27,2)</f>
        <v>0</v>
      </c>
      <c r="CJ63" s="668">
        <f>ROUND(+$CC63*'[5]II-F Alloc_Factor'!K$27,2)</f>
        <v>4932481.0899999999</v>
      </c>
      <c r="CK63" s="668">
        <f>ROUND(+$CC63*'[5]II-F Alloc_Factor'!L$27,2)</f>
        <v>1633854.1100000001</v>
      </c>
      <c r="CL63" s="668">
        <f>ROUND(+$CC63*'[5]II-F Alloc_Factor'!M$27,2)</f>
        <v>536685.29000000004</v>
      </c>
      <c r="CN63" s="674">
        <v>10138945.719999997</v>
      </c>
      <c r="CO63" s="668">
        <f>ROUND(+$CN63*'[5]II-F Alloc_Factor'!E$27,2)</f>
        <v>2910254.8300000001</v>
      </c>
      <c r="CP63" s="668">
        <f>ROUND(+$CN63*'[5]II-F Alloc_Factor'!F$27,2)</f>
        <v>0</v>
      </c>
      <c r="CQ63" s="668">
        <f>ROUND(+$CN63*'[5]II-F Alloc_Factor'!G$27,2)</f>
        <v>0</v>
      </c>
      <c r="CR63" s="668">
        <f>ROUND(+$CN63*'[5]II-F Alloc_Factor'!H$27,2)</f>
        <v>2910254.8300000001</v>
      </c>
      <c r="CS63" s="668">
        <f>ROUND(+$CN63*'[5]II-F Alloc_Factor'!I$27,2)</f>
        <v>5019749.1600000001</v>
      </c>
      <c r="CT63" s="668">
        <f>ROUND(+$CN63*'[5]II-F Alloc_Factor'!J$27,2)</f>
        <v>0</v>
      </c>
      <c r="CU63" s="668">
        <f>ROUND(+$CN63*'[5]II-F Alloc_Factor'!K$27,2)</f>
        <v>5019749.1600000001</v>
      </c>
      <c r="CV63" s="668">
        <f>ROUND(+$CN63*'[5]II-F Alloc_Factor'!L$27,2)</f>
        <v>1662761.1200000001</v>
      </c>
      <c r="CW63" s="668">
        <f>ROUND(+$CN63*'[5]II-F Alloc_Factor'!M$27,2)</f>
        <v>546180.60999999999</v>
      </c>
      <c r="CY63" s="674">
        <v>10114619.289999997</v>
      </c>
      <c r="CZ63" s="668">
        <f>ROUND(+$CY63*'[5]II-F Alloc_Factor'!E$27,2)</f>
        <v>2903272.2400000002</v>
      </c>
      <c r="DA63" s="668">
        <f>ROUND(+$CY63*'[5]II-F Alloc_Factor'!F$27,2)</f>
        <v>0</v>
      </c>
      <c r="DB63" s="668">
        <f>ROUND(+$CY63*'[5]II-F Alloc_Factor'!G$27,2)</f>
        <v>0</v>
      </c>
      <c r="DC63" s="668">
        <f>ROUND(+$CY63*'[5]II-F Alloc_Factor'!H$27,2)</f>
        <v>2903272.2400000002</v>
      </c>
      <c r="DD63" s="668">
        <f>ROUND(+$CY63*'[5]II-F Alloc_Factor'!I$27,2)</f>
        <v>5007705.25</v>
      </c>
      <c r="DE63" s="668">
        <f>ROUND(+$CY63*'[5]II-F Alloc_Factor'!J$27,2)</f>
        <v>0</v>
      </c>
      <c r="DF63" s="668">
        <f>ROUND(+$CY63*'[5]II-F Alloc_Factor'!K$27,2)</f>
        <v>5007705.25</v>
      </c>
      <c r="DG63" s="668">
        <f>ROUND(+$CY63*'[5]II-F Alloc_Factor'!L$27,2)</f>
        <v>1658771.6499999999</v>
      </c>
      <c r="DH63" s="668">
        <f>ROUND(+$CY63*'[5]II-F Alloc_Factor'!M$27,2)</f>
        <v>544870.16000000003</v>
      </c>
      <c r="DJ63" s="674">
        <v>10088829.569999997</v>
      </c>
      <c r="DK63" s="668">
        <f>ROUND(+$DJ63*'[5]II-F Alloc_Factor'!E$27,2)</f>
        <v>2895869.6299999999</v>
      </c>
      <c r="DL63" s="668">
        <f>ROUND(+$DJ63*'[5]II-F Alloc_Factor'!F$27,2)</f>
        <v>0</v>
      </c>
      <c r="DM63" s="668">
        <f>ROUND(+$DJ63*'[5]II-F Alloc_Factor'!G$27,2)</f>
        <v>0</v>
      </c>
      <c r="DN63" s="668">
        <f>ROUND(+$DJ63*'[5]II-F Alloc_Factor'!H$27,2)</f>
        <v>2895869.6299999999</v>
      </c>
      <c r="DO63" s="668">
        <f>ROUND(+$DJ63*'[5]II-F Alloc_Factor'!I$27,2)</f>
        <v>4994936.8700000001</v>
      </c>
      <c r="DP63" s="668">
        <f>ROUND(+$DJ63*'[5]II-F Alloc_Factor'!J$27,2)</f>
        <v>0</v>
      </c>
      <c r="DQ63" s="668">
        <f>ROUND(+$DJ63*'[5]II-F Alloc_Factor'!K$27,2)</f>
        <v>4994936.8700000001</v>
      </c>
      <c r="DR63" s="668">
        <f>ROUND(+$DJ63*'[5]II-F Alloc_Factor'!L$27,2)</f>
        <v>1654542.2</v>
      </c>
      <c r="DS63" s="668">
        <f>ROUND(+$DJ63*'[5]II-F Alloc_Factor'!M$27,2)</f>
        <v>543480.88</v>
      </c>
      <c r="DU63" s="674">
        <v>10002622.039999997</v>
      </c>
      <c r="DV63" s="668">
        <f>ROUND(+$DU63*'[5]II-F Alloc_Factor'!E$27,2)</f>
        <v>2871124.8599999999</v>
      </c>
      <c r="DW63" s="668">
        <f>ROUND(+$DU63*'[5]II-F Alloc_Factor'!F$27,2)</f>
        <v>0</v>
      </c>
      <c r="DX63" s="668">
        <f>ROUND(+$DU63*'[5]II-F Alloc_Factor'!G$27,2)</f>
        <v>0</v>
      </c>
      <c r="DY63" s="668">
        <f t="shared" si="20"/>
        <v>2871124.8599999999</v>
      </c>
      <c r="DZ63" s="668">
        <f>ROUND(+$DU63*'[5]II-F Alloc_Factor'!I$27,2)</f>
        <v>4952255.8799999999</v>
      </c>
      <c r="EA63" s="668">
        <f>ROUND(+$DU63*'[5]II-F Alloc_Factor'!J$27,2)</f>
        <v>0</v>
      </c>
      <c r="EB63" s="668">
        <f t="shared" si="21"/>
        <v>4952255.8799999999</v>
      </c>
      <c r="EC63" s="668">
        <f>ROUND(+$DU63*'[5]II-F Alloc_Factor'!L$27,2)</f>
        <v>1640404.3899999999</v>
      </c>
      <c r="ED63" s="668">
        <f>ROUND(+$DU63*'[5]II-F Alloc_Factor'!M$27,2)</f>
        <v>538836.91000000003</v>
      </c>
      <c r="EE63" s="754">
        <f>+'II-E-3.5'!I79-'II-E-3.5a'!DU63</f>
        <v>0</v>
      </c>
      <c r="EF63" s="754">
        <f t="shared" si="19"/>
        <v>0</v>
      </c>
      <c r="EH63" s="754"/>
    </row>
    <row r="64" spans="1:138" s="423" customFormat="1" ht="12.75">
      <c r="A64" s="524">
        <f t="shared" si="6"/>
        <v>52</v>
      </c>
      <c r="B64" s="184" t="s">
        <v>420</v>
      </c>
      <c r="C64" s="424" t="s">
        <v>407</v>
      </c>
      <c r="D64" s="674">
        <v>6742414.21</v>
      </c>
      <c r="E64" s="668">
        <f>ROUND(+$D64*'[5]II-F Alloc_Factor'!E$27,2)</f>
        <v>1935323.8500000001</v>
      </c>
      <c r="F64" s="668">
        <f>ROUND(+$D64*'[5]II-F Alloc_Factor'!F$27,2)</f>
        <v>0</v>
      </c>
      <c r="G64" s="668">
        <f>ROUND(+$D64*'[5]II-F Alloc_Factor'!G$27,2)</f>
        <v>0</v>
      </c>
      <c r="H64" s="668">
        <f>ROUND(+$D64*'[5]II-F Alloc_Factor'!H$27,2)</f>
        <v>1935323.8500000001</v>
      </c>
      <c r="I64" s="668">
        <f>ROUND(+$D64*'[5]II-F Alloc_Factor'!I$27,2)</f>
        <v>3338140.77</v>
      </c>
      <c r="J64" s="668">
        <f>ROUND(+$D64*'[5]II-F Alloc_Factor'!J$27,2)</f>
        <v>0</v>
      </c>
      <c r="K64" s="668">
        <f>ROUND(+$D64*'[5]II-F Alloc_Factor'!K$27,2)</f>
        <v>3338140.77</v>
      </c>
      <c r="L64" s="668">
        <f>ROUND(+$D64*'[5]II-F Alloc_Factor'!L$27,2)</f>
        <v>1105738.6499999999</v>
      </c>
      <c r="M64" s="668">
        <f>ROUND(+$D64*'[5]II-F Alloc_Factor'!M$27,2)</f>
        <v>363210.92999999999</v>
      </c>
      <c r="N64" s="669"/>
      <c r="O64" s="674">
        <v>6931467.8799999999</v>
      </c>
      <c r="P64" s="668">
        <f>ROUND(+$O64*'[5]II-F Alloc_Factor'!E$27,2)</f>
        <v>1989589.29</v>
      </c>
      <c r="Q64" s="668">
        <f>ROUND(+$O64*'[5]II-F Alloc_Factor'!F$27,2)</f>
        <v>0</v>
      </c>
      <c r="R64" s="668">
        <f>ROUND(+$O64*'[5]II-F Alloc_Factor'!G$27,2)</f>
        <v>0</v>
      </c>
      <c r="S64" s="668">
        <f>ROUND(+$O64*'[5]II-F Alloc_Factor'!H$27,2)</f>
        <v>1989589.29</v>
      </c>
      <c r="T64" s="668">
        <f>ROUND(+$O64*'[5]II-F Alloc_Factor'!I$27,2)</f>
        <v>3431740.4399999999</v>
      </c>
      <c r="U64" s="668">
        <f>ROUND(+$O64*'[5]II-F Alloc_Factor'!J$27,2)</f>
        <v>0</v>
      </c>
      <c r="V64" s="668">
        <f>ROUND(+$O64*'[5]II-F Alloc_Factor'!K$27,2)</f>
        <v>3431740.4399999999</v>
      </c>
      <c r="W64" s="668">
        <f>ROUND(+$O64*'[5]II-F Alloc_Factor'!L$27,2)</f>
        <v>1136742.97</v>
      </c>
      <c r="X64" s="668">
        <f>ROUND(+$O64*'[5]II-F Alloc_Factor'!M$27,2)</f>
        <v>373395.16999999998</v>
      </c>
      <c r="Y64" s="673"/>
      <c r="Z64" s="674">
        <v>4281556.1699999999</v>
      </c>
      <c r="AA64" s="668">
        <v>0</v>
      </c>
      <c r="AB64" s="668">
        <v>0</v>
      </c>
      <c r="AC64" s="668">
        <v>0</v>
      </c>
      <c r="AD64" s="668">
        <f>ROUND(+$Z64*'[5]II-F Alloc_Factor'!H$27,2)</f>
        <v>1228965.99</v>
      </c>
      <c r="AE64" s="668">
        <v>0</v>
      </c>
      <c r="AF64" s="668">
        <v>0</v>
      </c>
      <c r="AG64" s="668">
        <f>ROUND(+$Z64*'[5]II-F Alloc_Factor'!K$27,2)</f>
        <v>2119780.3599999999</v>
      </c>
      <c r="AH64" s="668">
        <f>ROUND(+$Z64*'[5]II-F Alloc_Factor'!L$27,2)</f>
        <v>702164.23999999999</v>
      </c>
      <c r="AI64" s="668">
        <f>ROUND(+$Z64*'[5]II-F Alloc_Factor'!M$27,2)</f>
        <v>230645.57000000001</v>
      </c>
      <c r="AK64" s="674">
        <v>4583671.0999999996</v>
      </c>
      <c r="AL64" s="668">
        <f>ROUND(+$AK64*'[5]II-F Alloc_Factor'!E$27,2)</f>
        <v>1315684.23</v>
      </c>
      <c r="AM64" s="668">
        <f>ROUND(+$AK64*'[5]II-F Alloc_Factor'!F$27,2)</f>
        <v>0</v>
      </c>
      <c r="AN64" s="668">
        <f>ROUND(+$AK64*'[5]II-F Alloc_Factor'!G$27,2)</f>
        <v>0</v>
      </c>
      <c r="AO64" s="668">
        <f t="shared" si="22"/>
        <v>1315684.23</v>
      </c>
      <c r="AP64" s="668">
        <f>ROUND(+$AK64*'[5]II-F Alloc_Factor'!I$27,2)</f>
        <v>2269356.1800000002</v>
      </c>
      <c r="AQ64" s="668">
        <f>ROUND(+$AK64*'[5]II-F Alloc_Factor'!J$27,2)</f>
        <v>0</v>
      </c>
      <c r="AR64" s="668">
        <f t="shared" si="23"/>
        <v>2269356.1800000002</v>
      </c>
      <c r="AS64" s="668">
        <f>ROUND(+$AK64*'[5]II-F Alloc_Factor'!L$27,2)</f>
        <v>751710.31999999995</v>
      </c>
      <c r="AT64" s="668">
        <f>ROUND(+$AK64*'[5]II-F Alloc_Factor'!M$27,2)</f>
        <v>246920.38000000001</v>
      </c>
      <c r="AU64" s="755"/>
      <c r="AV64" s="674">
        <v>4885786.0299999993</v>
      </c>
      <c r="AW64" s="668">
        <f>ROUND(+$AV64*'[5]II-F Alloc_Factor'!E$27,2)</f>
        <v>1402402.46</v>
      </c>
      <c r="AX64" s="668">
        <f>ROUND(+$AV64*'[5]II-F Alloc_Factor'!F$27,2)</f>
        <v>0</v>
      </c>
      <c r="AY64" s="668">
        <f>ROUND(+$AV64*'[5]II-F Alloc_Factor'!G$27,2)</f>
        <v>0</v>
      </c>
      <c r="AZ64" s="668">
        <f>ROUND(+$AV64*'[5]II-F Alloc_Factor'!H$27,2)</f>
        <v>1402402.46</v>
      </c>
      <c r="BA64" s="668">
        <f>ROUND(+$AV64*'[5]II-F Alloc_Factor'!I$27,2)</f>
        <v>2418932.0099999998</v>
      </c>
      <c r="BB64" s="668">
        <f>ROUND(+$AV64*'[5]II-F Alloc_Factor'!J$27,2)</f>
        <v>0</v>
      </c>
      <c r="BC64" s="668">
        <f>ROUND(+$AV64*'[5]II-F Alloc_Factor'!K$27,2)</f>
        <v>2418932.0099999998</v>
      </c>
      <c r="BD64" s="668">
        <f>ROUND(+$AV64*'[5]II-F Alloc_Factor'!L$27,2)</f>
        <v>801256.39000000001</v>
      </c>
      <c r="BE64" s="668">
        <f>ROUND(+$AV64*'[5]II-F Alloc_Factor'!M$27,2)</f>
        <v>263195.17999999999</v>
      </c>
      <c r="BF64" s="755"/>
      <c r="BG64" s="674">
        <v>6766371.7899999991</v>
      </c>
      <c r="BH64" s="668">
        <f>ROUND(+$BG64*'[5]II-F Alloc_Factor'!E$27,2)</f>
        <v>1942200.5700000001</v>
      </c>
      <c r="BI64" s="668">
        <f>ROUND(+$BG64*'[5]II-F Alloc_Factor'!F$27,2)</f>
        <v>0</v>
      </c>
      <c r="BJ64" s="668">
        <f>ROUND(+$BG64*'[5]II-F Alloc_Factor'!G$27,2)</f>
        <v>0</v>
      </c>
      <c r="BK64" s="668">
        <f>ROUND(+$BG64*'[5]II-F Alloc_Factor'!H$27,2)</f>
        <v>1942200.5700000001</v>
      </c>
      <c r="BL64" s="668">
        <f>ROUND(+$BG64*'[5]II-F Alloc_Factor'!I$27,2)</f>
        <v>3350002.0699999998</v>
      </c>
      <c r="BM64" s="668">
        <f>ROUND(+$BG64*'[5]II-F Alloc_Factor'!J$27,2)</f>
        <v>0</v>
      </c>
      <c r="BN64" s="668">
        <f>ROUND(+$BG64*'[5]II-F Alloc_Factor'!K$27,2)</f>
        <v>3350002.0699999998</v>
      </c>
      <c r="BO64" s="668">
        <f>ROUND(+$BG64*'[5]II-F Alloc_Factor'!L$27,2)</f>
        <v>1109667.6399999999</v>
      </c>
      <c r="BP64" s="668">
        <f>ROUND(+$BG64*'[5]II-F Alloc_Factor'!M$27,2)</f>
        <v>364501.52000000002</v>
      </c>
      <c r="BQ64" s="755"/>
      <c r="BR64" s="674">
        <v>6801873.6599999992</v>
      </c>
      <c r="BS64" s="668">
        <f>ROUND(+$BR64*'[5]II-F Alloc_Factor'!E$27,2)</f>
        <v>1952390.9299999999</v>
      </c>
      <c r="BT64" s="668">
        <f>ROUND(+$BR64*'[5]II-F Alloc_Factor'!F$27,2)</f>
        <v>0</v>
      </c>
      <c r="BU64" s="668">
        <f>ROUND(+$BR64*'[5]II-F Alloc_Factor'!G$27,2)</f>
        <v>0</v>
      </c>
      <c r="BV64" s="668">
        <f>ROUND(+$BR64*'[5]II-F Alloc_Factor'!H$27,2)</f>
        <v>1952390.9299999999</v>
      </c>
      <c r="BW64" s="668">
        <f>ROUND(+$BR64*'[5]II-F Alloc_Factor'!I$27,2)</f>
        <v>3367578.8900000001</v>
      </c>
      <c r="BX64" s="668">
        <f>ROUND(+$BR64*'[5]II-F Alloc_Factor'!J$27,2)</f>
        <v>0</v>
      </c>
      <c r="BY64" s="668">
        <f>ROUND(+$BR64*'[5]II-F Alloc_Factor'!K$27,2)</f>
        <v>3367578.8900000001</v>
      </c>
      <c r="BZ64" s="668">
        <f>ROUND(+$BR64*'[5]II-F Alloc_Factor'!L$27,2)</f>
        <v>1115489.8500000001</v>
      </c>
      <c r="CA64" s="668">
        <f>ROUND(+$BR64*'[5]II-F Alloc_Factor'!M$27,2)</f>
        <v>366413.98999999999</v>
      </c>
      <c r="CC64" s="674">
        <v>6837375.5299999993</v>
      </c>
      <c r="CD64" s="668">
        <f>ROUND(+$CC64*'[5]II-F Alloc_Factor'!E$27,2)</f>
        <v>1962581.29</v>
      </c>
      <c r="CE64" s="668">
        <f>ROUND(+$CC64*'[5]II-F Alloc_Factor'!F$27,2)</f>
        <v>0</v>
      </c>
      <c r="CF64" s="668">
        <f>ROUND(+$CC64*'[5]II-F Alloc_Factor'!G$27,2)</f>
        <v>0</v>
      </c>
      <c r="CG64" s="668">
        <f>ROUND(+$CC64*'[5]II-F Alloc_Factor'!H$27,2)</f>
        <v>1962581.29</v>
      </c>
      <c r="CH64" s="668">
        <f>ROUND(+$CC64*'[5]II-F Alloc_Factor'!I$27,2)</f>
        <v>3385155.7200000002</v>
      </c>
      <c r="CI64" s="668">
        <f>ROUND(+$CC64*'[5]II-F Alloc_Factor'!J$27,2)</f>
        <v>0</v>
      </c>
      <c r="CJ64" s="668">
        <f>ROUND(+$CC64*'[5]II-F Alloc_Factor'!K$27,2)</f>
        <v>3385155.7200000002</v>
      </c>
      <c r="CK64" s="668">
        <f>ROUND(+$CC64*'[5]II-F Alloc_Factor'!L$27,2)</f>
        <v>1121312.0700000001</v>
      </c>
      <c r="CL64" s="668">
        <f>ROUND(+$CC64*'[5]II-F Alloc_Factor'!M$27,2)</f>
        <v>368326.46000000002</v>
      </c>
      <c r="CN64" s="674">
        <v>7663627.6499999994</v>
      </c>
      <c r="CO64" s="668">
        <f>ROUND(+$CN64*'[5]II-F Alloc_Factor'!E$27,2)</f>
        <v>2199746.3999999999</v>
      </c>
      <c r="CP64" s="668">
        <f>ROUND(+$CN64*'[5]II-F Alloc_Factor'!F$27,2)</f>
        <v>0</v>
      </c>
      <c r="CQ64" s="668">
        <f>ROUND(+$CN64*'[5]II-F Alloc_Factor'!G$27,2)</f>
        <v>0</v>
      </c>
      <c r="CR64" s="668">
        <f>ROUND(+$CN64*'[5]II-F Alloc_Factor'!H$27,2)</f>
        <v>2199746.3999999999</v>
      </c>
      <c r="CS64" s="668">
        <f>ROUND(+$CN64*'[5]II-F Alloc_Factor'!I$27,2)</f>
        <v>3794229.6499999999</v>
      </c>
      <c r="CT64" s="668">
        <f>ROUND(+$CN64*'[5]II-F Alloc_Factor'!J$27,2)</f>
        <v>0</v>
      </c>
      <c r="CU64" s="668">
        <f>ROUND(+$CN64*'[5]II-F Alloc_Factor'!K$27,2)</f>
        <v>3794229.6499999999</v>
      </c>
      <c r="CV64" s="668">
        <f>ROUND(+$CN64*'[5]II-F Alloc_Factor'!L$27,2)</f>
        <v>1256815.3000000001</v>
      </c>
      <c r="CW64" s="668">
        <f>ROUND(+$CN64*'[5]II-F Alloc_Factor'!M$27,2)</f>
        <v>412836.29999999999</v>
      </c>
      <c r="CY64" s="674">
        <v>7786990.6599999992</v>
      </c>
      <c r="CZ64" s="668">
        <f>ROUND(+$CY64*'[5]II-F Alloc_Factor'!E$27,2)</f>
        <v>2235156.1800000002</v>
      </c>
      <c r="DA64" s="668">
        <f>ROUND(+$CY64*'[5]II-F Alloc_Factor'!F$27,2)</f>
        <v>0</v>
      </c>
      <c r="DB64" s="668">
        <f>ROUND(+$CY64*'[5]II-F Alloc_Factor'!G$27,2)</f>
        <v>0</v>
      </c>
      <c r="DC64" s="668">
        <f>ROUND(+$CY64*'[5]II-F Alloc_Factor'!H$27,2)</f>
        <v>2235156.1800000002</v>
      </c>
      <c r="DD64" s="668">
        <f>ROUND(+$CY64*'[5]II-F Alloc_Factor'!I$27,2)</f>
        <v>3855306.1600000001</v>
      </c>
      <c r="DE64" s="668">
        <f>ROUND(+$CY64*'[5]II-F Alloc_Factor'!J$27,2)</f>
        <v>0</v>
      </c>
      <c r="DF64" s="668">
        <f>ROUND(+$CY64*'[5]II-F Alloc_Factor'!K$27,2)</f>
        <v>3855306.1600000001</v>
      </c>
      <c r="DG64" s="668">
        <f>ROUND(+$CY64*'[5]II-F Alloc_Factor'!L$27,2)</f>
        <v>1277046.52</v>
      </c>
      <c r="DH64" s="668">
        <f>ROUND(+$CY64*'[5]II-F Alloc_Factor'!M$27,2)</f>
        <v>419481.81</v>
      </c>
      <c r="DJ64" s="674">
        <v>7910353.6599999992</v>
      </c>
      <c r="DK64" s="668">
        <f>ROUND(+$DJ64*'[5]II-F Alloc_Factor'!E$27,2)</f>
        <v>2270565.9500000002</v>
      </c>
      <c r="DL64" s="668">
        <f>ROUND(+$DJ64*'[5]II-F Alloc_Factor'!F$27,2)</f>
        <v>0</v>
      </c>
      <c r="DM64" s="668">
        <f>ROUND(+$DJ64*'[5]II-F Alloc_Factor'!G$27,2)</f>
        <v>0</v>
      </c>
      <c r="DN64" s="668">
        <f>ROUND(+$DJ64*'[5]II-F Alloc_Factor'!H$27,2)</f>
        <v>2270565.9500000002</v>
      </c>
      <c r="DO64" s="668">
        <f>ROUND(+$DJ64*'[5]II-F Alloc_Factor'!I$27,2)</f>
        <v>3916382.6499999999</v>
      </c>
      <c r="DP64" s="668">
        <f>ROUND(+$DJ64*'[5]II-F Alloc_Factor'!J$27,2)</f>
        <v>0</v>
      </c>
      <c r="DQ64" s="668">
        <f>ROUND(+$DJ64*'[5]II-F Alloc_Factor'!K$27,2)</f>
        <v>3916382.6499999999</v>
      </c>
      <c r="DR64" s="668">
        <f>ROUND(+$DJ64*'[5]II-F Alloc_Factor'!L$27,2)</f>
        <v>1297277.73</v>
      </c>
      <c r="DS64" s="668">
        <f>ROUND(+$DJ64*'[5]II-F Alloc_Factor'!M$27,2)</f>
        <v>426127.32000000001</v>
      </c>
      <c r="DU64" s="674">
        <v>7316787.0899999989</v>
      </c>
      <c r="DV64" s="668">
        <f>ROUND(+$DU64*'[5]II-F Alloc_Factor'!E$27,2)</f>
        <v>2100190.25</v>
      </c>
      <c r="DW64" s="668">
        <f>ROUND(+$DU64*'[5]II-F Alloc_Factor'!F$27,2)</f>
        <v>0</v>
      </c>
      <c r="DX64" s="668">
        <f>ROUND(+$DU64*'[5]II-F Alloc_Factor'!G$27,2)</f>
        <v>0</v>
      </c>
      <c r="DY64" s="668">
        <f t="shared" si="20"/>
        <v>2100190.25</v>
      </c>
      <c r="DZ64" s="668">
        <f>ROUND(+$DU64*'[5]II-F Alloc_Factor'!I$27,2)</f>
        <v>3622510.3599999999</v>
      </c>
      <c r="EA64" s="668">
        <f>ROUND(+$DU64*'[5]II-F Alloc_Factor'!J$27,2)</f>
        <v>0</v>
      </c>
      <c r="EB64" s="668">
        <f t="shared" si="21"/>
        <v>3622510.3599999999</v>
      </c>
      <c r="EC64" s="668">
        <f>ROUND(+$DU64*'[5]II-F Alloc_Factor'!L$27,2)</f>
        <v>1199934.3400000001</v>
      </c>
      <c r="ED64" s="668">
        <f>ROUND(+$DU64*'[5]II-F Alloc_Factor'!M$27,2)-0.01</f>
        <v>394152.14000000001</v>
      </c>
      <c r="EE64" s="754">
        <f>+'II-E-3.5'!I80-'II-E-3.5a'!DU64</f>
        <v>0</v>
      </c>
      <c r="EF64" s="754">
        <f t="shared" si="19"/>
        <v>0</v>
      </c>
      <c r="EH64" s="754"/>
    </row>
    <row r="65" spans="1:138" s="423" customFormat="1" ht="12.75">
      <c r="A65" s="524">
        <f t="shared" si="6"/>
        <v>53</v>
      </c>
      <c r="B65" s="184" t="s">
        <v>447</v>
      </c>
      <c r="C65" s="424" t="s">
        <v>407</v>
      </c>
      <c r="D65" s="674">
        <v>155805573.62000001</v>
      </c>
      <c r="E65" s="668">
        <f>ROUND(+$D65*'[5]II-F Alloc_Factor'!E$27,2)</f>
        <v>44721999.240000002</v>
      </c>
      <c r="F65" s="668">
        <f>ROUND(+$D65*'[5]II-F Alloc_Factor'!F$27,2)</f>
        <v>0</v>
      </c>
      <c r="G65" s="668">
        <f>ROUND(+$D65*'[5]II-F Alloc_Factor'!G$27,2)</f>
        <v>0</v>
      </c>
      <c r="H65" s="668">
        <f>ROUND(+$D65*'[5]II-F Alloc_Factor'!H$27,2)</f>
        <v>44721999.240000002</v>
      </c>
      <c r="I65" s="668">
        <f>ROUND(+$D65*'[5]II-F Alloc_Factor'!I$27,2)</f>
        <v>77138680.810000002</v>
      </c>
      <c r="J65" s="668">
        <f>ROUND(+$D65*'[5]II-F Alloc_Factor'!J$27,2)</f>
        <v>0</v>
      </c>
      <c r="K65" s="668">
        <f>ROUND(+$D65*'[5]II-F Alloc_Factor'!K$27,2)</f>
        <v>77138680.810000002</v>
      </c>
      <c r="L65" s="668">
        <f>ROUND(+$D65*'[5]II-F Alloc_Factor'!L$27,2)</f>
        <v>25551714.859999999</v>
      </c>
      <c r="M65" s="668">
        <f>ROUND(+$D65*'[5]II-F Alloc_Factor'!M$27,2)</f>
        <v>8393178.7100000009</v>
      </c>
      <c r="N65" s="669"/>
      <c r="O65" s="674">
        <v>155607892.74000001</v>
      </c>
      <c r="P65" s="668">
        <f>ROUND(+$O65*'[5]II-F Alloc_Factor'!E$27,2)</f>
        <v>44665257.469999999</v>
      </c>
      <c r="Q65" s="668">
        <f>ROUND(+$O65*'[5]II-F Alloc_Factor'!F$27,2)</f>
        <v>0</v>
      </c>
      <c r="R65" s="668">
        <f>ROUND(+$O65*'[5]II-F Alloc_Factor'!G$27,2)</f>
        <v>0</v>
      </c>
      <c r="S65" s="668">
        <f>ROUND(+$O65*'[5]II-F Alloc_Factor'!H$27,2)</f>
        <v>44665257.469999999</v>
      </c>
      <c r="T65" s="668">
        <f>ROUND(+$O65*'[5]II-F Alloc_Factor'!I$27,2)</f>
        <v>77040809.840000004</v>
      </c>
      <c r="U65" s="668">
        <f>ROUND(+$O65*'[5]II-F Alloc_Factor'!J$27,2)</f>
        <v>0</v>
      </c>
      <c r="V65" s="668">
        <f>ROUND(+$O65*'[5]II-F Alloc_Factor'!K$27,2)</f>
        <v>77040809.840000004</v>
      </c>
      <c r="W65" s="668">
        <f>ROUND(+$O65*'[5]II-F Alloc_Factor'!L$27,2)</f>
        <v>25519295.710000001</v>
      </c>
      <c r="X65" s="668">
        <f>ROUND(+$O65*'[5]II-F Alloc_Factor'!M$27,2)</f>
        <v>8382529.7300000004</v>
      </c>
      <c r="Y65" s="673"/>
      <c r="Z65" s="674">
        <v>155438984.77000001</v>
      </c>
      <c r="AA65" s="668">
        <v>0</v>
      </c>
      <c r="AB65" s="668">
        <v>0</v>
      </c>
      <c r="AC65" s="668">
        <v>0</v>
      </c>
      <c r="AD65" s="668">
        <f>ROUND(+$Z65*'[5]II-F Alloc_Factor'!H$27,2)</f>
        <v>44616774.590000004</v>
      </c>
      <c r="AE65" s="668">
        <v>0</v>
      </c>
      <c r="AF65" s="668">
        <v>0</v>
      </c>
      <c r="AG65" s="668">
        <f>ROUND(+$Z65*'[5]II-F Alloc_Factor'!K$27,2)</f>
        <v>76957184.219999999</v>
      </c>
      <c r="AH65" s="668">
        <f>ROUND(+$Z65*'[5]II-F Alloc_Factor'!L$27,2)</f>
        <v>25491595.23</v>
      </c>
      <c r="AI65" s="668">
        <f>ROUND(+$Z65*'[5]II-F Alloc_Factor'!M$27,2)</f>
        <v>8373430.7300000004</v>
      </c>
      <c r="AK65" s="674">
        <v>155233397.60000002</v>
      </c>
      <c r="AL65" s="668">
        <f>ROUND(+$AK65*'[5]II-F Alloc_Factor'!E$27,2)</f>
        <v>44557763.420000002</v>
      </c>
      <c r="AM65" s="668">
        <f>ROUND(+$AK65*'[5]II-F Alloc_Factor'!F$27,2)</f>
        <v>0</v>
      </c>
      <c r="AN65" s="668">
        <f>ROUND(+$AK65*'[5]II-F Alloc_Factor'!G$27,2)</f>
        <v>0</v>
      </c>
      <c r="AO65" s="668">
        <f t="shared" si="22"/>
        <v>44557763.420000002</v>
      </c>
      <c r="AP65" s="668">
        <f>ROUND(+$AK65*'[5]II-F Alloc_Factor'!I$27,2)</f>
        <v>76855398.879999995</v>
      </c>
      <c r="AQ65" s="668">
        <f>ROUND(+$AK65*'[5]II-F Alloc_Factor'!J$27,2)</f>
        <v>0</v>
      </c>
      <c r="AR65" s="668">
        <f t="shared" si="23"/>
        <v>76855398.879999995</v>
      </c>
      <c r="AS65" s="668">
        <f>ROUND(+$AK65*'[5]II-F Alloc_Factor'!L$27,2)</f>
        <v>25457879.460000001</v>
      </c>
      <c r="AT65" s="668">
        <f>ROUND(+$AK65*'[5]II-F Alloc_Factor'!M$27,2)</f>
        <v>8362355.8399999999</v>
      </c>
      <c r="AU65" s="755"/>
      <c r="AV65" s="674">
        <v>155028437.64000002</v>
      </c>
      <c r="AW65" s="668">
        <f>ROUND(+$AV65*'[5]II-F Alloc_Factor'!E$27,2)</f>
        <v>44498932.289999999</v>
      </c>
      <c r="AX65" s="668">
        <f>ROUND(+$AV65*'[5]II-F Alloc_Factor'!F$27,2)</f>
        <v>0</v>
      </c>
      <c r="AY65" s="668">
        <f>ROUND(+$AV65*'[5]II-F Alloc_Factor'!G$27,2)</f>
        <v>0</v>
      </c>
      <c r="AZ65" s="668">
        <f>ROUND(+$AV65*'[5]II-F Alloc_Factor'!H$27,2)</f>
        <v>44498932.289999999</v>
      </c>
      <c r="BA65" s="668">
        <f>ROUND(+$AV65*'[5]II-F Alloc_Factor'!I$27,2)</f>
        <v>76753924.069999993</v>
      </c>
      <c r="BB65" s="668">
        <f>ROUND(+$AV65*'[5]II-F Alloc_Factor'!J$27,2)</f>
        <v>0</v>
      </c>
      <c r="BC65" s="668">
        <f>ROUND(+$AV65*'[5]II-F Alloc_Factor'!K$27,2)</f>
        <v>76753924.069999993</v>
      </c>
      <c r="BD65" s="668">
        <f>ROUND(+$AV65*'[5]II-F Alloc_Factor'!L$27,2)</f>
        <v>25424266.550000001</v>
      </c>
      <c r="BE65" s="668">
        <f>ROUND(+$AV65*'[5]II-F Alloc_Factor'!M$27,2)</f>
        <v>8351314.7300000004</v>
      </c>
      <c r="BF65" s="755"/>
      <c r="BG65" s="674">
        <v>154736812.96000001</v>
      </c>
      <c r="BH65" s="668">
        <f>ROUND(+$BG65*'[5]II-F Alloc_Factor'!E$27,2)</f>
        <v>44415225.149999999</v>
      </c>
      <c r="BI65" s="668">
        <f>ROUND(+$BG65*'[5]II-F Alloc_Factor'!F$27,2)</f>
        <v>0</v>
      </c>
      <c r="BJ65" s="668">
        <f>ROUND(+$BG65*'[5]II-F Alloc_Factor'!G$27,2)</f>
        <v>0</v>
      </c>
      <c r="BK65" s="668">
        <f>ROUND(+$BG65*'[5]II-F Alloc_Factor'!H$27,2)</f>
        <v>44415225.149999999</v>
      </c>
      <c r="BL65" s="668">
        <f>ROUND(+$BG65*'[5]II-F Alloc_Factor'!I$27,2)</f>
        <v>76609541.920000002</v>
      </c>
      <c r="BM65" s="668">
        <f>ROUND(+$BG65*'[5]II-F Alloc_Factor'!J$27,2)</f>
        <v>0</v>
      </c>
      <c r="BN65" s="668">
        <f>ROUND(+$BG65*'[5]II-F Alloc_Factor'!K$27,2)</f>
        <v>76609541.920000002</v>
      </c>
      <c r="BO65" s="668">
        <f>ROUND(+$BG65*'[5]II-F Alloc_Factor'!L$27,2)</f>
        <v>25376440.850000001</v>
      </c>
      <c r="BP65" s="668">
        <f>ROUND(+$BG65*'[5]II-F Alloc_Factor'!M$27,2)</f>
        <v>8335605.04</v>
      </c>
      <c r="BQ65" s="755"/>
      <c r="BR65" s="674">
        <v>154664870.38</v>
      </c>
      <c r="BS65" s="668">
        <f>ROUND(+$BR65*'[5]II-F Alloc_Factor'!E$27,2)</f>
        <v>44394574.950000003</v>
      </c>
      <c r="BT65" s="668">
        <f>ROUND(+$BR65*'[5]II-F Alloc_Factor'!F$27,2)</f>
        <v>0</v>
      </c>
      <c r="BU65" s="668">
        <f>ROUND(+$BR65*'[5]II-F Alloc_Factor'!G$27,2)</f>
        <v>0</v>
      </c>
      <c r="BV65" s="668">
        <f>ROUND(+$BR65*'[5]II-F Alloc_Factor'!H$27,2)</f>
        <v>44394574.950000003</v>
      </c>
      <c r="BW65" s="668">
        <f>ROUND(+$BR65*'[5]II-F Alloc_Factor'!I$27,2)</f>
        <v>76573923.459999993</v>
      </c>
      <c r="BX65" s="668">
        <f>ROUND(+$BR65*'[5]II-F Alloc_Factor'!J$27,2)</f>
        <v>0</v>
      </c>
      <c r="BY65" s="668">
        <f>ROUND(+$BR65*'[5]II-F Alloc_Factor'!K$27,2)</f>
        <v>76573923.459999993</v>
      </c>
      <c r="BZ65" s="668">
        <f>ROUND(+$BR65*'[5]II-F Alloc_Factor'!L$27,2)</f>
        <v>25364642.449999999</v>
      </c>
      <c r="CA65" s="668">
        <f>ROUND(+$BR65*'[5]II-F Alloc_Factor'!M$27,2)</f>
        <v>8331729.5199999996</v>
      </c>
      <c r="CC65" s="674">
        <v>154463169.19999999</v>
      </c>
      <c r="CD65" s="668">
        <f>ROUND(+$CC65*'[5]II-F Alloc_Factor'!E$27,2)</f>
        <v>44336679.200000003</v>
      </c>
      <c r="CE65" s="668">
        <f>ROUND(+$CC65*'[5]II-F Alloc_Factor'!F$27,2)</f>
        <v>0</v>
      </c>
      <c r="CF65" s="668">
        <f>ROUND(+$CC65*'[5]II-F Alloc_Factor'!G$27,2)</f>
        <v>0</v>
      </c>
      <c r="CG65" s="668">
        <f>ROUND(+$CC65*'[5]II-F Alloc_Factor'!H$27,2)</f>
        <v>44336679.200000003</v>
      </c>
      <c r="CH65" s="668">
        <f>ROUND(+$CC65*'[5]II-F Alloc_Factor'!I$27,2)</f>
        <v>76474062.049999997</v>
      </c>
      <c r="CI65" s="668">
        <f>ROUND(+$CC65*'[5]II-F Alloc_Factor'!J$27,2)</f>
        <v>0</v>
      </c>
      <c r="CJ65" s="668">
        <f>ROUND(+$CC65*'[5]II-F Alloc_Factor'!K$27,2)</f>
        <v>76474062.049999997</v>
      </c>
      <c r="CK65" s="668">
        <f>ROUND(+$CC65*'[5]II-F Alloc_Factor'!L$27,2)</f>
        <v>25331563.98</v>
      </c>
      <c r="CL65" s="668">
        <f>ROUND(+$CC65*'[5]II-F Alloc_Factor'!M$27,2)</f>
        <v>8320863.9699999997</v>
      </c>
      <c r="CN65" s="674">
        <v>154140125.55999997</v>
      </c>
      <c r="CO65" s="668">
        <f>ROUND(+$CN65*'[5]II-F Alloc_Factor'!E$27,2)</f>
        <v>44243953.649999999</v>
      </c>
      <c r="CP65" s="668">
        <f>ROUND(+$CN65*'[5]II-F Alloc_Factor'!F$27,2)</f>
        <v>0</v>
      </c>
      <c r="CQ65" s="668">
        <f>ROUND(+$CN65*'[5]II-F Alloc_Factor'!G$27,2)</f>
        <v>0</v>
      </c>
      <c r="CR65" s="668">
        <f>ROUND(+$CN65*'[5]II-F Alloc_Factor'!H$27,2)</f>
        <v>44243953.649999999</v>
      </c>
      <c r="CS65" s="668">
        <f>ROUND(+$CN65*'[5]II-F Alloc_Factor'!I$27,2)</f>
        <v>76314124.510000005</v>
      </c>
      <c r="CT65" s="668">
        <f>ROUND(+$CN65*'[5]II-F Alloc_Factor'!J$27,2)</f>
        <v>0</v>
      </c>
      <c r="CU65" s="668">
        <f>ROUND(+$CN65*'[5]II-F Alloc_Factor'!K$27,2)</f>
        <v>76314124.510000005</v>
      </c>
      <c r="CV65" s="668">
        <f>ROUND(+$CN65*'[5]II-F Alloc_Factor'!L$27,2)</f>
        <v>25278585.649999999</v>
      </c>
      <c r="CW65" s="668">
        <f>ROUND(+$CN65*'[5]II-F Alloc_Factor'!M$27,2)</f>
        <v>8303461.75</v>
      </c>
      <c r="CY65" s="674">
        <v>153940410.19999996</v>
      </c>
      <c r="CZ65" s="668">
        <f>ROUND(+$CY65*'[5]II-F Alloc_Factor'!E$27,2)</f>
        <v>44186627.909999996</v>
      </c>
      <c r="DA65" s="668">
        <f>ROUND(+$CY65*'[5]II-F Alloc_Factor'!F$27,2)</f>
        <v>0</v>
      </c>
      <c r="DB65" s="668">
        <f>ROUND(+$CY65*'[5]II-F Alloc_Factor'!G$27,2)</f>
        <v>0</v>
      </c>
      <c r="DC65" s="668">
        <f>ROUND(+$CY65*'[5]II-F Alloc_Factor'!H$27,2)</f>
        <v>44186627.909999996</v>
      </c>
      <c r="DD65" s="668">
        <f>ROUND(+$CY65*'[5]II-F Alloc_Factor'!I$27,2)</f>
        <v>76215246.280000001</v>
      </c>
      <c r="DE65" s="668">
        <f>ROUND(+$CY65*'[5]II-F Alloc_Factor'!J$27,2)</f>
        <v>0</v>
      </c>
      <c r="DF65" s="668">
        <f>ROUND(+$CY65*'[5]II-F Alloc_Factor'!K$27,2)</f>
        <v>76215246.280000001</v>
      </c>
      <c r="DG65" s="668">
        <f>ROUND(+$CY65*'[5]II-F Alloc_Factor'!L$27,2)</f>
        <v>25245832.84</v>
      </c>
      <c r="DH65" s="668">
        <f>ROUND(+$CY65*'[5]II-F Alloc_Factor'!M$27,2)</f>
        <v>8292703.1699999999</v>
      </c>
      <c r="DJ65" s="674">
        <v>153872171.99999997</v>
      </c>
      <c r="DK65" s="668">
        <f>ROUND(+$DJ65*'[5]II-F Alloc_Factor'!E$27,2)</f>
        <v>44167041.009999998</v>
      </c>
      <c r="DL65" s="668">
        <f>ROUND(+$DJ65*'[5]II-F Alloc_Factor'!F$27,2)</f>
        <v>0</v>
      </c>
      <c r="DM65" s="668">
        <f>ROUND(+$DJ65*'[5]II-F Alloc_Factor'!G$27,2)</f>
        <v>0</v>
      </c>
      <c r="DN65" s="668">
        <f>ROUND(+$DJ65*'[5]II-F Alloc_Factor'!H$27,2)</f>
        <v>44167041.009999998</v>
      </c>
      <c r="DO65" s="668">
        <f>ROUND(+$DJ65*'[5]II-F Alloc_Factor'!I$27,2)</f>
        <v>76181461.840000004</v>
      </c>
      <c r="DP65" s="668">
        <f>ROUND(+$DJ65*'[5]II-F Alloc_Factor'!J$27,2)</f>
        <v>0</v>
      </c>
      <c r="DQ65" s="668">
        <f>ROUND(+$DJ65*'[5]II-F Alloc_Factor'!K$27,2)</f>
        <v>76181461.840000004</v>
      </c>
      <c r="DR65" s="668">
        <f>ROUND(+$DJ65*'[5]II-F Alloc_Factor'!L$27,2)</f>
        <v>25234641.949999999</v>
      </c>
      <c r="DS65" s="668">
        <f>ROUND(+$DJ65*'[5]II-F Alloc_Factor'!M$27,2)</f>
        <v>8289027.2000000002</v>
      </c>
      <c r="DU65" s="674">
        <v>153678920.84999996</v>
      </c>
      <c r="DV65" s="668">
        <f>ROUND(+$DU65*'[5]II-F Alloc_Factor'!E$27,2)</f>
        <v>44111570.729999997</v>
      </c>
      <c r="DW65" s="668">
        <f>ROUND(+$DU65*'[5]II-F Alloc_Factor'!F$27,2)</f>
        <v>0</v>
      </c>
      <c r="DX65" s="668">
        <f>ROUND(+$DU65*'[5]II-F Alloc_Factor'!G$27,2)</f>
        <v>0</v>
      </c>
      <c r="DY65" s="668">
        <f t="shared" si="20"/>
        <v>44111570.729999997</v>
      </c>
      <c r="DZ65" s="668">
        <f>ROUND(+$DU65*'[5]II-F Alloc_Factor'!I$27,2)</f>
        <v>76085784.010000005</v>
      </c>
      <c r="EA65" s="668">
        <f>ROUND(+$DU65*'[5]II-F Alloc_Factor'!J$27,2)</f>
        <v>0</v>
      </c>
      <c r="EB65" s="668">
        <f t="shared" si="21"/>
        <v>76085784.010000005</v>
      </c>
      <c r="EC65" s="668">
        <f>ROUND(+$DU65*'[5]II-F Alloc_Factor'!L$27,2)</f>
        <v>25202949.260000002</v>
      </c>
      <c r="ED65" s="668">
        <f>ROUND(+$DU65*'[5]II-F Alloc_Factor'!M$27,2)</f>
        <v>8278616.8499999996</v>
      </c>
      <c r="EE65" s="754">
        <f>+'II-E-3.5'!I81-'II-E-3.5a'!DU65</f>
        <v>0</v>
      </c>
      <c r="EF65" s="754">
        <f t="shared" si="19"/>
        <v>0</v>
      </c>
      <c r="EH65" s="754"/>
    </row>
    <row r="66" spans="1:138" s="423" customFormat="1" ht="12.75">
      <c r="A66" s="524">
        <f t="shared" si="6"/>
        <v>54</v>
      </c>
      <c r="B66" s="184" t="s">
        <v>448</v>
      </c>
      <c r="C66" s="424" t="s">
        <v>407</v>
      </c>
      <c r="D66" s="674">
        <v>2613877.7599999998</v>
      </c>
      <c r="E66" s="668">
        <f>ROUND(+$D66*'[5]II-F Alloc_Factor'!E$27,2)</f>
        <v>750280.20999999996</v>
      </c>
      <c r="F66" s="668">
        <f>ROUND(+$D66*'[5]II-F Alloc_Factor'!F$27,2)</f>
        <v>0</v>
      </c>
      <c r="G66" s="668">
        <f>ROUND(+$D66*'[5]II-F Alloc_Factor'!G$27,2)</f>
        <v>0</v>
      </c>
      <c r="H66" s="668">
        <f>ROUND(+$D66*'[5]II-F Alloc_Factor'!H$27,2)</f>
        <v>750280.20999999996</v>
      </c>
      <c r="I66" s="668">
        <f>ROUND(+$D66*'[5]II-F Alloc_Factor'!I$27,2)</f>
        <v>1294119.8300000001</v>
      </c>
      <c r="J66" s="668">
        <f>ROUND(+$D66*'[5]II-F Alloc_Factor'!J$27,2)</f>
        <v>0</v>
      </c>
      <c r="K66" s="668">
        <f>ROUND(+$D66*'[5]II-F Alloc_Factor'!K$27,2)</f>
        <v>1294119.8300000001</v>
      </c>
      <c r="L66" s="668">
        <f>ROUND(+$D66*'[5]II-F Alloc_Factor'!L$27,2)</f>
        <v>428669.26000000001</v>
      </c>
      <c r="M66" s="668">
        <f>ROUND(+$D66*'[5]II-F Alloc_Factor'!M$27,2)</f>
        <v>140808.45999999999</v>
      </c>
      <c r="N66" s="669"/>
      <c r="O66" s="674">
        <v>2613877.7599999998</v>
      </c>
      <c r="P66" s="668">
        <f>ROUND(+$O66*'[5]II-F Alloc_Factor'!E$27,2)</f>
        <v>750280.20999999996</v>
      </c>
      <c r="Q66" s="668">
        <f>ROUND(+$O66*'[5]II-F Alloc_Factor'!F$27,2)</f>
        <v>0</v>
      </c>
      <c r="R66" s="668">
        <f>ROUND(+$O66*'[5]II-F Alloc_Factor'!G$27,2)</f>
        <v>0</v>
      </c>
      <c r="S66" s="668">
        <f>ROUND(+$O66*'[5]II-F Alloc_Factor'!H$27,2)</f>
        <v>750280.20999999996</v>
      </c>
      <c r="T66" s="668">
        <f>ROUND(+$O66*'[5]II-F Alloc_Factor'!I$27,2)</f>
        <v>1294119.8300000001</v>
      </c>
      <c r="U66" s="668">
        <f>ROUND(+$O66*'[5]II-F Alloc_Factor'!J$27,2)</f>
        <v>0</v>
      </c>
      <c r="V66" s="668">
        <f>ROUND(+$O66*'[5]II-F Alloc_Factor'!K$27,2)</f>
        <v>1294119.8300000001</v>
      </c>
      <c r="W66" s="668">
        <f>ROUND(+$O66*'[5]II-F Alloc_Factor'!L$27,2)</f>
        <v>428669.26000000001</v>
      </c>
      <c r="X66" s="668">
        <f>ROUND(+$O66*'[5]II-F Alloc_Factor'!M$27,2)</f>
        <v>140808.45999999999</v>
      </c>
      <c r="Y66" s="673"/>
      <c r="Z66" s="674">
        <v>2634877.7599999998</v>
      </c>
      <c r="AA66" s="668">
        <v>0</v>
      </c>
      <c r="AB66" s="668">
        <v>0</v>
      </c>
      <c r="AC66" s="668">
        <v>0</v>
      </c>
      <c r="AD66" s="668">
        <f>ROUND(+$Z66*'[5]II-F Alloc_Factor'!H$27,2)</f>
        <v>756308</v>
      </c>
      <c r="AE66" s="668">
        <v>0</v>
      </c>
      <c r="AF66" s="668">
        <v>0</v>
      </c>
      <c r="AG66" s="668">
        <f>ROUND(+$Z66*'[5]II-F Alloc_Factor'!K$27,2)</f>
        <v>1304516.8400000001</v>
      </c>
      <c r="AH66" s="668">
        <f>ROUND(+$Z66*'[5]II-F Alloc_Factor'!L$27,2)</f>
        <v>432113.20000000001</v>
      </c>
      <c r="AI66" s="668">
        <f>ROUND(+$Z66*'[5]II-F Alloc_Factor'!M$27,2)</f>
        <v>141939.72</v>
      </c>
      <c r="AK66" s="674">
        <v>2630202.5999999996</v>
      </c>
      <c r="AL66" s="668">
        <f>ROUND(+$AK66*'[5]II-F Alloc_Factor'!E$27,2)</f>
        <v>754966.05000000005</v>
      </c>
      <c r="AM66" s="668">
        <f>ROUND(+$AK66*'[5]II-F Alloc_Factor'!F$27,2)</f>
        <v>0</v>
      </c>
      <c r="AN66" s="668">
        <f>ROUND(+$AK66*'[5]II-F Alloc_Factor'!G$27,2)</f>
        <v>0</v>
      </c>
      <c r="AO66" s="668">
        <f t="shared" si="22"/>
        <v>754966.05000000005</v>
      </c>
      <c r="AP66" s="668">
        <f>ROUND(+$AK66*'[5]II-F Alloc_Factor'!I$27,2)</f>
        <v>1302202.1899999999</v>
      </c>
      <c r="AQ66" s="668">
        <f>ROUND(+$AK66*'[5]II-F Alloc_Factor'!J$27,2)</f>
        <v>0</v>
      </c>
      <c r="AR66" s="668">
        <f t="shared" si="23"/>
        <v>1302202.1899999999</v>
      </c>
      <c r="AS66" s="668">
        <f>ROUND(+$AK66*'[5]II-F Alloc_Factor'!L$27,2)</f>
        <v>431346.48999999999</v>
      </c>
      <c r="AT66" s="668">
        <f>ROUND(+$AK66*'[5]II-F Alloc_Factor'!M$27,2)</f>
        <v>141687.87</v>
      </c>
      <c r="AU66" s="755"/>
      <c r="AV66" s="674">
        <v>2630202.5999999996</v>
      </c>
      <c r="AW66" s="668">
        <f>ROUND(+$AV66*'[5]II-F Alloc_Factor'!E$27,2)</f>
        <v>754966.05000000005</v>
      </c>
      <c r="AX66" s="668">
        <f>ROUND(+$AV66*'[5]II-F Alloc_Factor'!F$27,2)</f>
        <v>0</v>
      </c>
      <c r="AY66" s="668">
        <f>ROUND(+$AV66*'[5]II-F Alloc_Factor'!G$27,2)</f>
        <v>0</v>
      </c>
      <c r="AZ66" s="668">
        <f>ROUND(+$AV66*'[5]II-F Alloc_Factor'!H$27,2)</f>
        <v>754966.05000000005</v>
      </c>
      <c r="BA66" s="668">
        <f>ROUND(+$AV66*'[5]II-F Alloc_Factor'!I$27,2)</f>
        <v>1302202.1899999999</v>
      </c>
      <c r="BB66" s="668">
        <f>ROUND(+$AV66*'[5]II-F Alloc_Factor'!J$27,2)</f>
        <v>0</v>
      </c>
      <c r="BC66" s="668">
        <f>ROUND(+$AV66*'[5]II-F Alloc_Factor'!K$27,2)</f>
        <v>1302202.1899999999</v>
      </c>
      <c r="BD66" s="668">
        <f>ROUND(+$AV66*'[5]II-F Alloc_Factor'!L$27,2)</f>
        <v>431346.48999999999</v>
      </c>
      <c r="BE66" s="668">
        <f>ROUND(+$AV66*'[5]II-F Alloc_Factor'!M$27,2)</f>
        <v>141687.87</v>
      </c>
      <c r="BF66" s="755"/>
      <c r="BG66" s="674">
        <v>2655877.7699999996</v>
      </c>
      <c r="BH66" s="668">
        <f>ROUND(+$BG66*'[5]II-F Alloc_Factor'!E$27,2)</f>
        <v>762335.78000000003</v>
      </c>
      <c r="BI66" s="668">
        <f>ROUND(+$BG66*'[5]II-F Alloc_Factor'!F$27,2)</f>
        <v>0</v>
      </c>
      <c r="BJ66" s="668">
        <f>ROUND(+$BG66*'[5]II-F Alloc_Factor'!G$27,2)</f>
        <v>0</v>
      </c>
      <c r="BK66" s="668">
        <f>ROUND(+$BG66*'[5]II-F Alloc_Factor'!H$27,2)</f>
        <v>762335.78000000003</v>
      </c>
      <c r="BL66" s="668">
        <f>ROUND(+$BG66*'[5]II-F Alloc_Factor'!I$27,2)</f>
        <v>1314913.8600000001</v>
      </c>
      <c r="BM66" s="668">
        <f>ROUND(+$BG66*'[5]II-F Alloc_Factor'!J$27,2)</f>
        <v>0</v>
      </c>
      <c r="BN66" s="668">
        <f>ROUND(+$BG66*'[5]II-F Alloc_Factor'!K$27,2)</f>
        <v>1314913.8600000001</v>
      </c>
      <c r="BO66" s="668">
        <f>ROUND(+$BG66*'[5]II-F Alloc_Factor'!L$27,2)</f>
        <v>435557.15000000002</v>
      </c>
      <c r="BP66" s="668">
        <f>ROUND(+$BG66*'[5]II-F Alloc_Factor'!M$27,2)</f>
        <v>143070.98000000001</v>
      </c>
      <c r="BQ66" s="755"/>
      <c r="BR66" s="674">
        <v>2655877.7699999996</v>
      </c>
      <c r="BS66" s="668">
        <f>ROUND(+$BR66*'[5]II-F Alloc_Factor'!E$27,2)</f>
        <v>762335.78000000003</v>
      </c>
      <c r="BT66" s="668">
        <f>ROUND(+$BR66*'[5]II-F Alloc_Factor'!F$27,2)</f>
        <v>0</v>
      </c>
      <c r="BU66" s="668">
        <f>ROUND(+$BR66*'[5]II-F Alloc_Factor'!G$27,2)</f>
        <v>0</v>
      </c>
      <c r="BV66" s="668">
        <f>ROUND(+$BR66*'[5]II-F Alloc_Factor'!H$27,2)</f>
        <v>762335.78000000003</v>
      </c>
      <c r="BW66" s="668">
        <f>ROUND(+$BR66*'[5]II-F Alloc_Factor'!I$27,2)</f>
        <v>1314913.8600000001</v>
      </c>
      <c r="BX66" s="668">
        <f>ROUND(+$BR66*'[5]II-F Alloc_Factor'!J$27,2)</f>
        <v>0</v>
      </c>
      <c r="BY66" s="668">
        <f>ROUND(+$BR66*'[5]II-F Alloc_Factor'!K$27,2)</f>
        <v>1314913.8600000001</v>
      </c>
      <c r="BZ66" s="668">
        <f>ROUND(+$BR66*'[5]II-F Alloc_Factor'!L$27,2)</f>
        <v>435557.15000000002</v>
      </c>
      <c r="CA66" s="668">
        <f>ROUND(+$BR66*'[5]II-F Alloc_Factor'!M$27,2)</f>
        <v>143070.98000000001</v>
      </c>
      <c r="CC66" s="674">
        <v>2614976.7399999998</v>
      </c>
      <c r="CD66" s="668">
        <f>ROUND(+$CC66*'[5]II-F Alloc_Factor'!E$27,2)</f>
        <v>750595.66000000003</v>
      </c>
      <c r="CE66" s="668">
        <f>ROUND(+$CC66*'[5]II-F Alloc_Factor'!F$27,2)</f>
        <v>0</v>
      </c>
      <c r="CF66" s="668">
        <f>ROUND(+$CC66*'[5]II-F Alloc_Factor'!G$27,2)</f>
        <v>0</v>
      </c>
      <c r="CG66" s="668">
        <f>ROUND(+$CC66*'[5]II-F Alloc_Factor'!H$27,2)</f>
        <v>750595.66000000003</v>
      </c>
      <c r="CH66" s="668">
        <f>ROUND(+$CC66*'[5]II-F Alloc_Factor'!I$27,2)</f>
        <v>1294663.9299999999</v>
      </c>
      <c r="CI66" s="668">
        <f>ROUND(+$CC66*'[5]II-F Alloc_Factor'!J$27,2)</f>
        <v>0</v>
      </c>
      <c r="CJ66" s="668">
        <f>ROUND(+$CC66*'[5]II-F Alloc_Factor'!K$27,2)</f>
        <v>1294663.9299999999</v>
      </c>
      <c r="CK66" s="668">
        <f>ROUND(+$CC66*'[5]II-F Alloc_Factor'!L$27,2)</f>
        <v>428849.48999999999</v>
      </c>
      <c r="CL66" s="668">
        <f>ROUND(+$CC66*'[5]II-F Alloc_Factor'!M$27,2)</f>
        <v>140867.66</v>
      </c>
      <c r="CN66" s="674">
        <v>2666335.46</v>
      </c>
      <c r="CO66" s="668">
        <f>ROUND(+$CN66*'[5]II-F Alloc_Factor'!E$27,2)</f>
        <v>765337.53000000003</v>
      </c>
      <c r="CP66" s="668">
        <f>ROUND(+$CN66*'[5]II-F Alloc_Factor'!F$27,2)</f>
        <v>0</v>
      </c>
      <c r="CQ66" s="668">
        <f>ROUND(+$CN66*'[5]II-F Alloc_Factor'!G$27,2)</f>
        <v>0</v>
      </c>
      <c r="CR66" s="668">
        <f>ROUND(+$CN66*'[5]II-F Alloc_Factor'!H$27,2)</f>
        <v>765337.53000000003</v>
      </c>
      <c r="CS66" s="668">
        <f>ROUND(+$CN66*'[5]II-F Alloc_Factor'!I$27,2)</f>
        <v>1320091.4099999999</v>
      </c>
      <c r="CT66" s="668">
        <f>ROUND(+$CN66*'[5]II-F Alloc_Factor'!J$27,2)</f>
        <v>0</v>
      </c>
      <c r="CU66" s="668">
        <f>ROUND(+$CN66*'[5]II-F Alloc_Factor'!K$27,2)</f>
        <v>1320091.4099999999</v>
      </c>
      <c r="CV66" s="668">
        <f>ROUND(+$CN66*'[5]II-F Alloc_Factor'!L$27,2)</f>
        <v>437272.17999999999</v>
      </c>
      <c r="CW66" s="668">
        <f>ROUND(+$CN66*'[5]II-F Alloc_Factor'!M$27,2)</f>
        <v>143634.34</v>
      </c>
      <c r="CY66" s="674">
        <v>2666214.1499999999</v>
      </c>
      <c r="CZ66" s="668">
        <f>ROUND(+$CY66*'[5]II-F Alloc_Factor'!E$30,2)</f>
        <v>525896.58999999997</v>
      </c>
      <c r="DA66" s="668">
        <f>ROUND(+$CY66*'[5]II-F Alloc_Factor'!F$27,2)</f>
        <v>0</v>
      </c>
      <c r="DB66" s="668">
        <f>ROUND(+$CY66*'[5]II-F Alloc_Factor'!G$27,2)</f>
        <v>0</v>
      </c>
      <c r="DC66" s="668">
        <f>ROUND(+$CY66*'[5]II-F Alloc_Factor'!H$27,2)</f>
        <v>765302.70999999996</v>
      </c>
      <c r="DD66" s="668">
        <f>ROUND(+$CY66*'[5]II-F Alloc_Factor'!I$27,2)</f>
        <v>1320031.3500000001</v>
      </c>
      <c r="DE66" s="668">
        <f>ROUND(+$CY66*'[5]II-F Alloc_Factor'!J$27,2)</f>
        <v>0</v>
      </c>
      <c r="DF66" s="668">
        <f>ROUND(+$CY66*'[5]II-F Alloc_Factor'!K$27,2)</f>
        <v>1320031.3500000001</v>
      </c>
      <c r="DG66" s="668">
        <f>ROUND(+$CY66*'[5]II-F Alloc_Factor'!L$27,2)</f>
        <v>437252.28999999998</v>
      </c>
      <c r="DH66" s="668">
        <f>ROUND(+$CY66*'[5]II-F Alloc_Factor'!M$27,2)</f>
        <v>143627.79999999999</v>
      </c>
      <c r="DJ66" s="674">
        <v>2665161.02</v>
      </c>
      <c r="DK66" s="668">
        <f>ROUND(+$DJ66*'[5]II-F Alloc_Factor'!E$27,2)</f>
        <v>765000.42000000004</v>
      </c>
      <c r="DL66" s="668">
        <f>ROUND(+$DJ66*'[5]II-F Alloc_Factor'!F$27,2)</f>
        <v>0</v>
      </c>
      <c r="DM66" s="668">
        <f>ROUND(+$DJ66*'[5]II-F Alloc_Factor'!G$27,2)</f>
        <v>0</v>
      </c>
      <c r="DN66" s="668">
        <f>ROUND(+$DJ66*'[5]II-F Alloc_Factor'!H$27,2)</f>
        <v>765000.42000000004</v>
      </c>
      <c r="DO66" s="668">
        <f>ROUND(+$DJ66*'[5]II-F Alloc_Factor'!I$27,2)</f>
        <v>1319509.95</v>
      </c>
      <c r="DP66" s="668">
        <f>ROUND(+$DJ66*'[5]II-F Alloc_Factor'!J$27,2)</f>
        <v>0</v>
      </c>
      <c r="DQ66" s="668">
        <f>ROUND(+$DJ66*'[5]II-F Alloc_Factor'!K$27,2)</f>
        <v>1319509.95</v>
      </c>
      <c r="DR66" s="668">
        <f>ROUND(+$DJ66*'[5]II-F Alloc_Factor'!L$27,2)</f>
        <v>437079.58000000002</v>
      </c>
      <c r="DS66" s="668">
        <f>ROUND(+$DJ66*'[5]II-F Alloc_Factor'!M$27,2)</f>
        <v>143571.07000000001</v>
      </c>
      <c r="DU66" s="674">
        <v>2685713.9900000002</v>
      </c>
      <c r="DV66" s="668">
        <f>ROUND(+$DU66*'[5]II-F Alloc_Factor'!E$27,2)</f>
        <v>770899.89000000001</v>
      </c>
      <c r="DW66" s="668">
        <f>ROUND(+$DU66*'[5]II-F Alloc_Factor'!F$27,2)</f>
        <v>0</v>
      </c>
      <c r="DX66" s="668">
        <f>ROUND(+$DU66*'[5]II-F Alloc_Factor'!G$27,2)</f>
        <v>0</v>
      </c>
      <c r="DY66" s="668">
        <f t="shared" si="20"/>
        <v>770899.89000000001</v>
      </c>
      <c r="DZ66" s="668">
        <f>ROUND(+$DU66*'[5]II-F Alloc_Factor'!I$27,2)</f>
        <v>1329685.6399999999</v>
      </c>
      <c r="EA66" s="668">
        <f>ROUND(+$DU66*'[5]II-F Alloc_Factor'!J$27,2)</f>
        <v>0</v>
      </c>
      <c r="EB66" s="668">
        <f t="shared" si="21"/>
        <v>1329685.6399999999</v>
      </c>
      <c r="EC66" s="668">
        <f>ROUND(+$DU66*'[5]II-F Alloc_Factor'!L$27,2)</f>
        <v>440450.21000000002</v>
      </c>
      <c r="ED66" s="668">
        <f>ROUND(+$DU66*'[5]II-F Alloc_Factor'!M$27,2)</f>
        <v>144678.25</v>
      </c>
      <c r="EE66" s="754">
        <f>+'II-E-3.5'!I82-'II-E-3.5a'!DU66</f>
        <v>0</v>
      </c>
      <c r="EF66" s="754">
        <f t="shared" si="19"/>
        <v>0</v>
      </c>
      <c r="EH66" s="754"/>
    </row>
    <row r="67" spans="1:138" s="423" customFormat="1" ht="12.75">
      <c r="A67" s="524">
        <f t="shared" si="6"/>
        <v>55</v>
      </c>
      <c r="B67" s="184" t="s">
        <v>421</v>
      </c>
      <c r="C67" s="424" t="s">
        <v>464</v>
      </c>
      <c r="D67" s="674">
        <v>9647216.2899999991</v>
      </c>
      <c r="E67" s="668">
        <f>ROUND(+$D67*'[5]II-F Alloc_Factor'!E$30,2)</f>
        <v>1902862.21</v>
      </c>
      <c r="F67" s="668">
        <f>ROUND(+$D67*'[5]II-F Alloc_Factor'!F$30,2)</f>
        <v>0</v>
      </c>
      <c r="G67" s="668">
        <f>ROUND(+$D67*'[5]II-F Alloc_Factor'!G$30,2)</f>
        <v>0</v>
      </c>
      <c r="H67" s="668">
        <f>ROUND(+$D67*'[5]II-F Alloc_Factor'!H$30,2)</f>
        <v>1902862.21</v>
      </c>
      <c r="I67" s="668">
        <f>ROUND(+$D67*'[5]II-F Alloc_Factor'!I$30,2)</f>
        <v>4616623.6600000001</v>
      </c>
      <c r="J67" s="668">
        <f>ROUND(+$D67*'[5]II-F Alloc_Factor'!J$30,2)</f>
        <v>0</v>
      </c>
      <c r="K67" s="668">
        <f>ROUND(+$D67*'[5]II-F Alloc_Factor'!K$30,2)</f>
        <v>4616623.6600000001</v>
      </c>
      <c r="L67" s="668">
        <f>ROUND(+$D67*'[5]II-F Alloc_Factor'!L$30,2)</f>
        <v>1248004.9099999999</v>
      </c>
      <c r="M67" s="668">
        <f>ROUND(+$D67*'[5]II-F Alloc_Factor'!M$30,2)</f>
        <v>1879725.51</v>
      </c>
      <c r="N67" s="669"/>
      <c r="O67" s="674">
        <v>9223267.0799999982</v>
      </c>
      <c r="P67" s="668">
        <f>ROUND(+$O67*'[5]II-F Alloc_Factor'!E$30,2)</f>
        <v>1819240.48</v>
      </c>
      <c r="Q67" s="668">
        <f>ROUND(+$O67*'[5]II-F Alloc_Factor'!F$30,2)</f>
        <v>0</v>
      </c>
      <c r="R67" s="668">
        <f>ROUND(+$O67*'[5]II-F Alloc_Factor'!G$30,2)</f>
        <v>0</v>
      </c>
      <c r="S67" s="668">
        <f>ROUND(+$O67*'[5]II-F Alloc_Factor'!H$30,2)</f>
        <v>1819240.48</v>
      </c>
      <c r="T67" s="668">
        <f>ROUND(+$O67*'[5]II-F Alloc_Factor'!I$30,2)</f>
        <v>4413745.0300000003</v>
      </c>
      <c r="U67" s="668">
        <f>ROUND(+$O67*'[5]II-F Alloc_Factor'!J$30,2)</f>
        <v>0</v>
      </c>
      <c r="V67" s="668">
        <f>ROUND(+$O67*'[5]II-F Alloc_Factor'!K$30,2)</f>
        <v>4413745.0300000003</v>
      </c>
      <c r="W67" s="668">
        <f>ROUND(+$O67*'[5]II-F Alloc_Factor'!L$30,2)</f>
        <v>1193161.03</v>
      </c>
      <c r="X67" s="668">
        <f>ROUND(+$O67*'[5]II-F Alloc_Factor'!M$30,2)</f>
        <v>1797120.53</v>
      </c>
      <c r="Y67" s="673"/>
      <c r="Z67" s="674">
        <v>9472011.7999999989</v>
      </c>
      <c r="AA67" s="668">
        <f>ROUND(+$Z67*'[5]II-F Alloc_Factor'!E$30,2)</f>
        <v>1868304.0600000001</v>
      </c>
      <c r="AB67" s="668">
        <f>ROUND(+$Z67*'[5]II-F Alloc_Factor'!F$30,2)</f>
        <v>0</v>
      </c>
      <c r="AC67" s="668">
        <f>ROUND(+$Z67*'[5]II-F Alloc_Factor'!G$30,2)</f>
        <v>0</v>
      </c>
      <c r="AD67" s="668">
        <f>ROUND(+$Z67*'[5]II-F Alloc_Factor'!H$30,2)</f>
        <v>1868304.0600000001</v>
      </c>
      <c r="AE67" s="668">
        <f>ROUND(+$Z67*'[5]II-F Alloc_Factor'!I$30,2)</f>
        <v>4532780.4900000002</v>
      </c>
      <c r="AF67" s="668">
        <f>ROUND(+$Z67*'[5]II-F Alloc_Factor'!J$30,2)</f>
        <v>0</v>
      </c>
      <c r="AG67" s="668">
        <f>ROUND(+$Z67*'[5]II-F Alloc_Factor'!K$30,2)</f>
        <v>4532780.4900000002</v>
      </c>
      <c r="AH67" s="668">
        <f>ROUND(+$Z67*'[5]II-F Alloc_Factor'!L$30,2)</f>
        <v>1225339.71</v>
      </c>
      <c r="AI67" s="668">
        <f>ROUND(+$Z67*'[5]II-F Alloc_Factor'!M$30,2)</f>
        <v>1845587.5500000001</v>
      </c>
      <c r="AK67" s="674">
        <v>9745501.2999999989</v>
      </c>
      <c r="AL67" s="668">
        <f>ROUND(+$AK67*'[5]II-F Alloc_Factor'!E$30,2)</f>
        <v>1922248.4099999999</v>
      </c>
      <c r="AM67" s="668">
        <f>ROUND(+$AK67*'[5]II-F Alloc_Factor'!F$30,2)</f>
        <v>0</v>
      </c>
      <c r="AN67" s="668">
        <f>ROUND(+$AK67*'[5]II-F Alloc_Factor'!G$30,2)</f>
        <v>0</v>
      </c>
      <c r="AO67" s="668">
        <f t="shared" si="22"/>
        <v>1922248.4099999999</v>
      </c>
      <c r="AP67" s="668">
        <f>ROUND(+$AK67*'[5]II-F Alloc_Factor'!I$30,2)</f>
        <v>4663657.4199999999</v>
      </c>
      <c r="AQ67" s="668">
        <f>ROUND(+$AK67*'[5]II-F Alloc_Factor'!J$30,2)</f>
        <v>0</v>
      </c>
      <c r="AR67" s="668">
        <f t="shared" si="23"/>
        <v>4663657.4199999999</v>
      </c>
      <c r="AS67" s="668">
        <f>ROUND(+$AK67*'[5]II-F Alloc_Factor'!L$30,2)</f>
        <v>1260719.47</v>
      </c>
      <c r="AT67" s="668">
        <f>ROUND(+$AK67*'[5]II-F Alloc_Factor'!M$30,2)</f>
        <v>1898876</v>
      </c>
      <c r="AU67" s="755"/>
      <c r="AV67" s="674">
        <v>10155731.419999998</v>
      </c>
      <c r="AW67" s="668">
        <f>ROUND(+$AV67*'[5]II-F Alloc_Factor'!E$30,2)</f>
        <v>2003164.1200000001</v>
      </c>
      <c r="AX67" s="668">
        <f>ROUND(+$AV67*'[5]II-F Alloc_Factor'!F$30,2)</f>
        <v>0</v>
      </c>
      <c r="AY67" s="668">
        <f>ROUND(+$AV67*'[5]II-F Alloc_Factor'!G$30,2)</f>
        <v>0</v>
      </c>
      <c r="AZ67" s="668">
        <f>ROUND(+$AV67*'[5]II-F Alloc_Factor'!H$30,2)</f>
        <v>2003164.1200000001</v>
      </c>
      <c r="BA67" s="668">
        <f>ROUND(+$AV67*'[5]II-F Alloc_Factor'!I$30,2)</f>
        <v>4859970.8499999996</v>
      </c>
      <c r="BB67" s="668">
        <f>ROUND(+$AV67*'[5]II-F Alloc_Factor'!J$30,2)</f>
        <v>0</v>
      </c>
      <c r="BC67" s="668">
        <f>ROUND(+$AV67*'[5]II-F Alloc_Factor'!K$30,2)</f>
        <v>4859970.8499999996</v>
      </c>
      <c r="BD67" s="668">
        <f>ROUND(+$AV67*'[5]II-F Alloc_Factor'!L$30,2)</f>
        <v>1313788.5800000001</v>
      </c>
      <c r="BE67" s="668">
        <f>ROUND(+$AV67*'[5]II-F Alloc_Factor'!M$30,2)</f>
        <v>1978807.8600000001</v>
      </c>
      <c r="BF67" s="755"/>
      <c r="BG67" s="674">
        <v>10310355.349999998</v>
      </c>
      <c r="BH67" s="668">
        <f>ROUND(+$BG67*'[5]II-F Alloc_Factor'!E$30,2)</f>
        <v>2033662.8700000001</v>
      </c>
      <c r="BI67" s="668">
        <f>ROUND(+$BG67*'[5]II-F Alloc_Factor'!F$30,2)</f>
        <v>0</v>
      </c>
      <c r="BJ67" s="668">
        <f>ROUND(+$BG67*'[5]II-F Alloc_Factor'!G$30,2)</f>
        <v>0</v>
      </c>
      <c r="BK67" s="668">
        <f>ROUND(+$BG67*'[5]II-F Alloc_Factor'!H$30,2)</f>
        <v>2033662.8700000001</v>
      </c>
      <c r="BL67" s="668">
        <f>ROUND(+$BG67*'[5]II-F Alloc_Factor'!I$30,2)</f>
        <v>4933965.2999999998</v>
      </c>
      <c r="BM67" s="668">
        <f>ROUND(+$BG67*'[5]II-F Alloc_Factor'!J$30,2)</f>
        <v>0</v>
      </c>
      <c r="BN67" s="668">
        <f>ROUND(+$BG67*'[5]II-F Alloc_Factor'!K$30,2)</f>
        <v>4933965.2999999998</v>
      </c>
      <c r="BO67" s="668">
        <f>ROUND(+$BG67*'[5]II-F Alloc_Factor'!L$30,2)</f>
        <v>1333791.3899999999</v>
      </c>
      <c r="BP67" s="668">
        <f>ROUND(+$BG67*'[5]II-F Alloc_Factor'!M$30,2)</f>
        <v>2008935.78</v>
      </c>
      <c r="BQ67" s="755"/>
      <c r="BR67" s="674">
        <v>10474275.139999997</v>
      </c>
      <c r="BS67" s="668">
        <f>ROUND(+$BR67*'[5]II-F Alloc_Factor'!E$30,2)</f>
        <v>2065995.1799999999</v>
      </c>
      <c r="BT67" s="668">
        <f>ROUND(+$BR67*'[5]II-F Alloc_Factor'!F$30,2)</f>
        <v>0</v>
      </c>
      <c r="BU67" s="668">
        <f>ROUND(+$BR67*'[5]II-F Alloc_Factor'!G$30,2)</f>
        <v>0</v>
      </c>
      <c r="BV67" s="668">
        <f>ROUND(+$BR67*'[5]II-F Alloc_Factor'!H$30,2)</f>
        <v>2065995.1799999999</v>
      </c>
      <c r="BW67" s="668">
        <f>ROUND(+$BR67*'[5]II-F Alloc_Factor'!I$30,2)</f>
        <v>5012408.2400000002</v>
      </c>
      <c r="BX67" s="668">
        <f>ROUND(+$BR67*'[5]II-F Alloc_Factor'!J$30,2)</f>
        <v>0</v>
      </c>
      <c r="BY67" s="668">
        <f>ROUND(+$BR67*'[5]II-F Alloc_Factor'!K$30,2)</f>
        <v>5012408.2400000002</v>
      </c>
      <c r="BZ67" s="668">
        <f>ROUND(+$BR67*'[5]II-F Alloc_Factor'!L$30,2)</f>
        <v>1354996.75</v>
      </c>
      <c r="CA67" s="668">
        <f>ROUND(+$BR67*'[5]II-F Alloc_Factor'!M$30,2)</f>
        <v>2040874.97</v>
      </c>
      <c r="CC67" s="674">
        <v>10643067.039999997</v>
      </c>
      <c r="CD67" s="668">
        <f>ROUND(+$CC67*'[5]II-F Alloc_Factor'!E$30,2)</f>
        <v>2099288.4900000002</v>
      </c>
      <c r="CE67" s="668">
        <f>ROUND(+$CC67*'[5]II-F Alloc_Factor'!F$30,2)</f>
        <v>0</v>
      </c>
      <c r="CF67" s="668">
        <f>ROUND(+$CC67*'[5]II-F Alloc_Factor'!G$30,2)</f>
        <v>0</v>
      </c>
      <c r="CG67" s="668">
        <f>ROUND(+$CC67*'[5]II-F Alloc_Factor'!H$30,2)</f>
        <v>2099288.4900000002</v>
      </c>
      <c r="CH67" s="668">
        <f>ROUND(+$CC67*'[5]II-F Alloc_Factor'!I$30,2)</f>
        <v>5093182.7000000002</v>
      </c>
      <c r="CI67" s="668">
        <f>ROUND(+$CC67*'[5]II-F Alloc_Factor'!J$30,2)</f>
        <v>0</v>
      </c>
      <c r="CJ67" s="668">
        <f>ROUND(+$CC67*'[5]II-F Alloc_Factor'!K$30,2)</f>
        <v>5093182.7000000002</v>
      </c>
      <c r="CK67" s="668">
        <f>ROUND(+$CC67*'[5]II-F Alloc_Factor'!L$30,2)</f>
        <v>1376832.3899999999</v>
      </c>
      <c r="CL67" s="668">
        <f>ROUND(+$CC67*'[5]II-F Alloc_Factor'!M$30,2)</f>
        <v>2073763.46</v>
      </c>
      <c r="CN67" s="674">
        <v>10904413.099999998</v>
      </c>
      <c r="CO67" s="668">
        <f>ROUND(+$CN67*'[5]II-F Alloc_Factor'!E$30,2)</f>
        <v>2150837.6099999999</v>
      </c>
      <c r="CP67" s="668">
        <f>ROUND(+$CN67*'[5]II-F Alloc_Factor'!F$30,2)</f>
        <v>0</v>
      </c>
      <c r="CQ67" s="668">
        <f>ROUND(+$CN67*'[5]II-F Alloc_Factor'!G$30,2)</f>
        <v>0</v>
      </c>
      <c r="CR67" s="668">
        <f>ROUND(+$CN67*'[5]II-F Alloc_Factor'!H$30,2)</f>
        <v>2150837.6099999999</v>
      </c>
      <c r="CS67" s="668">
        <f>ROUND(+$CN67*'[5]II-F Alloc_Factor'!I$30,2)</f>
        <v>5218248.4500000002</v>
      </c>
      <c r="CT67" s="668">
        <f>ROUND(+$CN67*'[5]II-F Alloc_Factor'!J$30,2)</f>
        <v>0</v>
      </c>
      <c r="CU67" s="668">
        <f>ROUND(+$CN67*'[5]II-F Alloc_Factor'!K$30,2)</f>
        <v>5218248.4500000002</v>
      </c>
      <c r="CV67" s="668">
        <f>ROUND(+$CN67*'[5]II-F Alloc_Factor'!L$30,2)</f>
        <v>1410641.23</v>
      </c>
      <c r="CW67" s="668">
        <f>ROUND(+$CN67*'[5]II-F Alloc_Factor'!M$30,2)</f>
        <v>2124685.8100000001</v>
      </c>
      <c r="CY67" s="674">
        <v>10467801.509999998</v>
      </c>
      <c r="CZ67" s="668">
        <f>ROUND(+$CY67*'[5]II-F Alloc_Factor'!E$30,2)</f>
        <v>2064718.29</v>
      </c>
      <c r="DA67" s="668">
        <f>ROUND(+$CY67*'[5]II-F Alloc_Factor'!F$30,2)</f>
        <v>0</v>
      </c>
      <c r="DB67" s="668">
        <f>ROUND(+$CY67*'[5]II-F Alloc_Factor'!G$30,2)</f>
        <v>0</v>
      </c>
      <c r="DC67" s="668">
        <f>ROUND(+$CY67*'[5]II-F Alloc_Factor'!H$30,2)</f>
        <v>2064718.29</v>
      </c>
      <c r="DD67" s="668">
        <f>ROUND(+$CY67*'[5]II-F Alloc_Factor'!I$30,2)</f>
        <v>5009310.3200000003</v>
      </c>
      <c r="DE67" s="668">
        <f>ROUND(+$CY67*'[5]II-F Alloc_Factor'!J$30,2)</f>
        <v>0</v>
      </c>
      <c r="DF67" s="668">
        <f>ROUND(+$CY67*'[5]II-F Alloc_Factor'!K$30,2)</f>
        <v>5009310.3200000003</v>
      </c>
      <c r="DG67" s="668">
        <f>ROUND(+$CY67*'[5]II-F Alloc_Factor'!L$30,2)</f>
        <v>1354159.3000000001</v>
      </c>
      <c r="DH67" s="668">
        <f>ROUND(+$CY67*'[5]II-F Alloc_Factor'!M$30,2)</f>
        <v>2039613.6000000001</v>
      </c>
      <c r="DJ67" s="674">
        <v>11038275.469999999</v>
      </c>
      <c r="DK67" s="668">
        <f>ROUND(+$DJ67*'[5]II-F Alloc_Factor'!E$30,2)</f>
        <v>2177241.25</v>
      </c>
      <c r="DL67" s="668">
        <f>ROUND(+$DJ67*'[5]II-F Alloc_Factor'!F$30,2)</f>
        <v>0</v>
      </c>
      <c r="DM67" s="668">
        <f>ROUND(+$DJ67*'[5]II-F Alloc_Factor'!G$30,2)</f>
        <v>0</v>
      </c>
      <c r="DN67" s="668">
        <f>ROUND(+$DJ67*'[5]II-F Alloc_Factor'!H$30,2)</f>
        <v>2177241.25</v>
      </c>
      <c r="DO67" s="668">
        <f>ROUND(+$DJ67*'[5]II-F Alloc_Factor'!I$30,2)</f>
        <v>5282307.5700000003</v>
      </c>
      <c r="DP67" s="668">
        <f>ROUND(+$DJ67*'[5]II-F Alloc_Factor'!J$30,2)</f>
        <v>0</v>
      </c>
      <c r="DQ67" s="668">
        <f>ROUND(+$DJ67*'[5]II-F Alloc_Factor'!K$30,2)</f>
        <v>5282307.5700000003</v>
      </c>
      <c r="DR67" s="668">
        <f>ROUND(+$DJ67*'[5]II-F Alloc_Factor'!L$30,2)</f>
        <v>1427958.23</v>
      </c>
      <c r="DS67" s="668">
        <f>ROUND(+$DJ67*'[5]II-F Alloc_Factor'!M$30,2)</f>
        <v>2150768.4100000001</v>
      </c>
      <c r="DU67" s="674">
        <v>10881673.799999999</v>
      </c>
      <c r="DV67" s="668">
        <f>ROUND(+$DU67*'[5]II-F Alloc_Factor'!E$30,2)</f>
        <v>2146352.4100000001</v>
      </c>
      <c r="DW67" s="668">
        <f>ROUND(+$DU67*'[5]II-F Alloc_Factor'!F$30,2)</f>
        <v>0</v>
      </c>
      <c r="DX67" s="668">
        <f>ROUND(+$DU67*'[5]II-F Alloc_Factor'!G$30,2)</f>
        <v>0</v>
      </c>
      <c r="DY67" s="668">
        <f t="shared" si="20"/>
        <v>2146352.4100000001</v>
      </c>
      <c r="DZ67" s="668">
        <f>ROUND(+$DU67*'[5]II-F Alloc_Factor'!I$30,2)</f>
        <v>5207366.6799999997</v>
      </c>
      <c r="EA67" s="668">
        <f>ROUND(+$DU67*'[5]II-F Alloc_Factor'!J$30,2)</f>
        <v>0</v>
      </c>
      <c r="EB67" s="668">
        <f t="shared" si="21"/>
        <v>5207366.6799999997</v>
      </c>
      <c r="EC67" s="668">
        <f>ROUND(+$DU67*'[5]II-F Alloc_Factor'!L$30,2)</f>
        <v>1407699.5800000001</v>
      </c>
      <c r="ED67" s="668">
        <f>ROUND(+$DU67*'[5]II-F Alloc_Factor'!M$30,2)-0.01</f>
        <v>2120255.1300000004</v>
      </c>
      <c r="EE67" s="754">
        <f>+'II-E-3.5'!I83-'II-E-3.5a'!DU67</f>
        <v>0</v>
      </c>
      <c r="EF67" s="754">
        <f t="shared" si="19"/>
        <v>0</v>
      </c>
      <c r="EH67" s="754"/>
    </row>
    <row r="68" spans="1:138" s="423" customFormat="1" ht="12.75">
      <c r="A68" s="524">
        <f t="shared" si="6"/>
        <v>56</v>
      </c>
      <c r="B68" s="184" t="s">
        <v>1207</v>
      </c>
      <c r="C68" s="424" t="s">
        <v>407</v>
      </c>
      <c r="D68" s="674">
        <v>30948230.129999995</v>
      </c>
      <c r="E68" s="668">
        <f>ROUND(+$D68*'[5]II-F Alloc_Factor'!E$27,2)</f>
        <v>8883294.0500000007</v>
      </c>
      <c r="F68" s="668">
        <f>ROUND(+$D68*'[5]II-F Alloc_Factor'!F$27,2)</f>
        <v>0</v>
      </c>
      <c r="G68" s="668">
        <f>ROUND(+$D68*'[5]II-F Alloc_Factor'!G$27,2)</f>
        <v>0</v>
      </c>
      <c r="H68" s="668">
        <f>ROUND(+$D68*'[5]II-F Alloc_Factor'!H$27,2)</f>
        <v>8883294.0500000007</v>
      </c>
      <c r="I68" s="668">
        <f>ROUND(+$D68*'[5]II-F Alloc_Factor'!I$27,2)</f>
        <v>15322337.9</v>
      </c>
      <c r="J68" s="668">
        <f>ROUND(+$D68*'[5]II-F Alloc_Factor'!J$27,2)</f>
        <v>0</v>
      </c>
      <c r="K68" s="668">
        <f>ROUND(+$D68*'[5]II-F Alloc_Factor'!K$27,2)</f>
        <v>15322337.9</v>
      </c>
      <c r="L68" s="668">
        <f>ROUND(+$D68*'[5]II-F Alloc_Factor'!L$27,2)</f>
        <v>5075430.4400000004</v>
      </c>
      <c r="M68" s="668">
        <f>ROUND(+$D68*'[5]II-F Alloc_Factor'!M$27,2)</f>
        <v>1667167.74</v>
      </c>
      <c r="N68" s="669"/>
      <c r="O68" s="674">
        <v>30462784.659999996</v>
      </c>
      <c r="P68" s="668">
        <f>ROUND(+$O68*'[5]II-F Alloc_Factor'!E$27,2)</f>
        <v>8743953.1300000008</v>
      </c>
      <c r="Q68" s="668">
        <f>ROUND(+$O68*'[5]II-F Alloc_Factor'!F$27,2)</f>
        <v>0</v>
      </c>
      <c r="R68" s="668">
        <f>ROUND(+$O68*'[5]II-F Alloc_Factor'!G$27,2)</f>
        <v>0</v>
      </c>
      <c r="S68" s="668">
        <f>ROUND(+$O68*'[5]II-F Alloc_Factor'!H$27,2)</f>
        <v>8743953.1300000008</v>
      </c>
      <c r="T68" s="668">
        <f>ROUND(+$O68*'[5]II-F Alloc_Factor'!I$27,2)</f>
        <v>15081995.9</v>
      </c>
      <c r="U68" s="668">
        <f>ROUND(+$O68*'[5]II-F Alloc_Factor'!J$27,2)</f>
        <v>0</v>
      </c>
      <c r="V68" s="668">
        <f>ROUND(+$O68*'[5]II-F Alloc_Factor'!K$27,2)</f>
        <v>15081995.9</v>
      </c>
      <c r="W68" s="668">
        <f>ROUND(+$O68*'[5]II-F Alloc_Factor'!L$27,2)</f>
        <v>4995818.6299999999</v>
      </c>
      <c r="X68" s="668">
        <f>ROUND(+$O68*'[5]II-F Alloc_Factor'!M$27,2)</f>
        <v>1641017</v>
      </c>
      <c r="Y68" s="673"/>
      <c r="Z68" s="674">
        <v>29977339.189999998</v>
      </c>
      <c r="AA68" s="668">
        <v>0</v>
      </c>
      <c r="AB68" s="668">
        <v>0</v>
      </c>
      <c r="AC68" s="668">
        <v>0</v>
      </c>
      <c r="AD68" s="668">
        <f>ROUND(+$Z68*'[5]II-F Alloc_Factor'!H$27,2)</f>
        <v>8604612.2100000009</v>
      </c>
      <c r="AE68" s="668">
        <v>0</v>
      </c>
      <c r="AF68" s="668">
        <v>0</v>
      </c>
      <c r="AG68" s="668">
        <f>ROUND(+$Z68*'[5]II-F Alloc_Factor'!K$27,2)</f>
        <v>14841653.9</v>
      </c>
      <c r="AH68" s="668">
        <f>ROUND(+$Z68*'[5]II-F Alloc_Factor'!L$27,2)</f>
        <v>4916206.8200000003</v>
      </c>
      <c r="AI68" s="668">
        <f>ROUND(+$Z68*'[5]II-F Alloc_Factor'!M$27,2)</f>
        <v>1614866.27</v>
      </c>
      <c r="AK68" s="674">
        <v>35672893.719999999</v>
      </c>
      <c r="AL68" s="668">
        <f>ROUND(+$AK68*'[5]II-F Alloc_Factor'!E$27,2)</f>
        <v>10239448.359999999</v>
      </c>
      <c r="AM68" s="668">
        <f>ROUND(+$AK68*'[5]II-F Alloc_Factor'!F$27,2)</f>
        <v>0</v>
      </c>
      <c r="AN68" s="668">
        <f>ROUND(+$AK68*'[5]II-F Alloc_Factor'!G$27,2)</f>
        <v>0</v>
      </c>
      <c r="AO68" s="668">
        <f t="shared" si="22"/>
        <v>10239448.359999999</v>
      </c>
      <c r="AP68" s="668">
        <f>ROUND(+$AK68*'[5]II-F Alloc_Factor'!I$27,2)</f>
        <v>17661498.870000001</v>
      </c>
      <c r="AQ68" s="668">
        <f>ROUND(+$AK68*'[5]II-F Alloc_Factor'!J$27,2)</f>
        <v>0</v>
      </c>
      <c r="AR68" s="668">
        <f t="shared" si="23"/>
        <v>17661498.870000001</v>
      </c>
      <c r="AS68" s="668">
        <f>ROUND(+$AK68*'[5]II-F Alloc_Factor'!L$27,2)</f>
        <v>5850263.1699999999</v>
      </c>
      <c r="AT68" s="668">
        <f>ROUND(+$AK68*'[5]II-F Alloc_Factor'!M$27,2)</f>
        <v>1921683.3200000001</v>
      </c>
      <c r="AU68" s="755"/>
      <c r="AV68" s="674">
        <v>36732698.25</v>
      </c>
      <c r="AW68" s="668">
        <f>ROUND(+$AV68*'[5]II-F Alloc_Factor'!E$27,2)</f>
        <v>10543651.710000001</v>
      </c>
      <c r="AX68" s="668">
        <f>ROUND(+$AV68*'[5]II-F Alloc_Factor'!F$27,2)</f>
        <v>0</v>
      </c>
      <c r="AY68" s="668">
        <f>ROUND(+$AV68*'[5]II-F Alloc_Factor'!G$27,2)</f>
        <v>0</v>
      </c>
      <c r="AZ68" s="668">
        <f>ROUND(+$AV68*'[5]II-F Alloc_Factor'!H$27,2)</f>
        <v>10543651.710000001</v>
      </c>
      <c r="BA68" s="668">
        <f>ROUND(+$AV68*'[5]II-F Alloc_Factor'!I$27,2)</f>
        <v>18186203.609999999</v>
      </c>
      <c r="BB68" s="668">
        <f>ROUND(+$AV68*'[5]II-F Alloc_Factor'!J$27,2)</f>
        <v>0</v>
      </c>
      <c r="BC68" s="668">
        <f>ROUND(+$AV68*'[5]II-F Alloc_Factor'!K$27,2)</f>
        <v>18186203.609999999</v>
      </c>
      <c r="BD68" s="668">
        <f>ROUND(+$AV68*'[5]II-F Alloc_Factor'!L$27,2)</f>
        <v>6024068.4000000004</v>
      </c>
      <c r="BE68" s="668">
        <f>ROUND(+$AV68*'[5]II-F Alloc_Factor'!M$27,2)</f>
        <v>1978774.53</v>
      </c>
      <c r="BF68" s="755"/>
      <c r="BG68" s="674">
        <v>37792502.789999999</v>
      </c>
      <c r="BH68" s="668">
        <f>ROUND(+$BG68*'[5]II-F Alloc_Factor'!E$27,2)</f>
        <v>10847855.07</v>
      </c>
      <c r="BI68" s="668">
        <f>ROUND(+$BG68*'[5]II-F Alloc_Factor'!F$27,2)</f>
        <v>0</v>
      </c>
      <c r="BJ68" s="668">
        <f>ROUND(+$BG68*'[5]II-F Alloc_Factor'!G$27,2)</f>
        <v>0</v>
      </c>
      <c r="BK68" s="668">
        <f>ROUND(+$BG68*'[5]II-F Alloc_Factor'!H$27,2)</f>
        <v>10847855.07</v>
      </c>
      <c r="BL68" s="668">
        <f>ROUND(+$BG68*'[5]II-F Alloc_Factor'!I$27,2)</f>
        <v>18710908.359999999</v>
      </c>
      <c r="BM68" s="668">
        <f>ROUND(+$BG68*'[5]II-F Alloc_Factor'!J$27,2)</f>
        <v>0</v>
      </c>
      <c r="BN68" s="668">
        <f>ROUND(+$BG68*'[5]II-F Alloc_Factor'!K$27,2)</f>
        <v>18710908.359999999</v>
      </c>
      <c r="BO68" s="668">
        <f>ROUND(+$BG68*'[5]II-F Alloc_Factor'!L$27,2)</f>
        <v>6197873.6200000001</v>
      </c>
      <c r="BP68" s="668">
        <f>ROUND(+$BG68*'[5]II-F Alloc_Factor'!M$27,2)</f>
        <v>2035865.74</v>
      </c>
      <c r="BQ68" s="755"/>
      <c r="BR68" s="674">
        <v>38852307.32</v>
      </c>
      <c r="BS68" s="668">
        <f>ROUND(+$BR68*'[5]II-F Alloc_Factor'!E$27,2)</f>
        <v>11152058.42</v>
      </c>
      <c r="BT68" s="668">
        <f>ROUND(+$BR68*'[5]II-F Alloc_Factor'!F$27,2)</f>
        <v>0</v>
      </c>
      <c r="BU68" s="668">
        <f>ROUND(+$BR68*'[5]II-F Alloc_Factor'!G$27,2)</f>
        <v>0</v>
      </c>
      <c r="BV68" s="668">
        <f>ROUND(+$BR68*'[5]II-F Alloc_Factor'!H$27,2)</f>
        <v>11152058.42</v>
      </c>
      <c r="BW68" s="668">
        <f>ROUND(+$BR68*'[5]II-F Alloc_Factor'!I$27,2)</f>
        <v>19235613.100000001</v>
      </c>
      <c r="BX68" s="668">
        <f>ROUND(+$BR68*'[5]II-F Alloc_Factor'!J$27,2)</f>
        <v>0</v>
      </c>
      <c r="BY68" s="668">
        <f>ROUND(+$BR68*'[5]II-F Alloc_Factor'!K$27,2)</f>
        <v>19235613.100000001</v>
      </c>
      <c r="BZ68" s="668">
        <f>ROUND(+$BR68*'[5]II-F Alloc_Factor'!L$27,2)</f>
        <v>6371678.8499999996</v>
      </c>
      <c r="CA68" s="668">
        <f>ROUND(+$BR68*'[5]II-F Alloc_Factor'!M$27,2)</f>
        <v>2092956.95</v>
      </c>
      <c r="CC68" s="674">
        <v>39912111.850000001</v>
      </c>
      <c r="CD68" s="668">
        <f>ROUND(+$CC68*'[5]II-F Alloc_Factor'!E$27,2)</f>
        <v>11456261.76</v>
      </c>
      <c r="CE68" s="668">
        <f>ROUND(+$CC68*'[5]II-F Alloc_Factor'!F$27,2)</f>
        <v>0</v>
      </c>
      <c r="CF68" s="668">
        <f>ROUND(+$CC68*'[5]II-F Alloc_Factor'!G$27,2)</f>
        <v>0</v>
      </c>
      <c r="CG68" s="668">
        <f>ROUND(+$CC68*'[5]II-F Alloc_Factor'!H$27,2)</f>
        <v>11456261.76</v>
      </c>
      <c r="CH68" s="668">
        <f>ROUND(+$CC68*'[5]II-F Alloc_Factor'!I$27,2)</f>
        <v>19760317.84</v>
      </c>
      <c r="CI68" s="668">
        <f>ROUND(+$CC68*'[5]II-F Alloc_Factor'!J$27,2)</f>
        <v>0</v>
      </c>
      <c r="CJ68" s="668">
        <f>ROUND(+$CC68*'[5]II-F Alloc_Factor'!K$27,2)</f>
        <v>19760317.84</v>
      </c>
      <c r="CK68" s="668">
        <f>ROUND(+$CC68*'[5]II-F Alloc_Factor'!L$27,2)</f>
        <v>6545484.0800000001</v>
      </c>
      <c r="CL68" s="668">
        <f>ROUND(+$CC68*'[5]II-F Alloc_Factor'!M$27,2)</f>
        <v>2150048.1600000001</v>
      </c>
      <c r="CN68" s="674">
        <v>41937916.380000003</v>
      </c>
      <c r="CO68" s="668">
        <f>ROUND(+$CN68*'[5]II-F Alloc_Factor'!E$27,2)</f>
        <v>12037743.07</v>
      </c>
      <c r="CP68" s="668">
        <f>ROUND(+$CN68*'[5]II-F Alloc_Factor'!F$27,2)</f>
        <v>0</v>
      </c>
      <c r="CQ68" s="668">
        <f>ROUND(+$CN68*'[5]II-F Alloc_Factor'!G$27,2)</f>
        <v>0</v>
      </c>
      <c r="CR68" s="668">
        <f>ROUND(+$CN68*'[5]II-F Alloc_Factor'!H$27,2)</f>
        <v>12037743.07</v>
      </c>
      <c r="CS68" s="668">
        <f>ROUND(+$CN68*'[5]II-F Alloc_Factor'!I$27,2)</f>
        <v>20763285.100000001</v>
      </c>
      <c r="CT68" s="668">
        <f>ROUND(+$CN68*'[5]II-F Alloc_Factor'!J$27,2)</f>
        <v>0</v>
      </c>
      <c r="CU68" s="668">
        <f>ROUND(+$CN68*'[5]II-F Alloc_Factor'!K$27,2)</f>
        <v>20763285.100000001</v>
      </c>
      <c r="CV68" s="668">
        <f>ROUND(+$CN68*'[5]II-F Alloc_Factor'!L$27,2)</f>
        <v>6877710.8300000001</v>
      </c>
      <c r="CW68" s="668">
        <f>ROUND(+$CN68*'[5]II-F Alloc_Factor'!M$27,2)</f>
        <v>2259177.3799999999</v>
      </c>
      <c r="CY68" s="674">
        <v>42997720.910000004</v>
      </c>
      <c r="CZ68" s="668">
        <f>ROUND(+$CY68*'[5]II-F Alloc_Factor'!E$27,2)</f>
        <v>12341946.42</v>
      </c>
      <c r="DA68" s="668">
        <f>ROUND(+$CY68*'[5]II-F Alloc_Factor'!F$27,2)</f>
        <v>0</v>
      </c>
      <c r="DB68" s="668">
        <f>ROUND(+$CY68*'[5]II-F Alloc_Factor'!G$27,2)</f>
        <v>0</v>
      </c>
      <c r="DC68" s="668">
        <f>ROUND(+$CY68*'[5]II-F Alloc_Factor'!H$27,2)</f>
        <v>12341946.42</v>
      </c>
      <c r="DD68" s="668">
        <f>ROUND(+$CY68*'[5]II-F Alloc_Factor'!I$27,2)</f>
        <v>21287989.84</v>
      </c>
      <c r="DE68" s="668">
        <f>ROUND(+$CY68*'[5]II-F Alloc_Factor'!J$27,2)</f>
        <v>0</v>
      </c>
      <c r="DF68" s="668">
        <f>ROUND(+$CY68*'[5]II-F Alloc_Factor'!K$27,2)</f>
        <v>21287989.84</v>
      </c>
      <c r="DG68" s="668">
        <f>ROUND(+$CY68*'[5]II-F Alloc_Factor'!L$27,2)</f>
        <v>7051516.0599999996</v>
      </c>
      <c r="DH68" s="668">
        <f>ROUND(+$CY68*'[5]II-F Alloc_Factor'!M$27,2)</f>
        <v>2316268.5899999999</v>
      </c>
      <c r="DJ68" s="674">
        <v>44057525.440000005</v>
      </c>
      <c r="DK68" s="668">
        <f>ROUND(+$DJ68*'[5]II-F Alloc_Factor'!E$27,2)</f>
        <v>12646149.77</v>
      </c>
      <c r="DL68" s="668">
        <f>ROUND(+$DJ68*'[5]II-F Alloc_Factor'!F$27,2)</f>
        <v>0</v>
      </c>
      <c r="DM68" s="668">
        <f>ROUND(+$DJ68*'[5]II-F Alloc_Factor'!G$27,2)</f>
        <v>0</v>
      </c>
      <c r="DN68" s="668">
        <f>ROUND(+$DJ68*'[5]II-F Alloc_Factor'!H$27,2)</f>
        <v>12646149.77</v>
      </c>
      <c r="DO68" s="668">
        <f>ROUND(+$DJ68*'[5]II-F Alloc_Factor'!I$27,2)</f>
        <v>21812694.59</v>
      </c>
      <c r="DP68" s="668">
        <f>ROUND(+$DJ68*'[5]II-F Alloc_Factor'!J$27,2)</f>
        <v>0</v>
      </c>
      <c r="DQ68" s="668">
        <f>ROUND(+$DJ68*'[5]II-F Alloc_Factor'!K$27,2)</f>
        <v>21812694.59</v>
      </c>
      <c r="DR68" s="668">
        <f>ROUND(+$DJ68*'[5]II-F Alloc_Factor'!L$27,2)</f>
        <v>7225321.29</v>
      </c>
      <c r="DS68" s="668">
        <f>ROUND(+$DJ68*'[5]II-F Alloc_Factor'!M$27,2)</f>
        <v>2373359.7999999998</v>
      </c>
      <c r="DU68" s="674">
        <v>45117330.000000007</v>
      </c>
      <c r="DV68" s="668">
        <f>ROUND(+$DU68*'[5]II-F Alloc_Factor'!E$27,2)</f>
        <v>12950353.130000001</v>
      </c>
      <c r="DW68" s="668">
        <f>ROUND(+$DU68*'[5]II-F Alloc_Factor'!F$27,2)</f>
        <v>0</v>
      </c>
      <c r="DX68" s="668">
        <f>ROUND(+$DU68*'[5]II-F Alloc_Factor'!G$27,2)</f>
        <v>0</v>
      </c>
      <c r="DY68" s="668">
        <f t="shared" si="20"/>
        <v>12950353.130000001</v>
      </c>
      <c r="DZ68" s="668">
        <f>ROUND(+$DU68*'[5]II-F Alloc_Factor'!I$27,2)</f>
        <v>22337399.34</v>
      </c>
      <c r="EA68" s="668">
        <f>ROUND(+$DU68*'[5]II-F Alloc_Factor'!J$27,2)</f>
        <v>0</v>
      </c>
      <c r="EB68" s="668">
        <f t="shared" si="21"/>
        <v>22337399.34</v>
      </c>
      <c r="EC68" s="668">
        <f>ROUND(+$DU68*'[5]II-F Alloc_Factor'!L$27,2)</f>
        <v>7399126.5199999996</v>
      </c>
      <c r="ED68" s="668">
        <f>ROUND(+$DU68*'[5]II-F Alloc_Factor'!M$27,2)</f>
        <v>2430451.0099999998</v>
      </c>
      <c r="EE68" s="754">
        <f>+'II-E-3.5'!I84-'II-E-3.5a'!DU68</f>
        <v>0</v>
      </c>
      <c r="EF68" s="754">
        <f t="shared" si="19"/>
        <v>0</v>
      </c>
      <c r="EH68" s="754"/>
    </row>
    <row r="69" spans="1:138" s="423" customFormat="1" ht="12.75">
      <c r="A69" s="524">
        <f t="shared" si="6"/>
        <v>57</v>
      </c>
      <c r="B69" s="184" t="s">
        <v>386</v>
      </c>
      <c r="C69" s="420" t="s">
        <v>840</v>
      </c>
      <c r="D69" s="674">
        <v>16738.079999999998</v>
      </c>
      <c r="E69" s="668">
        <f>ROUND(+$D69*'[5]II-F Alloc_Factor'!E$42,2)</f>
        <v>3899.0100000000002</v>
      </c>
      <c r="F69" s="668">
        <f>ROUND(+$D69*'[5]II-F Alloc_Factor'!F$42,2)</f>
        <v>0</v>
      </c>
      <c r="G69" s="668">
        <f>ROUND(+$D69*'[5]II-F Alloc_Factor'!G$42,2)</f>
        <v>0</v>
      </c>
      <c r="H69" s="668">
        <f>ROUND(+$D69*'[5]II-F Alloc_Factor'!H$42,2)</f>
        <v>3899.0100000000002</v>
      </c>
      <c r="I69" s="668">
        <f>ROUND(+$D69*'[5]II-F Alloc_Factor'!I$42,2)</f>
        <v>11918.24</v>
      </c>
      <c r="J69" s="668">
        <f>ROUND(+$D69*'[5]II-F Alloc_Factor'!J$42,2)</f>
        <v>0</v>
      </c>
      <c r="K69" s="668">
        <f>ROUND(+$D69*'[5]II-F Alloc_Factor'!K$42,2)</f>
        <v>11918.24</v>
      </c>
      <c r="L69" s="668">
        <f>ROUND(+$D69*'[5]II-F Alloc_Factor'!L$42,2)</f>
        <v>610.19000000000005</v>
      </c>
      <c r="M69" s="668">
        <f>ROUND(+$D69*'[5]II-F Alloc_Factor'!M$42,2)</f>
        <v>310.63999999999999</v>
      </c>
      <c r="N69" s="669"/>
      <c r="O69" s="674">
        <v>16230.869999999999</v>
      </c>
      <c r="P69" s="668">
        <f>ROUND(+$O69*'[5]II-F Alloc_Factor'!E$42,2)</f>
        <v>3780.8600000000001</v>
      </c>
      <c r="Q69" s="668">
        <f>ROUND(+$O69*'[5]II-F Alloc_Factor'!F$42,2)</f>
        <v>0</v>
      </c>
      <c r="R69" s="668">
        <f>ROUND(+$O69*'[5]II-F Alloc_Factor'!G$42,2)</f>
        <v>0</v>
      </c>
      <c r="S69" s="668">
        <f>ROUND(+$O69*'[5]II-F Alloc_Factor'!H$42,2)</f>
        <v>3780.8600000000001</v>
      </c>
      <c r="T69" s="668">
        <f>ROUND(+$O69*'[5]II-F Alloc_Factor'!I$42,2)</f>
        <v>11557.08</v>
      </c>
      <c r="U69" s="668">
        <f>ROUND(+$O69*'[5]II-F Alloc_Factor'!J$42,2)</f>
        <v>0</v>
      </c>
      <c r="V69" s="668">
        <f>ROUND(+$O69*'[5]II-F Alloc_Factor'!K$42,2)</f>
        <v>11557.08</v>
      </c>
      <c r="W69" s="668">
        <f>ROUND(+$O69*'[5]II-F Alloc_Factor'!L$42,2)</f>
        <v>591.70000000000005</v>
      </c>
      <c r="X69" s="668">
        <f>ROUND(+$O69*'[5]II-F Alloc_Factor'!M$42,2)</f>
        <v>301.23000000000002</v>
      </c>
      <c r="Y69" s="673"/>
      <c r="Z69" s="674">
        <v>15723.66</v>
      </c>
      <c r="AA69" s="668">
        <f>ROUND(+$Z69*'[5]II-F Alloc_Factor'!E$26,2)</f>
        <v>3398.8699999999999</v>
      </c>
      <c r="AB69" s="668">
        <f>ROUND(+$Z69*'[5]II-F Alloc_Factor'!F$26,2)</f>
        <v>0</v>
      </c>
      <c r="AC69" s="668">
        <f>ROUND(+$Z69*'[5]II-F Alloc_Factor'!G$26,2)</f>
        <v>0</v>
      </c>
      <c r="AD69" s="668">
        <f>ROUND(+$Z69*'[5]II-F Alloc_Factor'!H$26,2)</f>
        <v>3398.8699999999999</v>
      </c>
      <c r="AE69" s="668">
        <f>ROUND(+$Z69*'[5]II-F Alloc_Factor'!I$26,2)</f>
        <v>12324.790000000001</v>
      </c>
      <c r="AF69" s="668">
        <f>ROUND(+$Z69*'[5]II-F Alloc_Factor'!J$26,2)</f>
        <v>0</v>
      </c>
      <c r="AG69" s="668">
        <f>ROUND(+$Z69*'[5]II-F Alloc_Factor'!K$26,2)</f>
        <v>12324.790000000001</v>
      </c>
      <c r="AH69" s="668">
        <f>ROUND(+$Z69*'[5]II-F Alloc_Factor'!L$26,2)</f>
        <v>0</v>
      </c>
      <c r="AI69" s="668">
        <f>ROUND(+$Z69*'[5]II-F Alloc_Factor'!M$26,2)</f>
        <v>0</v>
      </c>
      <c r="AK69" s="674">
        <v>15216.450000000001</v>
      </c>
      <c r="AL69" s="668">
        <f>ROUND(+$AK69*'[5]II-F Alloc_Factor'!E$42,2)</f>
        <v>3544.5599999999999</v>
      </c>
      <c r="AM69" s="668">
        <f>ROUND(+$AK69*'[5]II-F Alloc_Factor'!F$42,2)</f>
        <v>0</v>
      </c>
      <c r="AN69" s="668">
        <f>ROUND(+$AK69*'[5]II-F Alloc_Factor'!G$42,2)</f>
        <v>0</v>
      </c>
      <c r="AO69" s="668">
        <f t="shared" si="22"/>
        <v>3544.5599999999999</v>
      </c>
      <c r="AP69" s="668">
        <f>ROUND(+$AK69*'[5]II-F Alloc_Factor'!I$42,2)</f>
        <v>10834.77</v>
      </c>
      <c r="AQ69" s="668">
        <f>ROUND(+$AK69*'[5]II-F Alloc_Factor'!J$42,2)</f>
        <v>0</v>
      </c>
      <c r="AR69" s="668">
        <f t="shared" si="23"/>
        <v>10834.77</v>
      </c>
      <c r="AS69" s="668">
        <f>ROUND(+$AK69*'[5]II-F Alloc_Factor'!L$42,2)</f>
        <v>554.72000000000003</v>
      </c>
      <c r="AT69" s="668">
        <f>ROUND(+$AK69*'[5]II-F Alloc_Factor'!M$42,2)</f>
        <v>282.39999999999998</v>
      </c>
      <c r="AU69" s="755"/>
      <c r="AV69" s="674">
        <v>14709.240000000002</v>
      </c>
      <c r="AW69" s="668">
        <f>ROUND(+$AV69*'[5]II-F Alloc_Factor'!E$42,2)</f>
        <v>3426.4099999999999</v>
      </c>
      <c r="AX69" s="668">
        <f>ROUND(+$AV69*'[5]II-F Alloc_Factor'!F$42,2)</f>
        <v>0</v>
      </c>
      <c r="AY69" s="668">
        <f>ROUND(+$AV69*'[5]II-F Alloc_Factor'!G$42,2)</f>
        <v>0</v>
      </c>
      <c r="AZ69" s="668">
        <f>ROUND(+$AV69*'[5]II-F Alloc_Factor'!H$42,2)</f>
        <v>3426.4099999999999</v>
      </c>
      <c r="BA69" s="668">
        <f>ROUND(+$AV69*'[5]II-F Alloc_Factor'!I$42,2)</f>
        <v>10473.620000000001</v>
      </c>
      <c r="BB69" s="668">
        <f>ROUND(+$AV69*'[5]II-F Alloc_Factor'!J$42,2)</f>
        <v>0</v>
      </c>
      <c r="BC69" s="668">
        <f>ROUND(+$AV69*'[5]II-F Alloc_Factor'!K$42,2)</f>
        <v>10473.620000000001</v>
      </c>
      <c r="BD69" s="668">
        <f>ROUND(+$AV69*'[5]II-F Alloc_Factor'!L$42,2)</f>
        <v>536.23000000000002</v>
      </c>
      <c r="BE69" s="668">
        <f>ROUND(+$AV69*'[5]II-F Alloc_Factor'!M$42,2)</f>
        <v>272.99000000000001</v>
      </c>
      <c r="BF69" s="755"/>
      <c r="BG69" s="674">
        <v>14202.030000000003</v>
      </c>
      <c r="BH69" s="668">
        <f>ROUND(+$BG69*'[5]II-F Alloc_Factor'!E$42,2)</f>
        <v>3308.25</v>
      </c>
      <c r="BI69" s="668">
        <f>ROUND(+$BG69*'[5]II-F Alloc_Factor'!F$42,2)</f>
        <v>0</v>
      </c>
      <c r="BJ69" s="668">
        <f>ROUND(+$BG69*'[5]II-F Alloc_Factor'!G$42,2)</f>
        <v>0</v>
      </c>
      <c r="BK69" s="668">
        <f>ROUND(+$BG69*'[5]II-F Alloc_Factor'!H$42,2)</f>
        <v>3308.25</v>
      </c>
      <c r="BL69" s="668">
        <f>ROUND(+$BG69*'[5]II-F Alloc_Factor'!I$42,2)</f>
        <v>10112.459999999999</v>
      </c>
      <c r="BM69" s="668">
        <f>ROUND(+$BG69*'[5]II-F Alloc_Factor'!J$42,2)</f>
        <v>0</v>
      </c>
      <c r="BN69" s="668">
        <f>ROUND(+$BG69*'[5]II-F Alloc_Factor'!K$42,2)</f>
        <v>10112.459999999999</v>
      </c>
      <c r="BO69" s="668">
        <f>ROUND(+$BG69*'[5]II-F Alloc_Factor'!L$42,2)</f>
        <v>517.74000000000001</v>
      </c>
      <c r="BP69" s="668">
        <f>ROUND(+$BG69*'[5]II-F Alloc_Factor'!M$42,2)</f>
        <v>263.56999999999999</v>
      </c>
      <c r="BQ69" s="755"/>
      <c r="BR69" s="674">
        <v>13694.820000000003</v>
      </c>
      <c r="BS69" s="668">
        <f>ROUND(+$BR69*'[5]II-F Alloc_Factor'!E$42,2)</f>
        <v>3190.0999999999999</v>
      </c>
      <c r="BT69" s="668">
        <f>ROUND(+$BR69*'[5]II-F Alloc_Factor'!F$42,2)</f>
        <v>0</v>
      </c>
      <c r="BU69" s="668">
        <f>ROUND(+$BR69*'[5]II-F Alloc_Factor'!G$42,2)</f>
        <v>0</v>
      </c>
      <c r="BV69" s="668">
        <f>ROUND(+$BR69*'[5]II-F Alloc_Factor'!H$42,2)</f>
        <v>3190.0999999999999</v>
      </c>
      <c r="BW69" s="668">
        <f>ROUND(+$BR69*'[5]II-F Alloc_Factor'!I$42,2)</f>
        <v>9751.3099999999995</v>
      </c>
      <c r="BX69" s="668">
        <f>ROUND(+$BR69*'[5]II-F Alloc_Factor'!J$42,2)</f>
        <v>0</v>
      </c>
      <c r="BY69" s="668">
        <f>ROUND(+$BR69*'[5]II-F Alloc_Factor'!K$42,2)</f>
        <v>9751.3099999999995</v>
      </c>
      <c r="BZ69" s="668">
        <f>ROUND(+$BR69*'[5]II-F Alloc_Factor'!L$42,2)</f>
        <v>499.25</v>
      </c>
      <c r="CA69" s="668">
        <f>ROUND(+$BR69*'[5]II-F Alloc_Factor'!M$42,2)</f>
        <v>254.16</v>
      </c>
      <c r="CC69" s="674">
        <v>13187.610000000004</v>
      </c>
      <c r="CD69" s="668">
        <f>ROUND(+$CC69*'[5]II-F Alloc_Factor'!E$42,2)</f>
        <v>3071.9499999999998</v>
      </c>
      <c r="CE69" s="668">
        <f>ROUND(+$CC69*'[5]II-F Alloc_Factor'!F$42,2)</f>
        <v>0</v>
      </c>
      <c r="CF69" s="668">
        <f>ROUND(+$CC69*'[5]II-F Alloc_Factor'!G$42,2)</f>
        <v>0</v>
      </c>
      <c r="CG69" s="668">
        <f>ROUND(+$CC69*'[5]II-F Alloc_Factor'!H$42,2)</f>
        <v>3071.9499999999998</v>
      </c>
      <c r="CH69" s="668">
        <f>ROUND(+$CC69*'[5]II-F Alloc_Factor'!I$42,2)</f>
        <v>9390.1499999999996</v>
      </c>
      <c r="CI69" s="668">
        <f>ROUND(+$CC69*'[5]II-F Alloc_Factor'!J$42,2)</f>
        <v>0</v>
      </c>
      <c r="CJ69" s="668">
        <f>ROUND(+$CC69*'[5]II-F Alloc_Factor'!K$42,2)</f>
        <v>9390.1499999999996</v>
      </c>
      <c r="CK69" s="668">
        <f>ROUND(+$CC69*'[5]II-F Alloc_Factor'!L$42,2)</f>
        <v>480.75999999999999</v>
      </c>
      <c r="CL69" s="668">
        <f>ROUND(+$CC69*'[5]II-F Alloc_Factor'!M$42,2)</f>
        <v>244.75</v>
      </c>
      <c r="CN69" s="674">
        <v>12680.400000000005</v>
      </c>
      <c r="CO69" s="668">
        <f>ROUND(+$CN69*'[5]II-F Alloc_Factor'!E$42,2)</f>
        <v>2953.8000000000002</v>
      </c>
      <c r="CP69" s="668">
        <f>ROUND(+$CN69*'[5]II-F Alloc_Factor'!F$42,2)</f>
        <v>0</v>
      </c>
      <c r="CQ69" s="668">
        <f>ROUND(+$CN69*'[5]II-F Alloc_Factor'!G$42,2)</f>
        <v>0</v>
      </c>
      <c r="CR69" s="668">
        <f>ROUND(+$CN69*'[5]II-F Alloc_Factor'!H$42,2)</f>
        <v>2953.8000000000002</v>
      </c>
      <c r="CS69" s="668">
        <f>ROUND(+$CN69*'[5]II-F Alloc_Factor'!I$42,2)</f>
        <v>9028.9899999999998</v>
      </c>
      <c r="CT69" s="668">
        <f>ROUND(+$CN69*'[5]II-F Alloc_Factor'!J$42,2)</f>
        <v>0</v>
      </c>
      <c r="CU69" s="668">
        <f>ROUND(+$CN69*'[5]II-F Alloc_Factor'!K$42,2)</f>
        <v>9028.9899999999998</v>
      </c>
      <c r="CV69" s="668">
        <f>ROUND(+$CN69*'[5]II-F Alloc_Factor'!L$42,2)</f>
        <v>462.26999999999998</v>
      </c>
      <c r="CW69" s="668">
        <f>ROUND(+$CN69*'[5]II-F Alloc_Factor'!M$42,2)</f>
        <v>235.33000000000001</v>
      </c>
      <c r="CY69" s="674">
        <v>12173.190000000006</v>
      </c>
      <c r="CZ69" s="668">
        <f>ROUND(+$CY69*'[5]II-F Alloc_Factor'!E$42,2)</f>
        <v>2835.6500000000001</v>
      </c>
      <c r="DA69" s="668">
        <f>ROUND(+$CY69*'[5]II-F Alloc_Factor'!F$42,2)</f>
        <v>0</v>
      </c>
      <c r="DB69" s="668">
        <f>ROUND(+$CY69*'[5]II-F Alloc_Factor'!G$42,2)</f>
        <v>0</v>
      </c>
      <c r="DC69" s="668">
        <f>ROUND(+$CY69*'[5]II-F Alloc_Factor'!H$42,2)</f>
        <v>2835.6500000000001</v>
      </c>
      <c r="DD69" s="668">
        <f>ROUND(+$CY69*'[5]II-F Alloc_Factor'!I$42,2)</f>
        <v>8667.8400000000001</v>
      </c>
      <c r="DE69" s="668">
        <f>ROUND(+$CY69*'[5]II-F Alloc_Factor'!J$42,2)</f>
        <v>0</v>
      </c>
      <c r="DF69" s="668">
        <f>ROUND(+$CY69*'[5]II-F Alloc_Factor'!K$42,2)</f>
        <v>8667.8400000000001</v>
      </c>
      <c r="DG69" s="668">
        <f>ROUND(+$CY69*'[5]II-F Alloc_Factor'!L$42,2)</f>
        <v>443.77999999999997</v>
      </c>
      <c r="DH69" s="668">
        <f>ROUND(+$CY69*'[5]II-F Alloc_Factor'!M$42,2)</f>
        <v>225.91999999999999</v>
      </c>
      <c r="DJ69" s="674">
        <v>11665.980000000007</v>
      </c>
      <c r="DK69" s="668">
        <f>ROUND(+$DJ69*'[5]II-F Alloc_Factor'!E$42,2)</f>
        <v>2717.5</v>
      </c>
      <c r="DL69" s="668">
        <f>ROUND(+$DJ69*'[5]II-F Alloc_Factor'!F$42,2)</f>
        <v>0</v>
      </c>
      <c r="DM69" s="668">
        <f>ROUND(+$DJ69*'[5]II-F Alloc_Factor'!G$42,2)</f>
        <v>0</v>
      </c>
      <c r="DN69" s="668">
        <f>ROUND(+$DJ69*'[5]II-F Alloc_Factor'!H$42,2)</f>
        <v>2717.5</v>
      </c>
      <c r="DO69" s="668">
        <f>ROUND(+$DJ69*'[5]II-F Alloc_Factor'!I$42,2)</f>
        <v>8306.6800000000003</v>
      </c>
      <c r="DP69" s="668">
        <f>ROUND(+$DJ69*'[5]II-F Alloc_Factor'!J$42,2)</f>
        <v>0</v>
      </c>
      <c r="DQ69" s="668">
        <f>ROUND(+$DJ69*'[5]II-F Alloc_Factor'!K$42,2)</f>
        <v>8306.6800000000003</v>
      </c>
      <c r="DR69" s="668">
        <f>ROUND(+$DJ69*'[5]II-F Alloc_Factor'!L$42,2)</f>
        <v>425.29000000000002</v>
      </c>
      <c r="DS69" s="668">
        <f>ROUND(+$DJ69*'[5]II-F Alloc_Factor'!M$42,2)</f>
        <v>216.50999999999999</v>
      </c>
      <c r="DU69" s="674">
        <v>11158.770000000008</v>
      </c>
      <c r="DV69" s="668">
        <f>ROUND(+$DU69*'[5]II-F Alloc_Factor'!E$42,2)</f>
        <v>2599.3499999999999</v>
      </c>
      <c r="DW69" s="668">
        <f>ROUND(+$DU69*'[5]II-F Alloc_Factor'!F$42,2)</f>
        <v>0</v>
      </c>
      <c r="DX69" s="668">
        <f>ROUND(+$DU69*'[5]II-F Alloc_Factor'!G$42,2)</f>
        <v>0</v>
      </c>
      <c r="DY69" s="668">
        <f t="shared" si="20"/>
        <v>2599.3499999999999</v>
      </c>
      <c r="DZ69" s="668">
        <f>ROUND(+$DU69*'[5]II-F Alloc_Factor'!I$42,2)</f>
        <v>7945.5299999999997</v>
      </c>
      <c r="EA69" s="668">
        <f>ROUND(+$DU69*'[5]II-F Alloc_Factor'!J$42,2)</f>
        <v>0</v>
      </c>
      <c r="EB69" s="668">
        <f t="shared" si="21"/>
        <v>7945.5299999999997</v>
      </c>
      <c r="EC69" s="668">
        <f>ROUND(+$DU69*'[5]II-F Alloc_Factor'!L$42,2)</f>
        <v>406.80000000000001</v>
      </c>
      <c r="ED69" s="668">
        <f>ROUND(+$DU69*'[5]II-F Alloc_Factor'!M$42,2)</f>
        <v>207.09</v>
      </c>
      <c r="EE69" s="754">
        <f>+'II-E-3.5'!I85-'II-E-3.5a'!DU69</f>
        <v>0</v>
      </c>
      <c r="EF69" s="754">
        <f t="shared" si="19"/>
        <v>0</v>
      </c>
      <c r="EH69" s="754"/>
    </row>
    <row r="70" spans="1:138" s="423" customFormat="1" ht="12.75">
      <c r="A70" s="524">
        <f t="shared" si="6"/>
        <v>58</v>
      </c>
      <c r="B70" s="184" t="s">
        <v>678</v>
      </c>
      <c r="C70" s="424" t="s">
        <v>13</v>
      </c>
      <c r="D70" s="674">
        <v>4633163.2100000009</v>
      </c>
      <c r="E70" s="668">
        <f>ROUND(+$D70*'[5]II-F Alloc_Factor'!E$17,2)</f>
        <v>1020229.79</v>
      </c>
      <c r="F70" s="668">
        <f>ROUND(+$D70*'[5]II-F Alloc_Factor'!F$17,2)</f>
        <v>0</v>
      </c>
      <c r="G70" s="668">
        <f>ROUND(+$D70*'[5]II-F Alloc_Factor'!G$17,2)</f>
        <v>0</v>
      </c>
      <c r="H70" s="668">
        <f>ROUND(+$D70*'[5]II-F Alloc_Factor'!H$17,2)</f>
        <v>1020229.79</v>
      </c>
      <c r="I70" s="668">
        <f>ROUND(+$D70*'[5]II-F Alloc_Factor'!I$17,2)</f>
        <v>2814644.3900000001</v>
      </c>
      <c r="J70" s="668">
        <f>ROUND(+$D70*'[5]II-F Alloc_Factor'!J$17,2)</f>
        <v>0</v>
      </c>
      <c r="K70" s="668">
        <f>ROUND(+$D70*'[5]II-F Alloc_Factor'!K$17,2)</f>
        <v>2814644.3900000001</v>
      </c>
      <c r="L70" s="668">
        <f>ROUND(+$D70*'[5]II-F Alloc_Factor'!L$17,2)</f>
        <v>767407.55000000005</v>
      </c>
      <c r="M70" s="668">
        <f>ROUND(+$D70*'[5]II-F Alloc_Factor'!M$17,2)</f>
        <v>30881.490000000002</v>
      </c>
      <c r="N70" s="669"/>
      <c r="O70" s="674">
        <v>4708687.5000000009</v>
      </c>
      <c r="P70" s="668">
        <f>ROUND(+$O70*'[5]II-F Alloc_Factor'!E$17,2)</f>
        <v>1036860.35</v>
      </c>
      <c r="Q70" s="668">
        <f>ROUND(+$O70*'[5]II-F Alloc_Factor'!F$17,2)</f>
        <v>0</v>
      </c>
      <c r="R70" s="668">
        <f>ROUND(+$O70*'[5]II-F Alloc_Factor'!G$17,2)</f>
        <v>0</v>
      </c>
      <c r="S70" s="668">
        <f>ROUND(+$O70*'[5]II-F Alloc_Factor'!H$17,2)</f>
        <v>1036860.35</v>
      </c>
      <c r="T70" s="668">
        <f>ROUND(+$O70*'[5]II-F Alloc_Factor'!I$17,2)</f>
        <v>2860525.3500000001</v>
      </c>
      <c r="U70" s="668">
        <f>ROUND(+$O70*'[5]II-F Alloc_Factor'!J$17,2)</f>
        <v>0</v>
      </c>
      <c r="V70" s="668">
        <f>ROUND(+$O70*'[5]II-F Alloc_Factor'!K$17,2)</f>
        <v>2860525.3500000001</v>
      </c>
      <c r="W70" s="668">
        <f>ROUND(+$O70*'[5]II-F Alloc_Factor'!L$17,2)</f>
        <v>779916.91000000003</v>
      </c>
      <c r="X70" s="668">
        <f>ROUND(+$O70*'[5]II-F Alloc_Factor'!M$17,2)</f>
        <v>31384.880000000001</v>
      </c>
      <c r="Y70" s="673"/>
      <c r="Z70" s="674">
        <v>4275295.7000000011</v>
      </c>
      <c r="AA70" s="668">
        <f>ROUND(+$Z70*'[5]II-F Alloc_Factor'!E$42,2)</f>
        <v>995897.55000000005</v>
      </c>
      <c r="AB70" s="668">
        <f>ROUND(+$Z70*'[5]II-F Alloc_Factor'!F$17,2)</f>
        <v>0</v>
      </c>
      <c r="AC70" s="668">
        <f>ROUND(+$Z70*'[5]II-F Alloc_Factor'!G$17,2)</f>
        <v>0</v>
      </c>
      <c r="AD70" s="668">
        <f>ROUND(+$Z70*'[5]II-F Alloc_Factor'!H$17,2)</f>
        <v>941426.80000000005</v>
      </c>
      <c r="AE70" s="668">
        <f>ROUND(+$Z70*'[5]II-F Alloc_Factor'!I$17,2)</f>
        <v>2597240.0499999998</v>
      </c>
      <c r="AF70" s="668">
        <f>ROUND(+$Z70*'[5]II-F Alloc_Factor'!J$17,2)</f>
        <v>0</v>
      </c>
      <c r="AG70" s="668">
        <f>ROUND(+$Z70*'[5]II-F Alloc_Factor'!K$17,2)</f>
        <v>2597240.0499999998</v>
      </c>
      <c r="AH70" s="668">
        <f>ROUND(+$Z70*'[5]II-F Alloc_Factor'!L$17,2)</f>
        <v>708132.66000000003</v>
      </c>
      <c r="AI70" s="668">
        <f>ROUND(+$Z70*'[5]II-F Alloc_Factor'!M$17,2)</f>
        <v>28496.189999999999</v>
      </c>
      <c r="AK70" s="674">
        <v>4188172.270000001</v>
      </c>
      <c r="AL70" s="668">
        <f>ROUND(+$AK70*'[5]II-F Alloc_Factor'!E$17,2)</f>
        <v>922242.08999999997</v>
      </c>
      <c r="AM70" s="668">
        <f>ROUND(+$AK70*'[5]II-F Alloc_Factor'!F$17,2)</f>
        <v>0</v>
      </c>
      <c r="AN70" s="668">
        <f>ROUND(+$AK70*'[5]II-F Alloc_Factor'!G$17,2)</f>
        <v>0</v>
      </c>
      <c r="AO70" s="668">
        <f t="shared" si="22"/>
        <v>922242.08999999997</v>
      </c>
      <c r="AP70" s="668">
        <f>ROUND(+$AK70*'[5]II-F Alloc_Factor'!I$17,2)</f>
        <v>2544312.6099999999</v>
      </c>
      <c r="AQ70" s="668">
        <f>ROUND(+$AK70*'[5]II-F Alloc_Factor'!J$17,2)</f>
        <v>0</v>
      </c>
      <c r="AR70" s="668">
        <f t="shared" si="23"/>
        <v>2544312.6099999999</v>
      </c>
      <c r="AS70" s="668">
        <f>ROUND(+$AK70*'[5]II-F Alloc_Factor'!L$17,2)</f>
        <v>693702.08999999997</v>
      </c>
      <c r="AT70" s="668">
        <f>ROUND(+$AK70*'[5]II-F Alloc_Factor'!M$17,2)</f>
        <v>27915.48</v>
      </c>
      <c r="AU70" s="755"/>
      <c r="AV70" s="674">
        <v>4101048.850000001</v>
      </c>
      <c r="AW70" s="668">
        <f>ROUND(+$AV70*'[5]II-F Alloc_Factor'!E$17,2)</f>
        <v>903057.37</v>
      </c>
      <c r="AX70" s="668">
        <f>ROUND(+$AV70*'[5]II-F Alloc_Factor'!F$17,2)</f>
        <v>0</v>
      </c>
      <c r="AY70" s="668">
        <f>ROUND(+$AV70*'[5]II-F Alloc_Factor'!G$17,2)</f>
        <v>0</v>
      </c>
      <c r="AZ70" s="668">
        <f>ROUND(+$AV70*'[5]II-F Alloc_Factor'!H$17,2)</f>
        <v>903057.37</v>
      </c>
      <c r="BA70" s="668">
        <f>ROUND(+$AV70*'[5]II-F Alloc_Factor'!I$17,2)</f>
        <v>2491385.1699999999</v>
      </c>
      <c r="BB70" s="668">
        <f>ROUND(+$AV70*'[5]II-F Alloc_Factor'!J$17,2)</f>
        <v>0</v>
      </c>
      <c r="BC70" s="668">
        <f>ROUND(+$AV70*'[5]II-F Alloc_Factor'!K$17,2)</f>
        <v>2491385.1699999999</v>
      </c>
      <c r="BD70" s="668">
        <f>ROUND(+$AV70*'[5]II-F Alloc_Factor'!L$17,2)</f>
        <v>679271.53000000003</v>
      </c>
      <c r="BE70" s="668">
        <f>ROUND(+$AV70*'[5]II-F Alloc_Factor'!M$17,2)</f>
        <v>27334.779999999999</v>
      </c>
      <c r="BF70" s="755"/>
      <c r="BG70" s="674">
        <v>3491256.370000001</v>
      </c>
      <c r="BH70" s="668">
        <f>ROUND(+$BG70*'[5]II-F Alloc_Factor'!E$17,2)</f>
        <v>768780.10999999999</v>
      </c>
      <c r="BI70" s="668">
        <f>ROUND(+$BG70*'[5]II-F Alloc_Factor'!F$17,2)</f>
        <v>0</v>
      </c>
      <c r="BJ70" s="668">
        <f>ROUND(+$BG70*'[5]II-F Alloc_Factor'!G$17,2)</f>
        <v>0</v>
      </c>
      <c r="BK70" s="668">
        <f>ROUND(+$BG70*'[5]II-F Alloc_Factor'!H$17,2)</f>
        <v>768780.10999999999</v>
      </c>
      <c r="BL70" s="668">
        <f>ROUND(+$BG70*'[5]II-F Alloc_Factor'!I$17,2)</f>
        <v>2120936.54</v>
      </c>
      <c r="BM70" s="668">
        <f>ROUND(+$BG70*'[5]II-F Alloc_Factor'!J$17,2)</f>
        <v>0</v>
      </c>
      <c r="BN70" s="668">
        <f>ROUND(+$BG70*'[5]II-F Alloc_Factor'!K$17,2)</f>
        <v>2120936.54</v>
      </c>
      <c r="BO70" s="668">
        <f>ROUND(+$BG70*'[5]II-F Alloc_Factor'!L$17,2)</f>
        <v>578269.40000000002</v>
      </c>
      <c r="BP70" s="668">
        <f>ROUND(+$BG70*'[5]II-F Alloc_Factor'!M$17,2)</f>
        <v>23270.32</v>
      </c>
      <c r="BQ70" s="755"/>
      <c r="BR70" s="674">
        <v>3317021.4500000011</v>
      </c>
      <c r="BS70" s="668">
        <f>ROUND(+$BR70*'[5]II-F Alloc_Factor'!E$17,2)</f>
        <v>730413.31000000006</v>
      </c>
      <c r="BT70" s="668">
        <f>ROUND(+$BR70*'[5]II-F Alloc_Factor'!F$17,2)</f>
        <v>0</v>
      </c>
      <c r="BU70" s="668">
        <f>ROUND(+$BR70*'[5]II-F Alloc_Factor'!G$17,2)</f>
        <v>0</v>
      </c>
      <c r="BV70" s="668">
        <f>ROUND(+$BR70*'[5]II-F Alloc_Factor'!H$17,2)</f>
        <v>730413.31000000006</v>
      </c>
      <c r="BW70" s="668">
        <f>ROUND(+$BR70*'[5]II-F Alloc_Factor'!I$17,2)</f>
        <v>2015088.9099999999</v>
      </c>
      <c r="BX70" s="668">
        <f>ROUND(+$BR70*'[5]II-F Alloc_Factor'!J$17,2)</f>
        <v>0</v>
      </c>
      <c r="BY70" s="668">
        <f>ROUND(+$BR70*'[5]II-F Alloc_Factor'!K$17,2)</f>
        <v>2015088.9099999999</v>
      </c>
      <c r="BZ70" s="668">
        <f>ROUND(+$BR70*'[5]II-F Alloc_Factor'!L$17,2)</f>
        <v>549410.23999999999</v>
      </c>
      <c r="CA70" s="668">
        <f>ROUND(+$BR70*'[5]II-F Alloc_Factor'!M$17,2)</f>
        <v>22108.990000000002</v>
      </c>
      <c r="CC70" s="674">
        <v>3142786.5100000012</v>
      </c>
      <c r="CD70" s="668">
        <f>ROUND(+$CC70*'[5]II-F Alloc_Factor'!E$17,2)</f>
        <v>692046.51000000001</v>
      </c>
      <c r="CE70" s="668">
        <f>ROUND(+$CC70*'[5]II-F Alloc_Factor'!F$17,2)</f>
        <v>0</v>
      </c>
      <c r="CF70" s="668">
        <f>ROUND(+$CC70*'[5]II-F Alloc_Factor'!G$17,2)</f>
        <v>0</v>
      </c>
      <c r="CG70" s="668">
        <f>ROUND(+$CC70*'[5]II-F Alloc_Factor'!H$17,2)</f>
        <v>692046.51000000001</v>
      </c>
      <c r="CH70" s="668">
        <f>ROUND(+$CC70*'[5]II-F Alloc_Factor'!I$17,2)</f>
        <v>1909241.27</v>
      </c>
      <c r="CI70" s="668">
        <f>ROUND(+$CC70*'[5]II-F Alloc_Factor'!J$17,2)</f>
        <v>0</v>
      </c>
      <c r="CJ70" s="668">
        <f>ROUND(+$CC70*'[5]II-F Alloc_Factor'!K$17,2)</f>
        <v>1909241.27</v>
      </c>
      <c r="CK70" s="668">
        <f>ROUND(+$CC70*'[5]II-F Alloc_Factor'!L$17,2)</f>
        <v>520551.08000000002</v>
      </c>
      <c r="CL70" s="668">
        <f>ROUND(+$CC70*'[5]II-F Alloc_Factor'!M$17,2)</f>
        <v>20947.66</v>
      </c>
      <c r="CN70" s="674">
        <v>2613523.9900000012</v>
      </c>
      <c r="CO70" s="668">
        <f>ROUND(+$CN70*'[5]II-F Alloc_Factor'!E$17,2)</f>
        <v>575502.06999999995</v>
      </c>
      <c r="CP70" s="668">
        <f>ROUND(+$CN70*'[5]II-F Alloc_Factor'!F$17,2)</f>
        <v>0</v>
      </c>
      <c r="CQ70" s="668">
        <f>ROUND(+$CN70*'[5]II-F Alloc_Factor'!G$17,2)</f>
        <v>0</v>
      </c>
      <c r="CR70" s="668">
        <f>ROUND(+$CN70*'[5]II-F Alloc_Factor'!H$17,2)</f>
        <v>575502.06999999995</v>
      </c>
      <c r="CS70" s="668">
        <f>ROUND(+$CN70*'[5]II-F Alloc_Factor'!I$17,2)</f>
        <v>1587714.5500000001</v>
      </c>
      <c r="CT70" s="668">
        <f>ROUND(+$CN70*'[5]II-F Alloc_Factor'!J$17,2)</f>
        <v>0</v>
      </c>
      <c r="CU70" s="668">
        <f>ROUND(+$CN70*'[5]II-F Alloc_Factor'!K$17,2)</f>
        <v>1587714.5500000001</v>
      </c>
      <c r="CV70" s="668">
        <f>ROUND(+$CN70*'[5]II-F Alloc_Factor'!L$17,2)</f>
        <v>432887.40999999997</v>
      </c>
      <c r="CW70" s="668">
        <f>ROUND(+$CN70*'[5]II-F Alloc_Factor'!M$17,2)</f>
        <v>17419.959999999999</v>
      </c>
      <c r="CY70" s="674">
        <v>2439289.0500000012</v>
      </c>
      <c r="CZ70" s="668">
        <f>ROUND(+$CY70*'[5]II-F Alloc_Factor'!E$17,2)</f>
        <v>537135.26000000001</v>
      </c>
      <c r="DA70" s="668">
        <f>ROUND(+$CY70*'[5]II-F Alloc_Factor'!F$17,2)</f>
        <v>0</v>
      </c>
      <c r="DB70" s="668">
        <f>ROUND(+$CY70*'[5]II-F Alloc_Factor'!G$17,2)</f>
        <v>0</v>
      </c>
      <c r="DC70" s="668">
        <f>ROUND(+$CY70*'[5]II-F Alloc_Factor'!H$17,2)</f>
        <v>537135.26000000001</v>
      </c>
      <c r="DD70" s="668">
        <f>ROUND(+$CY70*'[5]II-F Alloc_Factor'!I$17,2)</f>
        <v>1481866.9099999999</v>
      </c>
      <c r="DE70" s="668">
        <f>ROUND(+$CY70*'[5]II-F Alloc_Factor'!J$17,2)</f>
        <v>0</v>
      </c>
      <c r="DF70" s="668">
        <f>ROUND(+$CY70*'[5]II-F Alloc_Factor'!K$17,2)</f>
        <v>1481866.9099999999</v>
      </c>
      <c r="DG70" s="668">
        <f>ROUND(+$CY70*'[5]II-F Alloc_Factor'!L$17,2)</f>
        <v>404028.25</v>
      </c>
      <c r="DH70" s="668">
        <f>ROUND(+$CY70*'[5]II-F Alloc_Factor'!M$17,2)</f>
        <v>16258.629999999999</v>
      </c>
      <c r="DJ70" s="674">
        <v>2265054.1100000013</v>
      </c>
      <c r="DK70" s="668">
        <f>ROUND(+$DJ70*'[5]II-F Alloc_Factor'!E$17,2)</f>
        <v>498768.46000000002</v>
      </c>
      <c r="DL70" s="668">
        <f>ROUND(+$DJ70*'[5]II-F Alloc_Factor'!F$17,2)</f>
        <v>0</v>
      </c>
      <c r="DM70" s="668">
        <f>ROUND(+$DJ70*'[5]II-F Alloc_Factor'!G$17,2)</f>
        <v>0</v>
      </c>
      <c r="DN70" s="668">
        <f>ROUND(+$DJ70*'[5]II-F Alloc_Factor'!H$17,2)</f>
        <v>498768.46000000002</v>
      </c>
      <c r="DO70" s="668">
        <f>ROUND(+$DJ70*'[5]II-F Alloc_Factor'!I$17,2)</f>
        <v>1376019.26</v>
      </c>
      <c r="DP70" s="668">
        <f>ROUND(+$DJ70*'[5]II-F Alloc_Factor'!J$17,2)</f>
        <v>0</v>
      </c>
      <c r="DQ70" s="668">
        <f>ROUND(+$DJ70*'[5]II-F Alloc_Factor'!K$17,2)</f>
        <v>1376019.26</v>
      </c>
      <c r="DR70" s="668">
        <f>ROUND(+$DJ70*'[5]II-F Alloc_Factor'!L$17,2)</f>
        <v>375169.09000000003</v>
      </c>
      <c r="DS70" s="668">
        <f>ROUND(+$DJ70*'[5]II-F Alloc_Factor'!M$17,2)</f>
        <v>15097.299999999999</v>
      </c>
      <c r="DU70" s="674">
        <v>2090819.1800000013</v>
      </c>
      <c r="DV70" s="668">
        <f>ROUND(+$DU70*'[5]II-F Alloc_Factor'!E$17,2)</f>
        <v>460401.65000000002</v>
      </c>
      <c r="DW70" s="668">
        <f>ROUND(+$DU70*'[5]II-F Alloc_Factor'!F$17,2)</f>
        <v>0</v>
      </c>
      <c r="DX70" s="668">
        <f>ROUND(+$DU70*'[5]II-F Alloc_Factor'!G$17,2)</f>
        <v>0</v>
      </c>
      <c r="DY70" s="668">
        <f t="shared" si="20"/>
        <v>460401.65000000002</v>
      </c>
      <c r="DZ70" s="668">
        <f>ROUND(+$DU70*'[5]II-F Alloc_Factor'!I$17,2)</f>
        <v>1270171.6299999999</v>
      </c>
      <c r="EA70" s="668">
        <f>ROUND(+$DU70*'[5]II-F Alloc_Factor'!J$17,2)</f>
        <v>0</v>
      </c>
      <c r="EB70" s="668">
        <f t="shared" si="21"/>
        <v>1270171.6299999999</v>
      </c>
      <c r="EC70" s="668">
        <f>ROUND(+$DU70*'[5]II-F Alloc_Factor'!L$17,2)</f>
        <v>346309.92999999999</v>
      </c>
      <c r="ED70" s="668">
        <f>ROUND(+$DU70*'[5]II-F Alloc_Factor'!M$17,2)</f>
        <v>13935.969999999999</v>
      </c>
      <c r="EE70" s="754">
        <f>+'II-E-3.5'!I86-'II-E-3.5a'!DU70</f>
        <v>0</v>
      </c>
      <c r="EF70" s="754">
        <f t="shared" si="19"/>
        <v>0</v>
      </c>
      <c r="EH70" s="754"/>
    </row>
    <row r="71" spans="1:138" s="423" customFormat="1" ht="12.75">
      <c r="A71" s="524">
        <f t="shared" si="6"/>
        <v>59</v>
      </c>
      <c r="B71" s="184" t="s">
        <v>680</v>
      </c>
      <c r="C71" s="424" t="s">
        <v>1123</v>
      </c>
      <c r="D71" s="674">
        <v>447356.67999999999</v>
      </c>
      <c r="E71" s="674">
        <v>0</v>
      </c>
      <c r="F71" s="674">
        <f>+D71</f>
        <v>447356.67999999999</v>
      </c>
      <c r="G71" s="674">
        <v>0</v>
      </c>
      <c r="H71" s="674">
        <f>SUM(E71:G71)</f>
        <v>447356.67999999999</v>
      </c>
      <c r="I71" s="674">
        <v>0</v>
      </c>
      <c r="J71" s="674">
        <v>0</v>
      </c>
      <c r="K71" s="674">
        <f>SUM(I71:J71)</f>
        <v>0</v>
      </c>
      <c r="L71" s="674">
        <v>0</v>
      </c>
      <c r="M71" s="674">
        <v>0</v>
      </c>
      <c r="N71" s="675"/>
      <c r="O71" s="674">
        <v>443842.27999999997</v>
      </c>
      <c r="P71" s="674">
        <v>0</v>
      </c>
      <c r="Q71" s="674">
        <f>+O71</f>
        <v>443842.27999999997</v>
      </c>
      <c r="R71" s="674">
        <v>0</v>
      </c>
      <c r="S71" s="674">
        <f>SUM(P71:R71)</f>
        <v>443842.27999999997</v>
      </c>
      <c r="T71" s="674">
        <v>0</v>
      </c>
      <c r="U71" s="674">
        <v>0</v>
      </c>
      <c r="V71" s="674">
        <f>SUM(T71:U71)</f>
        <v>0</v>
      </c>
      <c r="W71" s="674">
        <v>0</v>
      </c>
      <c r="X71" s="674">
        <v>0</v>
      </c>
      <c r="Y71" s="673"/>
      <c r="Z71" s="674">
        <v>440327.87999999995</v>
      </c>
      <c r="AA71" s="674">
        <v>0</v>
      </c>
      <c r="AB71" s="674">
        <f>+Z71</f>
        <v>440327.87999999995</v>
      </c>
      <c r="AC71" s="674">
        <v>0</v>
      </c>
      <c r="AD71" s="674">
        <f>SUM(AA71:AC71)</f>
        <v>440327.87999999995</v>
      </c>
      <c r="AE71" s="674">
        <v>0</v>
      </c>
      <c r="AF71" s="674">
        <v>0</v>
      </c>
      <c r="AG71" s="674">
        <f>SUM(AE71:AF71)</f>
        <v>0</v>
      </c>
      <c r="AH71" s="674"/>
      <c r="AI71" s="674"/>
      <c r="AK71" s="674">
        <v>436813.47999999992</v>
      </c>
      <c r="AL71" s="674">
        <v>0</v>
      </c>
      <c r="AM71" s="674">
        <f>+AK71</f>
        <v>436813.47999999992</v>
      </c>
      <c r="AN71" s="674">
        <v>0</v>
      </c>
      <c r="AO71" s="668">
        <f t="shared" si="22"/>
        <v>436813.47999999992</v>
      </c>
      <c r="AP71" s="674">
        <v>0</v>
      </c>
      <c r="AQ71" s="674">
        <v>0</v>
      </c>
      <c r="AR71" s="668">
        <f t="shared" si="23"/>
        <v>0</v>
      </c>
      <c r="AS71" s="674">
        <v>0</v>
      </c>
      <c r="AT71" s="674">
        <v>0</v>
      </c>
      <c r="AU71" s="755"/>
      <c r="AV71" s="674">
        <v>433299.0799999999</v>
      </c>
      <c r="AW71" s="674">
        <v>0</v>
      </c>
      <c r="AX71" s="674">
        <f>+AV71</f>
        <v>433299.0799999999</v>
      </c>
      <c r="AY71" s="674">
        <v>0</v>
      </c>
      <c r="AZ71" s="674">
        <f>SUM(AW71:AY71)</f>
        <v>433299.0799999999</v>
      </c>
      <c r="BA71" s="674">
        <v>0</v>
      </c>
      <c r="BB71" s="674">
        <v>0</v>
      </c>
      <c r="BC71" s="674">
        <f>SUM(BA71:BB71)</f>
        <v>0</v>
      </c>
      <c r="BD71" s="674">
        <v>0</v>
      </c>
      <c r="BE71" s="674">
        <v>0</v>
      </c>
      <c r="BF71" s="755"/>
      <c r="BG71" s="674">
        <v>429784.67999999988</v>
      </c>
      <c r="BH71" s="674">
        <v>0</v>
      </c>
      <c r="BI71" s="674">
        <f>+BG71</f>
        <v>429784.67999999988</v>
      </c>
      <c r="BJ71" s="674">
        <v>0</v>
      </c>
      <c r="BK71" s="674">
        <f>SUM(BH71:BJ71)</f>
        <v>429784.67999999988</v>
      </c>
      <c r="BL71" s="674">
        <v>0</v>
      </c>
      <c r="BM71" s="674">
        <v>0</v>
      </c>
      <c r="BN71" s="674">
        <f>SUM(BL71:BM71)</f>
        <v>0</v>
      </c>
      <c r="BO71" s="674">
        <v>0</v>
      </c>
      <c r="BP71" s="674">
        <v>0</v>
      </c>
      <c r="BQ71" s="755"/>
      <c r="BR71" s="674">
        <v>426270.27999999985</v>
      </c>
      <c r="BS71" s="674">
        <v>0</v>
      </c>
      <c r="BT71" s="674">
        <f>+BR71</f>
        <v>426270.27999999985</v>
      </c>
      <c r="BU71" s="674">
        <v>0</v>
      </c>
      <c r="BV71" s="674">
        <f>SUM(BS71:BU71)</f>
        <v>426270.27999999985</v>
      </c>
      <c r="BW71" s="674">
        <v>0</v>
      </c>
      <c r="BX71" s="674">
        <v>0</v>
      </c>
      <c r="BY71" s="674">
        <f>SUM(BW71:BX71)</f>
        <v>0</v>
      </c>
      <c r="BZ71" s="674">
        <v>0</v>
      </c>
      <c r="CA71" s="674">
        <v>0</v>
      </c>
      <c r="CC71" s="674">
        <v>422755.87999999983</v>
      </c>
      <c r="CD71" s="674">
        <v>0</v>
      </c>
      <c r="CE71" s="674">
        <f>+CC71</f>
        <v>422755.87999999983</v>
      </c>
      <c r="CF71" s="674">
        <v>0</v>
      </c>
      <c r="CG71" s="674">
        <f>SUM(CD71:CF71)</f>
        <v>422755.87999999983</v>
      </c>
      <c r="CH71" s="674">
        <v>0</v>
      </c>
      <c r="CI71" s="674">
        <v>0</v>
      </c>
      <c r="CJ71" s="674">
        <f>SUM(CH71:CI71)</f>
        <v>0</v>
      </c>
      <c r="CK71" s="674">
        <v>0</v>
      </c>
      <c r="CL71" s="674">
        <v>0</v>
      </c>
      <c r="CN71" s="674">
        <v>419241.47999999981</v>
      </c>
      <c r="CO71" s="674">
        <v>0</v>
      </c>
      <c r="CP71" s="674">
        <f>+CN71</f>
        <v>419241.47999999981</v>
      </c>
      <c r="CQ71" s="674">
        <v>0</v>
      </c>
      <c r="CR71" s="674">
        <f>SUM(CO71:CQ71)</f>
        <v>419241.47999999981</v>
      </c>
      <c r="CS71" s="674">
        <v>0</v>
      </c>
      <c r="CT71" s="674">
        <v>0</v>
      </c>
      <c r="CU71" s="674">
        <f>SUM(CS71:CT71)</f>
        <v>0</v>
      </c>
      <c r="CV71" s="674">
        <v>0</v>
      </c>
      <c r="CW71" s="674">
        <v>0</v>
      </c>
      <c r="CY71" s="674">
        <v>415727.07999999978</v>
      </c>
      <c r="CZ71" s="674">
        <v>0</v>
      </c>
      <c r="DA71" s="674">
        <f>+CY71</f>
        <v>415727.07999999978</v>
      </c>
      <c r="DB71" s="674">
        <v>0</v>
      </c>
      <c r="DC71" s="674">
        <f>SUM(CZ71:DB71)</f>
        <v>415727.07999999978</v>
      </c>
      <c r="DD71" s="674">
        <v>0</v>
      </c>
      <c r="DE71" s="674">
        <v>0</v>
      </c>
      <c r="DF71" s="674">
        <f>SUM(DD71:DE71)</f>
        <v>0</v>
      </c>
      <c r="DG71" s="674">
        <v>0</v>
      </c>
      <c r="DH71" s="674">
        <v>0</v>
      </c>
      <c r="DJ71" s="674">
        <v>412212.67999999976</v>
      </c>
      <c r="DK71" s="674">
        <v>0</v>
      </c>
      <c r="DL71" s="674">
        <f>+DJ71</f>
        <v>412212.67999999976</v>
      </c>
      <c r="DM71" s="674">
        <v>0</v>
      </c>
      <c r="DN71" s="674">
        <f>SUM(DK71:DM71)</f>
        <v>412212.67999999976</v>
      </c>
      <c r="DO71" s="674">
        <v>0</v>
      </c>
      <c r="DP71" s="674">
        <v>0</v>
      </c>
      <c r="DQ71" s="674">
        <f>SUM(DO71:DP71)</f>
        <v>0</v>
      </c>
      <c r="DR71" s="674">
        <v>0</v>
      </c>
      <c r="DS71" s="674">
        <v>0</v>
      </c>
      <c r="DU71" s="674">
        <v>408698.27999999974</v>
      </c>
      <c r="DV71" s="674">
        <v>0</v>
      </c>
      <c r="DW71" s="674">
        <f>+DU71</f>
        <v>408698.27999999974</v>
      </c>
      <c r="DX71" s="674">
        <v>0</v>
      </c>
      <c r="DY71" s="668">
        <f t="shared" si="20"/>
        <v>408698.27999999974</v>
      </c>
      <c r="DZ71" s="674">
        <v>0</v>
      </c>
      <c r="EA71" s="674">
        <v>0</v>
      </c>
      <c r="EB71" s="668">
        <f t="shared" si="21"/>
        <v>0</v>
      </c>
      <c r="EC71" s="674">
        <v>0</v>
      </c>
      <c r="ED71" s="674">
        <v>0</v>
      </c>
      <c r="EE71" s="754">
        <f>+'II-E-3.5'!I89-'II-E-3.5a'!DU71</f>
        <v>0</v>
      </c>
      <c r="EF71" s="754">
        <f t="shared" si="19"/>
        <v>0</v>
      </c>
      <c r="EH71" s="754"/>
    </row>
    <row r="72" spans="1:138" s="421" customFormat="1" ht="12.75">
      <c r="A72" s="524">
        <f t="shared" si="6"/>
        <v>60</v>
      </c>
      <c r="B72" s="184" t="s">
        <v>1009</v>
      </c>
      <c r="C72" s="424" t="s">
        <v>798</v>
      </c>
      <c r="D72" s="674">
        <v>0</v>
      </c>
      <c r="E72" s="668">
        <f>ROUND(+$D72*'[5]II-F Alloc_Factor'!E$40,2)</f>
        <v>0</v>
      </c>
      <c r="F72" s="668">
        <f>ROUND(+$D72*'[5]II-F Alloc_Factor'!F$40,2)</f>
        <v>0</v>
      </c>
      <c r="G72" s="668">
        <f>ROUND(+$D72*'[5]II-F Alloc_Factor'!G$40,2)</f>
        <v>0</v>
      </c>
      <c r="H72" s="668">
        <f>ROUND(+$D72*'[5]II-F Alloc_Factor'!H$40,2)</f>
        <v>0</v>
      </c>
      <c r="I72" s="668">
        <f>ROUND(+$D72*'[5]II-F Alloc_Factor'!I$40,2)</f>
        <v>0</v>
      </c>
      <c r="J72" s="668">
        <f>ROUND(+$D72*'[5]II-F Alloc_Factor'!J$40,2)</f>
        <v>0</v>
      </c>
      <c r="K72" s="668">
        <f>ROUND(+$D72*'[5]II-F Alloc_Factor'!K$40,2)</f>
        <v>0</v>
      </c>
      <c r="L72" s="668">
        <f>ROUND(+$D72*'[5]II-F Alloc_Factor'!L$40,2)</f>
        <v>0</v>
      </c>
      <c r="M72" s="668">
        <f>ROUND(+$D72*'[5]II-F Alloc_Factor'!M$40,2)</f>
        <v>0</v>
      </c>
      <c r="N72" s="675"/>
      <c r="O72" s="674">
        <v>0</v>
      </c>
      <c r="P72" s="668">
        <f>ROUND(+$O72*'[5]II-F Alloc_Factor'!E$40,2)</f>
        <v>0</v>
      </c>
      <c r="Q72" s="668">
        <f>ROUND(+$O72*'[5]II-F Alloc_Factor'!F$40,2)</f>
        <v>0</v>
      </c>
      <c r="R72" s="668">
        <f>ROUND(+$O72*'[5]II-F Alloc_Factor'!G$40,2)</f>
        <v>0</v>
      </c>
      <c r="S72" s="668">
        <f>ROUND(+$O72*'[5]II-F Alloc_Factor'!H$40,2)</f>
        <v>0</v>
      </c>
      <c r="T72" s="668">
        <f>ROUND(+$O72*'[5]II-F Alloc_Factor'!I$40,2)</f>
        <v>0</v>
      </c>
      <c r="U72" s="668">
        <f>ROUND(+$O72*'[5]II-F Alloc_Factor'!J$40,2)</f>
        <v>0</v>
      </c>
      <c r="V72" s="668">
        <f>ROUND(+$O72*'[5]II-F Alloc_Factor'!K$40,2)</f>
        <v>0</v>
      </c>
      <c r="W72" s="668">
        <f>ROUND(+$O72*'[5]II-F Alloc_Factor'!L$40,2)</f>
        <v>0</v>
      </c>
      <c r="X72" s="668">
        <f>ROUND(+$O72*'[5]II-F Alloc_Factor'!M$40,2)</f>
        <v>0</v>
      </c>
      <c r="Y72" s="673"/>
      <c r="Z72" s="674"/>
      <c r="AA72" s="674"/>
      <c r="AB72" s="674"/>
      <c r="AC72" s="674"/>
      <c r="AD72" s="674"/>
      <c r="AE72" s="674"/>
      <c r="AF72" s="674"/>
      <c r="AG72" s="674"/>
      <c r="AH72" s="674"/>
      <c r="AI72" s="674"/>
      <c r="AJ72" s="423"/>
      <c r="AK72" s="674"/>
      <c r="AL72" s="674"/>
      <c r="AM72" s="674"/>
      <c r="AN72" s="674"/>
      <c r="AO72" s="668">
        <f t="shared" si="22"/>
        <v>0</v>
      </c>
      <c r="AP72" s="674"/>
      <c r="AQ72" s="674"/>
      <c r="AR72" s="668">
        <f t="shared" si="23"/>
        <v>0</v>
      </c>
      <c r="AS72" s="674"/>
      <c r="AT72" s="674"/>
      <c r="AU72" s="755"/>
      <c r="AV72" s="674">
        <v>0</v>
      </c>
      <c r="AW72" s="674">
        <v>0</v>
      </c>
      <c r="AX72" s="674">
        <v>0</v>
      </c>
      <c r="AY72" s="674">
        <v>0</v>
      </c>
      <c r="AZ72" s="674">
        <v>0</v>
      </c>
      <c r="BA72" s="674">
        <v>0</v>
      </c>
      <c r="BB72" s="674">
        <v>0</v>
      </c>
      <c r="BC72" s="674">
        <v>0</v>
      </c>
      <c r="BD72" s="674">
        <v>0</v>
      </c>
      <c r="BE72" s="674">
        <v>0</v>
      </c>
      <c r="BF72" s="755"/>
      <c r="BG72" s="674"/>
      <c r="BH72" s="674"/>
      <c r="BI72" s="674"/>
      <c r="BJ72" s="674"/>
      <c r="BK72" s="674"/>
      <c r="BL72" s="674"/>
      <c r="BM72" s="674"/>
      <c r="BN72" s="674"/>
      <c r="BO72" s="674"/>
      <c r="BP72" s="674"/>
      <c r="BQ72" s="755"/>
      <c r="BR72" s="674"/>
      <c r="BS72" s="674"/>
      <c r="BT72" s="674"/>
      <c r="BU72" s="674"/>
      <c r="BV72" s="674"/>
      <c r="BW72" s="674"/>
      <c r="BX72" s="674"/>
      <c r="BY72" s="674"/>
      <c r="BZ72" s="674"/>
      <c r="CA72" s="674"/>
      <c r="CB72" s="423"/>
      <c r="CC72" s="674"/>
      <c r="CD72" s="674"/>
      <c r="CE72" s="674"/>
      <c r="CF72" s="674"/>
      <c r="CG72" s="674"/>
      <c r="CH72" s="674"/>
      <c r="CI72" s="674"/>
      <c r="CJ72" s="674"/>
      <c r="CK72" s="674"/>
      <c r="CL72" s="674"/>
      <c r="CM72" s="423"/>
      <c r="CN72" s="674"/>
      <c r="CO72" s="674"/>
      <c r="CP72" s="674"/>
      <c r="CQ72" s="674"/>
      <c r="CR72" s="674"/>
      <c r="CS72" s="674"/>
      <c r="CT72" s="674"/>
      <c r="CU72" s="674"/>
      <c r="CV72" s="674"/>
      <c r="CW72" s="674"/>
      <c r="CX72" s="423"/>
      <c r="CY72" s="674"/>
      <c r="CZ72" s="674"/>
      <c r="DA72" s="674"/>
      <c r="DB72" s="674"/>
      <c r="DC72" s="674"/>
      <c r="DD72" s="674"/>
      <c r="DE72" s="674"/>
      <c r="DF72" s="674"/>
      <c r="DG72" s="674"/>
      <c r="DH72" s="674"/>
      <c r="DI72" s="423"/>
      <c r="DJ72" s="674"/>
      <c r="DK72" s="674"/>
      <c r="DL72" s="674"/>
      <c r="DM72" s="674"/>
      <c r="DN72" s="674"/>
      <c r="DO72" s="674"/>
      <c r="DP72" s="674"/>
      <c r="DQ72" s="674"/>
      <c r="DR72" s="674"/>
      <c r="DS72" s="674"/>
      <c r="DT72" s="423"/>
      <c r="DU72" s="674">
        <v>611549.78000000003</v>
      </c>
      <c r="DV72" s="668">
        <f>ROUND(+$DU72*'[5]II-F Alloc_Factor'!E$40,2)</f>
        <v>283901.25</v>
      </c>
      <c r="DW72" s="668">
        <f>ROUND(+$DU72*'[5]II-F Alloc_Factor'!F$40,2)</f>
        <v>0</v>
      </c>
      <c r="DX72" s="668">
        <f>ROUND(+$DU72*'[5]II-F Alloc_Factor'!G$40,2)</f>
        <v>362.19999999999999</v>
      </c>
      <c r="DY72" s="668">
        <f t="shared" si="20"/>
        <v>284263.45000000001</v>
      </c>
      <c r="DZ72" s="668">
        <f>ROUND(+$DU72*'[5]II-F Alloc_Factor'!I$40,2)</f>
        <v>307886.5</v>
      </c>
      <c r="EA72" s="668">
        <f>ROUND(+$DU72*'[5]II-F Alloc_Factor'!J$40,2)</f>
        <v>0</v>
      </c>
      <c r="EB72" s="668">
        <f t="shared" si="21"/>
        <v>307886.5</v>
      </c>
      <c r="EC72" s="668">
        <f>ROUND(+$DU72*'[5]II-F Alloc_Factor'!L$40,2)</f>
        <v>10470.84</v>
      </c>
      <c r="ED72" s="668">
        <f>ROUND(+$DU72*'[5]II-F Alloc_Factor'!M$40,2)</f>
        <v>8929</v>
      </c>
      <c r="EE72" s="754">
        <f>+'II-E-3.5'!I90-'II-E-3.5a'!DU72</f>
        <v>0</v>
      </c>
      <c r="EF72" s="754">
        <f t="shared" si="19"/>
        <v>0.0099999998928979039</v>
      </c>
      <c r="EH72" s="754"/>
    </row>
    <row r="73" spans="1:138" s="421" customFormat="1" ht="12.75">
      <c r="A73" s="524">
        <f t="shared" si="6"/>
        <v>61</v>
      </c>
      <c r="B73" s="337"/>
      <c r="C73" s="564"/>
      <c r="D73" s="671">
        <f t="shared" si="139" ref="D73:M73">SUM(D34:D72)</f>
        <v>83654351.442799985</v>
      </c>
      <c r="E73" s="671">
        <f t="shared" si="139"/>
        <v>56820552.210000008</v>
      </c>
      <c r="F73" s="671">
        <f t="shared" si="139"/>
        <v>21251.599999999977</v>
      </c>
      <c r="G73" s="671">
        <f t="shared" si="139"/>
        <v>16789.73</v>
      </c>
      <c r="H73" s="671">
        <f t="shared" si="139"/>
        <v>56858593.550000004</v>
      </c>
      <c r="I73" s="671">
        <f t="shared" si="139"/>
        <v>14381676.362800038</v>
      </c>
      <c r="J73" s="671">
        <f t="shared" si="139"/>
        <v>-1421.76</v>
      </c>
      <c r="K73" s="671">
        <f t="shared" si="139"/>
        <v>14380254.602800047</v>
      </c>
      <c r="L73" s="671">
        <f t="shared" si="139"/>
        <v>1110999.1400000069</v>
      </c>
      <c r="M73" s="671">
        <f t="shared" si="139"/>
        <v>11304504.140000003</v>
      </c>
      <c r="N73" s="665"/>
      <c r="O73" s="671">
        <f t="shared" si="140" ref="O73:X73">SUM(O34:O72)</f>
        <v>89117808.314100027</v>
      </c>
      <c r="P73" s="671">
        <f t="shared" si="140"/>
        <v>56574108.039999999</v>
      </c>
      <c r="Q73" s="671">
        <f t="shared" si="140"/>
        <v>14095.079999999958</v>
      </c>
      <c r="R73" s="671">
        <f t="shared" si="140"/>
        <v>16551.16</v>
      </c>
      <c r="S73" s="671">
        <f t="shared" si="140"/>
        <v>56604754.289999999</v>
      </c>
      <c r="T73" s="671">
        <f t="shared" si="140"/>
        <v>19603189.164100025</v>
      </c>
      <c r="U73" s="671">
        <f t="shared" si="140"/>
        <v>-1701.25</v>
      </c>
      <c r="V73" s="671">
        <f t="shared" si="140"/>
        <v>19601487.914100025</v>
      </c>
      <c r="W73" s="671">
        <f t="shared" si="140"/>
        <v>1651272.1799999983</v>
      </c>
      <c r="X73" s="671">
        <f t="shared" si="140"/>
        <v>11260293.960000003</v>
      </c>
      <c r="Y73" s="423"/>
      <c r="Z73" s="671">
        <f t="shared" si="141" ref="Z73:AI73">SUM(Z34:Z72)</f>
        <v>65132495.49259986</v>
      </c>
      <c r="AA73" s="671">
        <f t="shared" si="141"/>
        <v>-5449397.8699999973</v>
      </c>
      <c r="AB73" s="671">
        <f t="shared" si="141"/>
        <v>-281.05000000004657</v>
      </c>
      <c r="AC73" s="671">
        <f t="shared" si="141"/>
        <v>-352.36000000000001</v>
      </c>
      <c r="AD73" s="671">
        <f t="shared" si="141"/>
        <v>54695552.970000006</v>
      </c>
      <c r="AE73" s="671">
        <f t="shared" si="141"/>
        <v>-95191441.007399991</v>
      </c>
      <c r="AF73" s="671">
        <f t="shared" si="141"/>
        <v>-2086.4699999999998</v>
      </c>
      <c r="AG73" s="671">
        <f t="shared" si="141"/>
        <v>178202.71260002814</v>
      </c>
      <c r="AH73" s="671">
        <f t="shared" si="141"/>
        <v>1242661.1900000088</v>
      </c>
      <c r="AI73" s="671">
        <f t="shared" si="141"/>
        <v>9016078.6199999992</v>
      </c>
      <c r="AJ73" s="423"/>
      <c r="AK73" s="671">
        <f t="shared" si="142" ref="AK73:AT73">SUM(AK34:AK72)</f>
        <v>70522396.488500044</v>
      </c>
      <c r="AL73" s="671">
        <f t="shared" si="142"/>
        <v>56208842.530000001</v>
      </c>
      <c r="AM73" s="671">
        <f t="shared" si="142"/>
        <v>-23783.090000000084</v>
      </c>
      <c r="AN73" s="671">
        <f t="shared" si="142"/>
        <v>16586.41</v>
      </c>
      <c r="AO73" s="671">
        <f t="shared" si="142"/>
        <v>56201645.850000001</v>
      </c>
      <c r="AP73" s="671">
        <f t="shared" si="142"/>
        <v>2031231.8285000483</v>
      </c>
      <c r="AQ73" s="671">
        <f t="shared" si="142"/>
        <v>-2250.8299999999999</v>
      </c>
      <c r="AR73" s="671">
        <f t="shared" si="142"/>
        <v>2028980.9985000351</v>
      </c>
      <c r="AS73" s="671">
        <f t="shared" si="142"/>
        <v>2709451.7200000049</v>
      </c>
      <c r="AT73" s="671">
        <f t="shared" si="142"/>
        <v>9582317.9299999997</v>
      </c>
      <c r="AU73" s="755"/>
      <c r="AV73" s="671">
        <f t="shared" si="143" ref="AV73:BE73">SUM(AV34:AV72)</f>
        <v>75370140.318499967</v>
      </c>
      <c r="AW73" s="671">
        <f t="shared" si="143"/>
        <v>57681821.219999984</v>
      </c>
      <c r="AX73" s="671">
        <f t="shared" si="143"/>
        <v>-28484.1700000001</v>
      </c>
      <c r="AY73" s="671">
        <f t="shared" si="143"/>
        <v>17961.16</v>
      </c>
      <c r="AZ73" s="671">
        <f t="shared" si="143"/>
        <v>57671298.219999984</v>
      </c>
      <c r="BA73" s="671">
        <f t="shared" si="143"/>
        <v>4588259.8185000001</v>
      </c>
      <c r="BB73" s="671">
        <f t="shared" si="143"/>
        <v>-2341.8899999999999</v>
      </c>
      <c r="BC73" s="671">
        <f t="shared" si="143"/>
        <v>4585917.9284999846</v>
      </c>
      <c r="BD73" s="671">
        <f t="shared" si="143"/>
        <v>3471894.5200000033</v>
      </c>
      <c r="BE73" s="671">
        <f t="shared" si="143"/>
        <v>9641029.6699999999</v>
      </c>
      <c r="BF73" s="755"/>
      <c r="BG73" s="671">
        <f t="shared" si="144" ref="BG73:BP73">SUM(BG34:BG72)</f>
        <v>78768082.625799954</v>
      </c>
      <c r="BH73" s="671">
        <f t="shared" si="144"/>
        <v>58647555.289999999</v>
      </c>
      <c r="BI73" s="671">
        <f t="shared" si="144"/>
        <v>-33271.710000000137</v>
      </c>
      <c r="BJ73" s="671">
        <f t="shared" si="144"/>
        <v>18092.779999999999</v>
      </c>
      <c r="BK73" s="671">
        <f t="shared" si="144"/>
        <v>58632376.369999997</v>
      </c>
      <c r="BL73" s="671">
        <f t="shared" si="144"/>
        <v>5689084.3658000268</v>
      </c>
      <c r="BM73" s="671">
        <f t="shared" si="144"/>
        <v>-2439.5900000000001</v>
      </c>
      <c r="BN73" s="671">
        <f t="shared" si="144"/>
        <v>5686644.7858000137</v>
      </c>
      <c r="BO73" s="671">
        <f t="shared" si="144"/>
        <v>4352549.3500000052</v>
      </c>
      <c r="BP73" s="671">
        <f t="shared" si="144"/>
        <v>10096512.110000001</v>
      </c>
      <c r="BQ73" s="755"/>
      <c r="BR73" s="671">
        <f t="shared" si="145" ref="BR73:CA73">SUM(BR34:BR72)</f>
        <v>81149118.005199894</v>
      </c>
      <c r="BS73" s="671">
        <f t="shared" si="145"/>
        <v>59195885.080000013</v>
      </c>
      <c r="BT73" s="671">
        <f t="shared" si="145"/>
        <v>-36812.560000000114</v>
      </c>
      <c r="BU73" s="671">
        <f t="shared" si="145"/>
        <v>18035.900000000001</v>
      </c>
      <c r="BV73" s="671">
        <f t="shared" si="145"/>
        <v>59177108.420000009</v>
      </c>
      <c r="BW73" s="671">
        <f t="shared" si="145"/>
        <v>6641705.9352000048</v>
      </c>
      <c r="BX73" s="671">
        <f t="shared" si="145"/>
        <v>-2441.6199999999999</v>
      </c>
      <c r="BY73" s="671">
        <f t="shared" si="145"/>
        <v>6639264.3252000203</v>
      </c>
      <c r="BZ73" s="671">
        <f t="shared" si="145"/>
        <v>5007518.9000000004</v>
      </c>
      <c r="CA73" s="671">
        <f t="shared" si="145"/>
        <v>10325226.4</v>
      </c>
      <c r="CB73" s="423"/>
      <c r="CC73" s="671">
        <f t="shared" si="146" ref="CC73:CL73">SUM(CC34:CC72)</f>
        <v>80752867.178599924</v>
      </c>
      <c r="CD73" s="671">
        <f t="shared" si="146"/>
        <v>59354125.579999998</v>
      </c>
      <c r="CE73" s="671">
        <f t="shared" si="146"/>
        <v>-40653.610000000161</v>
      </c>
      <c r="CF73" s="671">
        <f t="shared" si="146"/>
        <v>17958.360000000001</v>
      </c>
      <c r="CG73" s="671">
        <f t="shared" si="146"/>
        <v>59331430.329999998</v>
      </c>
      <c r="CH73" s="671">
        <f t="shared" si="146"/>
        <v>5411788.1586000305</v>
      </c>
      <c r="CI73" s="671">
        <f t="shared" si="146"/>
        <v>-2466.6799999999998</v>
      </c>
      <c r="CJ73" s="671">
        <f t="shared" si="146"/>
        <v>5409321.4786000531</v>
      </c>
      <c r="CK73" s="671">
        <f t="shared" si="146"/>
        <v>5565860.6899999892</v>
      </c>
      <c r="CL73" s="671">
        <f t="shared" si="146"/>
        <v>10446254.670000002</v>
      </c>
      <c r="CM73" s="423"/>
      <c r="CN73" s="671">
        <f t="shared" si="147" ref="CN73:CW73">SUM(CN34:CN72)</f>
        <v>82236302.464599967</v>
      </c>
      <c r="CO73" s="671">
        <f t="shared" si="147"/>
        <v>60765652.799999997</v>
      </c>
      <c r="CP73" s="671">
        <f t="shared" si="147"/>
        <v>-44152.240000000165</v>
      </c>
      <c r="CQ73" s="671">
        <f t="shared" si="147"/>
        <v>18194.77</v>
      </c>
      <c r="CR73" s="671">
        <f t="shared" si="147"/>
        <v>60739695.329999998</v>
      </c>
      <c r="CS73" s="671">
        <f t="shared" si="147"/>
        <v>4142128.5346000204</v>
      </c>
      <c r="CT73" s="671">
        <f t="shared" si="147"/>
        <v>-2465.4699999999998</v>
      </c>
      <c r="CU73" s="671">
        <f t="shared" si="147"/>
        <v>4139663.0646000216</v>
      </c>
      <c r="CV73" s="671">
        <f t="shared" si="147"/>
        <v>6645875.4199999962</v>
      </c>
      <c r="CW73" s="671">
        <f t="shared" si="147"/>
        <v>10711068.660000002</v>
      </c>
      <c r="CX73" s="423"/>
      <c r="CY73" s="671">
        <f t="shared" si="148" ref="CY73:DH73">SUM(CY34:CY72)</f>
        <v>80377561.906399906</v>
      </c>
      <c r="CZ73" s="671">
        <f t="shared" si="148"/>
        <v>60272290.059999995</v>
      </c>
      <c r="DA73" s="671">
        <f t="shared" si="148"/>
        <v>-47934.580000000191</v>
      </c>
      <c r="DB73" s="671">
        <f t="shared" si="148"/>
        <v>17809.259999999998</v>
      </c>
      <c r="DC73" s="671">
        <f t="shared" si="148"/>
        <v>60481570.86999999</v>
      </c>
      <c r="DD73" s="671">
        <f t="shared" si="148"/>
        <v>1942141.1063999943</v>
      </c>
      <c r="DE73" s="671">
        <f t="shared" si="148"/>
        <v>-2486.0300000000002</v>
      </c>
      <c r="DF73" s="671">
        <f t="shared" si="148"/>
        <v>1939655.076400023</v>
      </c>
      <c r="DG73" s="671">
        <f t="shared" si="148"/>
        <v>7224355.659999989</v>
      </c>
      <c r="DH73" s="671">
        <f t="shared" si="148"/>
        <v>10731980.300000001</v>
      </c>
      <c r="DI73" s="423"/>
      <c r="DJ73" s="671">
        <f t="shared" si="149" ref="DJ73:DS73">SUM(DJ34:DJ72)</f>
        <v>80428174.174699992</v>
      </c>
      <c r="DK73" s="671">
        <f t="shared" si="149"/>
        <v>61034341.789999999</v>
      </c>
      <c r="DL73" s="671">
        <f t="shared" si="149"/>
        <v>-71436.32000000024</v>
      </c>
      <c r="DM73" s="671">
        <f t="shared" si="149"/>
        <v>17727.720000000001</v>
      </c>
      <c r="DN73" s="671">
        <f t="shared" si="149"/>
        <v>60980633.180000007</v>
      </c>
      <c r="DO73" s="671">
        <f t="shared" si="149"/>
        <v>517945.16470009333</v>
      </c>
      <c r="DP73" s="671">
        <f t="shared" si="149"/>
        <v>-2503.8800000000001</v>
      </c>
      <c r="DQ73" s="671">
        <f t="shared" si="149"/>
        <v>515441.27470007783</v>
      </c>
      <c r="DR73" s="671">
        <f t="shared" si="149"/>
        <v>7967305.5999999968</v>
      </c>
      <c r="DS73" s="671">
        <f t="shared" si="149"/>
        <v>10964794.08</v>
      </c>
      <c r="DT73" s="423"/>
      <c r="DU73" s="671">
        <f t="shared" si="150" ref="DU73:ED73">SUM(DU34:DU72)</f>
        <v>72601955.379999995</v>
      </c>
      <c r="DV73" s="671">
        <f t="shared" si="150"/>
        <v>67115482.150000006</v>
      </c>
      <c r="DW73" s="671">
        <f t="shared" si="150"/>
        <v>-475342.3900000003</v>
      </c>
      <c r="DX73" s="671">
        <f t="shared" si="150"/>
        <v>17663.790000000001</v>
      </c>
      <c r="DY73" s="671">
        <f t="shared" si="150"/>
        <v>66657803.550000004</v>
      </c>
      <c r="DZ73" s="671">
        <f t="shared" si="150"/>
        <v>-13027595.789999999</v>
      </c>
      <c r="EA73" s="671">
        <f t="shared" si="150"/>
        <v>0</v>
      </c>
      <c r="EB73" s="671">
        <f t="shared" si="150"/>
        <v>-13027595.789999999</v>
      </c>
      <c r="EC73" s="671">
        <f t="shared" si="150"/>
        <v>8115086.5699999966</v>
      </c>
      <c r="ED73" s="671">
        <f t="shared" si="150"/>
        <v>10856661.060000001</v>
      </c>
      <c r="EE73" s="666"/>
      <c r="EH73" s="666"/>
    </row>
    <row r="74" spans="1:134" s="421" customFormat="1" ht="12.75">
      <c r="A74" s="524">
        <f t="shared" si="6"/>
        <v>62</v>
      </c>
      <c r="C74" s="424"/>
      <c r="D74" s="668"/>
      <c r="E74" s="668"/>
      <c r="F74" s="668"/>
      <c r="G74" s="668"/>
      <c r="H74" s="668"/>
      <c r="I74" s="668"/>
      <c r="J74" s="668"/>
      <c r="K74" s="668"/>
      <c r="L74" s="668"/>
      <c r="M74" s="668"/>
      <c r="N74" s="669"/>
      <c r="O74" s="668"/>
      <c r="P74" s="668"/>
      <c r="Q74" s="668"/>
      <c r="R74" s="668"/>
      <c r="S74" s="668"/>
      <c r="T74" s="668"/>
      <c r="U74" s="668"/>
      <c r="V74" s="668"/>
      <c r="W74" s="668"/>
      <c r="X74" s="668"/>
      <c r="Y74" s="423"/>
      <c r="Z74" s="668"/>
      <c r="AA74" s="668"/>
      <c r="AB74" s="668"/>
      <c r="AC74" s="668"/>
      <c r="AD74" s="668"/>
      <c r="AE74" s="668"/>
      <c r="AF74" s="668"/>
      <c r="AG74" s="668"/>
      <c r="AH74" s="668"/>
      <c r="AI74" s="668"/>
      <c r="AJ74" s="423"/>
      <c r="AK74" s="668"/>
      <c r="AL74" s="668"/>
      <c r="AM74" s="668"/>
      <c r="AN74" s="668"/>
      <c r="AO74" s="668"/>
      <c r="AP74" s="668"/>
      <c r="AQ74" s="668"/>
      <c r="AR74" s="668"/>
      <c r="AS74" s="668"/>
      <c r="AT74" s="668"/>
      <c r="AU74" s="755"/>
      <c r="AV74" s="668"/>
      <c r="AW74" s="668"/>
      <c r="AX74" s="668"/>
      <c r="AY74" s="668"/>
      <c r="AZ74" s="668"/>
      <c r="BA74" s="668"/>
      <c r="BB74" s="668"/>
      <c r="BC74" s="668"/>
      <c r="BD74" s="668"/>
      <c r="BE74" s="668"/>
      <c r="BF74" s="755"/>
      <c r="BG74" s="668"/>
      <c r="BH74" s="668"/>
      <c r="BI74" s="668"/>
      <c r="BJ74" s="668"/>
      <c r="BK74" s="668"/>
      <c r="BL74" s="668"/>
      <c r="BM74" s="668"/>
      <c r="BN74" s="668"/>
      <c r="BO74" s="668"/>
      <c r="BP74" s="668"/>
      <c r="BQ74" s="755"/>
      <c r="BR74" s="668"/>
      <c r="BS74" s="668"/>
      <c r="BT74" s="668"/>
      <c r="BU74" s="668"/>
      <c r="BV74" s="668"/>
      <c r="BW74" s="668"/>
      <c r="BX74" s="668"/>
      <c r="BY74" s="668"/>
      <c r="BZ74" s="668"/>
      <c r="CA74" s="668"/>
      <c r="CB74" s="423"/>
      <c r="CC74" s="668"/>
      <c r="CD74" s="668"/>
      <c r="CE74" s="668"/>
      <c r="CF74" s="668"/>
      <c r="CG74" s="668"/>
      <c r="CH74" s="668"/>
      <c r="CI74" s="668"/>
      <c r="CJ74" s="668"/>
      <c r="CK74" s="668"/>
      <c r="CL74" s="668"/>
      <c r="CM74" s="423"/>
      <c r="CN74" s="668"/>
      <c r="CO74" s="668"/>
      <c r="CP74" s="668"/>
      <c r="CQ74" s="668"/>
      <c r="CR74" s="668"/>
      <c r="CS74" s="668"/>
      <c r="CT74" s="668"/>
      <c r="CU74" s="668"/>
      <c r="CV74" s="668"/>
      <c r="CW74" s="668"/>
      <c r="CX74" s="423"/>
      <c r="CY74" s="668"/>
      <c r="CZ74" s="668"/>
      <c r="DA74" s="668"/>
      <c r="DB74" s="668"/>
      <c r="DC74" s="668"/>
      <c r="DD74" s="668"/>
      <c r="DE74" s="668"/>
      <c r="DF74" s="668"/>
      <c r="DG74" s="668"/>
      <c r="DH74" s="668"/>
      <c r="DI74" s="423"/>
      <c r="DJ74" s="668"/>
      <c r="DK74" s="668"/>
      <c r="DL74" s="668"/>
      <c r="DM74" s="668"/>
      <c r="DN74" s="668"/>
      <c r="DO74" s="668"/>
      <c r="DP74" s="668"/>
      <c r="DQ74" s="668"/>
      <c r="DR74" s="668"/>
      <c r="DS74" s="668"/>
      <c r="DT74" s="423"/>
      <c r="DU74" s="668"/>
      <c r="DV74" s="668"/>
      <c r="DW74" s="668"/>
      <c r="DX74" s="668"/>
      <c r="DY74" s="668"/>
      <c r="DZ74" s="668"/>
      <c r="EA74" s="668"/>
      <c r="EB74" s="668"/>
      <c r="EC74" s="668"/>
      <c r="ED74" s="668"/>
    </row>
    <row r="75" spans="1:134" s="423" customFormat="1" ht="13.5" thickBot="1">
      <c r="A75" s="524">
        <f t="shared" si="6"/>
        <v>63</v>
      </c>
      <c r="B75" s="184" t="s">
        <v>514</v>
      </c>
      <c r="C75" s="424"/>
      <c r="D75" s="491">
        <f t="shared" si="151" ref="D75:M75">+D32+D73</f>
        <v>-2232667034.7571988</v>
      </c>
      <c r="E75" s="491">
        <f t="shared" si="151"/>
        <v>-945400440.50999975</v>
      </c>
      <c r="F75" s="491">
        <f t="shared" si="151"/>
        <v>-121673354.71000001</v>
      </c>
      <c r="G75" s="491">
        <f t="shared" si="151"/>
        <v>-1245309.0500000001</v>
      </c>
      <c r="H75" s="491">
        <f t="shared" si="151"/>
        <v>-1068319104.2500002</v>
      </c>
      <c r="I75" s="491">
        <f t="shared" si="151"/>
        <v>-1076776058.8571997</v>
      </c>
      <c r="J75" s="491">
        <f t="shared" si="151"/>
        <v>-9953074.2400000002</v>
      </c>
      <c r="K75" s="491">
        <f t="shared" si="151"/>
        <v>-1086729133.0971997</v>
      </c>
      <c r="L75" s="491">
        <f t="shared" si="151"/>
        <v>-38012529.049999997</v>
      </c>
      <c r="M75" s="491">
        <f t="shared" si="151"/>
        <v>-39606268.350000001</v>
      </c>
      <c r="N75" s="665"/>
      <c r="O75" s="491">
        <f t="shared" si="152" ref="O75:X75">+O32+O73</f>
        <v>-2236119037.2958994</v>
      </c>
      <c r="P75" s="491">
        <f t="shared" si="152"/>
        <v>-949297327.92000008</v>
      </c>
      <c r="Q75" s="491">
        <f t="shared" si="152"/>
        <v>-122360970.44</v>
      </c>
      <c r="R75" s="491">
        <f t="shared" si="152"/>
        <v>-1250002.5</v>
      </c>
      <c r="S75" s="491">
        <f t="shared" si="152"/>
        <v>-1072908300.8400002</v>
      </c>
      <c r="T75" s="491">
        <f t="shared" si="152"/>
        <v>-1075565626.6659</v>
      </c>
      <c r="U75" s="491">
        <f t="shared" si="152"/>
        <v>-10008998.710000001</v>
      </c>
      <c r="V75" s="491">
        <f t="shared" si="152"/>
        <v>-1085574625.3759</v>
      </c>
      <c r="W75" s="491">
        <f t="shared" si="152"/>
        <v>-37633342.170000002</v>
      </c>
      <c r="X75" s="491">
        <f t="shared" si="152"/>
        <v>-40002768.880000003</v>
      </c>
      <c r="Z75" s="491">
        <f t="shared" si="153" ref="Z75:AI75">+Z32+Z73</f>
        <v>-2271946275.3173995</v>
      </c>
      <c r="AA75" s="491">
        <f t="shared" si="153"/>
        <v>-992323733.36999965</v>
      </c>
      <c r="AB75" s="491">
        <f t="shared" si="153"/>
        <v>-123093748.81</v>
      </c>
      <c r="AC75" s="491">
        <f t="shared" si="153"/>
        <v>-1209385.3399999999</v>
      </c>
      <c r="AD75" s="491">
        <f t="shared" si="153"/>
        <v>-1056481283.2499998</v>
      </c>
      <c r="AE75" s="491">
        <f t="shared" si="153"/>
        <v>-1178352085.5474002</v>
      </c>
      <c r="AF75" s="491">
        <f t="shared" si="153"/>
        <v>-10068131.720000001</v>
      </c>
      <c r="AG75" s="491">
        <f t="shared" si="153"/>
        <v>-1093048487.0774002</v>
      </c>
      <c r="AH75" s="491">
        <f t="shared" si="153"/>
        <v>-41693341.089999989</v>
      </c>
      <c r="AI75" s="491">
        <f t="shared" si="153"/>
        <v>-80723163.87999998</v>
      </c>
      <c r="AK75" s="491">
        <f t="shared" si="154" ref="AK75:AT75">+AK32+AK73</f>
        <v>-2278310777.0214996</v>
      </c>
      <c r="AL75" s="491">
        <f t="shared" si="154"/>
        <v>-935297457.85000002</v>
      </c>
      <c r="AM75" s="491">
        <f t="shared" si="154"/>
        <v>-123825255.46000001</v>
      </c>
      <c r="AN75" s="491">
        <f t="shared" si="154"/>
        <v>-1197708.7700000003</v>
      </c>
      <c r="AO75" s="491">
        <f t="shared" si="154"/>
        <v>-1060320422.08</v>
      </c>
      <c r="AP75" s="491">
        <f t="shared" si="154"/>
        <v>-1086319805.4514999</v>
      </c>
      <c r="AQ75" s="491">
        <f t="shared" si="154"/>
        <v>-10126193.6</v>
      </c>
      <c r="AR75" s="491">
        <f t="shared" si="154"/>
        <v>-1096445999.0515001</v>
      </c>
      <c r="AS75" s="491">
        <f t="shared" si="154"/>
        <v>-40482007.089999996</v>
      </c>
      <c r="AT75" s="491">
        <f t="shared" si="154"/>
        <v>-81062348.819999993</v>
      </c>
      <c r="AU75" s="755"/>
      <c r="AV75" s="491">
        <f t="shared" si="155" ref="AV75:BE75">+AV32+AV73</f>
        <v>-2286169031.1714997</v>
      </c>
      <c r="AW75" s="491">
        <f t="shared" si="155"/>
        <v>-939152220.65999997</v>
      </c>
      <c r="AX75" s="491">
        <f t="shared" si="155"/>
        <v>-124537961.15000001</v>
      </c>
      <c r="AY75" s="491">
        <f t="shared" si="155"/>
        <v>-1202834.1899999999</v>
      </c>
      <c r="AZ75" s="491">
        <f t="shared" si="155"/>
        <v>-1064893015.9899998</v>
      </c>
      <c r="BA75" s="491">
        <f t="shared" si="155"/>
        <v>-1089617275.6315002</v>
      </c>
      <c r="BB75" s="491">
        <f t="shared" si="155"/>
        <v>-10184182.18</v>
      </c>
      <c r="BC75" s="491">
        <f t="shared" si="155"/>
        <v>-1099801457.8115003</v>
      </c>
      <c r="BD75" s="491">
        <f t="shared" si="155"/>
        <v>-39954875.839999996</v>
      </c>
      <c r="BE75" s="491">
        <f t="shared" si="155"/>
        <v>-81519681.510000005</v>
      </c>
      <c r="BG75" s="491">
        <f t="shared" si="156" ref="BG75:BP75">+BG32+BG73</f>
        <v>-2293799529.6341987</v>
      </c>
      <c r="BH75" s="491">
        <f t="shared" si="156"/>
        <v>-942907118.88999999</v>
      </c>
      <c r="BI75" s="491">
        <f t="shared" si="156"/>
        <v>-124817982.20999999</v>
      </c>
      <c r="BJ75" s="491">
        <f t="shared" si="156"/>
        <v>-1208365.25</v>
      </c>
      <c r="BK75" s="491">
        <f t="shared" si="156"/>
        <v>-1068933466.37</v>
      </c>
      <c r="BL75" s="491">
        <f t="shared" si="156"/>
        <v>-1093728811.0641997</v>
      </c>
      <c r="BM75" s="491">
        <f t="shared" si="156"/>
        <v>-10206787.27</v>
      </c>
      <c r="BN75" s="491">
        <f t="shared" si="156"/>
        <v>-1103935598.3241997</v>
      </c>
      <c r="BO75" s="491">
        <f t="shared" si="156"/>
        <v>-39295376.519999981</v>
      </c>
      <c r="BP75" s="491">
        <f t="shared" si="156"/>
        <v>-81635088.410000011</v>
      </c>
      <c r="BQ75" s="755"/>
      <c r="BR75" s="491">
        <f t="shared" si="157" ref="BR75:CA75">+BR32+BR73</f>
        <v>-2301730289.1547995</v>
      </c>
      <c r="BS75" s="491">
        <f t="shared" si="157"/>
        <v>-946588012.52999997</v>
      </c>
      <c r="BT75" s="491">
        <f t="shared" si="157"/>
        <v>-125457399.16</v>
      </c>
      <c r="BU75" s="491">
        <f t="shared" si="157"/>
        <v>-1213488.7500000002</v>
      </c>
      <c r="BV75" s="491">
        <f t="shared" si="157"/>
        <v>-1073258900.3999997</v>
      </c>
      <c r="BW75" s="491">
        <f t="shared" si="157"/>
        <v>-1097447649.5947998</v>
      </c>
      <c r="BX75" s="491">
        <f t="shared" si="157"/>
        <v>-10258788.469999999</v>
      </c>
      <c r="BY75" s="491">
        <f t="shared" si="157"/>
        <v>-1107706438.0547998</v>
      </c>
      <c r="BZ75" s="491">
        <f t="shared" si="157"/>
        <v>-38839400.020000003</v>
      </c>
      <c r="CA75" s="491">
        <f t="shared" si="157"/>
        <v>-81925550.620000005</v>
      </c>
      <c r="CC75" s="491">
        <f t="shared" si="158" ref="CC75:CL75">+CC32+CC73</f>
        <v>-2312787478.751399</v>
      </c>
      <c r="CD75" s="491">
        <f t="shared" si="158"/>
        <v>-950743198.99999976</v>
      </c>
      <c r="CE75" s="491">
        <f t="shared" si="158"/>
        <v>-126097116.31</v>
      </c>
      <c r="CF75" s="491">
        <f t="shared" si="158"/>
        <v>-1218632.9299999999</v>
      </c>
      <c r="CG75" s="491">
        <f t="shared" si="158"/>
        <v>-1078058948.2400003</v>
      </c>
      <c r="CH75" s="491">
        <f t="shared" si="158"/>
        <v>-1103468077.7314</v>
      </c>
      <c r="CI75" s="491">
        <f t="shared" si="158"/>
        <v>-10310812.69</v>
      </c>
      <c r="CJ75" s="491">
        <f t="shared" si="158"/>
        <v>-1113778890.4214003</v>
      </c>
      <c r="CK75" s="491">
        <f t="shared" si="158"/>
        <v>-38497201.030000009</v>
      </c>
      <c r="CL75" s="491">
        <f t="shared" si="158"/>
        <v>-82452439.069999993</v>
      </c>
      <c r="CN75" s="491">
        <f t="shared" si="159" ref="CN75:CW75">+CN32+CN73</f>
        <v>-2312475142.495399</v>
      </c>
      <c r="CO75" s="491">
        <f t="shared" si="159"/>
        <v>-949069909.90999997</v>
      </c>
      <c r="CP75" s="491">
        <f t="shared" si="159"/>
        <v>-127127077.44</v>
      </c>
      <c r="CQ75" s="491">
        <f t="shared" si="159"/>
        <v>-1217662.6900000002</v>
      </c>
      <c r="CR75" s="491">
        <f t="shared" si="159"/>
        <v>-1077414650.05</v>
      </c>
      <c r="CS75" s="491">
        <f t="shared" si="159"/>
        <v>-1104557106.5054002</v>
      </c>
      <c r="CT75" s="491">
        <f t="shared" si="159"/>
        <v>-10394751.100000002</v>
      </c>
      <c r="CU75" s="491">
        <f t="shared" si="159"/>
        <v>-1114951857.6054001</v>
      </c>
      <c r="CV75" s="491">
        <f t="shared" si="159"/>
        <v>-37459816.800000012</v>
      </c>
      <c r="CW75" s="491">
        <f t="shared" si="159"/>
        <v>-82648818.019999996</v>
      </c>
      <c r="CY75" s="491">
        <f t="shared" si="160" ref="CY75:DH75">+CY32+CY73</f>
        <v>-2323954329.5336003</v>
      </c>
      <c r="CZ75" s="491">
        <f t="shared" si="160"/>
        <v>-953447478.63000011</v>
      </c>
      <c r="DA75" s="491">
        <f t="shared" si="160"/>
        <v>-127785944.86</v>
      </c>
      <c r="DB75" s="491">
        <f t="shared" si="160"/>
        <v>-1222654.7599999995</v>
      </c>
      <c r="DC75" s="491">
        <f t="shared" si="160"/>
        <v>-1082216672.1000001</v>
      </c>
      <c r="DD75" s="491">
        <f t="shared" si="160"/>
        <v>-1111059524.4336</v>
      </c>
      <c r="DE75" s="491">
        <f t="shared" si="160"/>
        <v>-10448341.649999999</v>
      </c>
      <c r="DF75" s="491">
        <f t="shared" si="160"/>
        <v>-1121507866.0835998</v>
      </c>
      <c r="DG75" s="491">
        <f t="shared" si="160"/>
        <v>-37070205.830000013</v>
      </c>
      <c r="DH75" s="491">
        <f t="shared" si="160"/>
        <v>-83159585.519999996</v>
      </c>
      <c r="DJ75" s="491">
        <f t="shared" si="161" ref="DJ75:DS75">+DJ32+DJ73</f>
        <v>-2334579910.2953</v>
      </c>
      <c r="DK75" s="491">
        <f t="shared" si="161"/>
        <v>-956944884.05000007</v>
      </c>
      <c r="DL75" s="491">
        <f t="shared" si="161"/>
        <v>-128464531.69</v>
      </c>
      <c r="DM75" s="491">
        <f t="shared" si="161"/>
        <v>-1227663.1799999999</v>
      </c>
      <c r="DN75" s="491">
        <f t="shared" si="161"/>
        <v>-1086637078.9200001</v>
      </c>
      <c r="DO75" s="491">
        <f t="shared" si="161"/>
        <v>-1117234006.2352998</v>
      </c>
      <c r="DP75" s="491">
        <f t="shared" si="161"/>
        <v>-10501929.49</v>
      </c>
      <c r="DQ75" s="491">
        <f t="shared" si="161"/>
        <v>-1127735935.7352996</v>
      </c>
      <c r="DR75" s="491">
        <f t="shared" si="161"/>
        <v>-36550677.980000004</v>
      </c>
      <c r="DS75" s="491">
        <f t="shared" si="161"/>
        <v>-83656217.729999989</v>
      </c>
      <c r="DU75" s="491">
        <f t="shared" si="162" ref="DU75:ED75">+DU32+DU73</f>
        <v>-2347893771.4499989</v>
      </c>
      <c r="DV75" s="491">
        <f t="shared" si="162"/>
        <v>-951633684.86999989</v>
      </c>
      <c r="DW75" s="491">
        <f t="shared" si="162"/>
        <v>-129921592.42</v>
      </c>
      <c r="DX75" s="491">
        <f t="shared" si="162"/>
        <v>-1226987.2099999997</v>
      </c>
      <c r="DY75" s="491">
        <f t="shared" si="162"/>
        <v>-1082782264.5000002</v>
      </c>
      <c r="DZ75" s="491">
        <f t="shared" si="162"/>
        <v>-1132059195.6699996</v>
      </c>
      <c r="EA75" s="491">
        <f t="shared" si="162"/>
        <v>-10585547.99</v>
      </c>
      <c r="EB75" s="491">
        <f t="shared" si="162"/>
        <v>-1142644743.6599996</v>
      </c>
      <c r="EC75" s="491">
        <f t="shared" si="162"/>
        <v>-36656474.200000018</v>
      </c>
      <c r="ED75" s="491">
        <f t="shared" si="162"/>
        <v>-85810289.080000028</v>
      </c>
    </row>
    <row r="76" spans="2:134" ht="12.75">
      <c r="B76" s="352"/>
      <c r="M76" s="677"/>
      <c r="N76" s="678"/>
      <c r="X76" s="677"/>
      <c r="AI76" s="677"/>
      <c r="AT76" s="677"/>
      <c r="BE76" s="677"/>
      <c r="BP76" s="677"/>
      <c r="CA76" s="677"/>
      <c r="CL76" s="677"/>
      <c r="CW76" s="677"/>
      <c r="DH76" s="677"/>
      <c r="DS76" s="677"/>
      <c r="ED76" s="677"/>
    </row>
    <row r="77" spans="13:134" ht="12.75">
      <c r="M77" s="677">
        <f>+D75-H75-K75-L75-M75</f>
        <v>-0.0099988952279090881</v>
      </c>
      <c r="N77" s="678"/>
      <c r="X77" s="677">
        <f>+O75-S75-V75-W75-X75</f>
        <v>-0.029999203979969025</v>
      </c>
      <c r="AI77" s="677">
        <f>+Z75-AD75-AG75-AH75-AI75</f>
        <v>-0.019999563694000244</v>
      </c>
      <c r="AT77" s="677">
        <f>+AK75-AO75-AR75-AS75-AT75</f>
        <v>0.020000368356704712</v>
      </c>
      <c r="BE77" s="677">
        <f>+AV75-AZ75-BC75-BD75-BE75</f>
        <v>-0.019999638199806213</v>
      </c>
      <c r="BP77" s="677">
        <f>+BG75-BK75-BN75-BO75-BP75</f>
        <v>-0.0099991112947463989</v>
      </c>
      <c r="CA77" s="677">
        <f>+BR75-BV75-BY75-BZ75-CA75</f>
        <v>-0.060000032186508179</v>
      </c>
      <c r="CL77" s="677">
        <f>+CC75-CG75-CJ75-CK75-CL75</f>
        <v>0.010001510381698608</v>
      </c>
      <c r="CW77" s="677">
        <f>+CN75-CR75-CU75-CV75-CW75</f>
        <v>-0.019998952746391296</v>
      </c>
      <c r="DH77" s="677">
        <f>+CY75-DC75-DF75-DG75-DH75</f>
        <v>-3.7252902984619141E-07</v>
      </c>
      <c r="DS77" s="677">
        <f>+DJ75-DN75-DQ75-DR75-DS75</f>
        <v>0.069999650120735168</v>
      </c>
      <c r="ED77" s="677">
        <f>+DU75-DY75-EB75-EC75-ED75</f>
        <v>-0.0099989622831344604</v>
      </c>
    </row>
    <row r="78" spans="125:134" ht="12.75">
      <c r="DU78" s="680">
        <f>+'II-E-3.5'!K95</f>
        <v>2347893771.4500003</v>
      </c>
      <c r="DV78" s="680">
        <f>+'II-E-3.5'!O95</f>
        <v>951633684.86999989</v>
      </c>
      <c r="DW78" s="680">
        <f>+'II-E-3.5'!P95</f>
        <v>129921592.42</v>
      </c>
      <c r="DX78" s="680">
        <f>+'II-E-3.5'!Q95</f>
        <v>1226987.2099999997</v>
      </c>
      <c r="DY78" s="680">
        <f>+'II-E-3.5'!R95</f>
        <v>1082782264.5000002</v>
      </c>
      <c r="DZ78" s="680">
        <f>+'II-E-3.5'!S95</f>
        <v>1132059195.6699996</v>
      </c>
      <c r="EA78" s="680">
        <f>+'II-E-3.5'!T95</f>
        <v>10585547.99</v>
      </c>
      <c r="EB78" s="680">
        <f>+'II-E-3.5'!U95</f>
        <v>1142644743.6599996</v>
      </c>
      <c r="EC78" s="680">
        <f>+'II-E-3.5'!V95</f>
        <v>36656474.20000001</v>
      </c>
      <c r="ED78" s="680">
        <f>+'II-E-3.5'!W95</f>
        <v>85810289.089999706</v>
      </c>
    </row>
    <row r="79" spans="125:134" ht="12.75">
      <c r="DU79" s="680">
        <f t="shared" si="163" ref="DU79:ED79">+DU78+DU75</f>
        <v>0</v>
      </c>
      <c r="DV79" s="680">
        <f t="shared" si="163"/>
        <v>0</v>
      </c>
      <c r="DW79" s="680">
        <f t="shared" si="163"/>
        <v>0</v>
      </c>
      <c r="DX79" s="680">
        <f t="shared" si="163"/>
        <v>0</v>
      </c>
      <c r="DY79" s="680">
        <f t="shared" si="163"/>
        <v>0</v>
      </c>
      <c r="DZ79" s="680">
        <f t="shared" si="163"/>
        <v>0</v>
      </c>
      <c r="EA79" s="680">
        <f t="shared" si="163"/>
        <v>0</v>
      </c>
      <c r="EB79" s="680">
        <f t="shared" si="163"/>
        <v>0</v>
      </c>
      <c r="EC79" s="680">
        <f t="shared" si="163"/>
        <v>0</v>
      </c>
      <c r="ED79" s="680">
        <f t="shared" si="163"/>
        <v>0.0099996775388717651</v>
      </c>
    </row>
    <row r="80" spans="4:134" ht="12.75">
      <c r="D80" s="457"/>
      <c r="E80" s="457"/>
      <c r="F80" s="457"/>
      <c r="G80" s="457"/>
      <c r="H80" s="457"/>
      <c r="I80" s="457"/>
      <c r="J80" s="457"/>
      <c r="K80" s="457"/>
      <c r="L80" s="457"/>
      <c r="M80" s="457"/>
      <c r="N80" s="679"/>
      <c r="O80" s="457"/>
      <c r="P80" s="457"/>
      <c r="Q80" s="457"/>
      <c r="R80" s="457"/>
      <c r="S80" s="457"/>
      <c r="T80" s="457"/>
      <c r="U80" s="457"/>
      <c r="V80" s="457"/>
      <c r="W80" s="457"/>
      <c r="X80" s="457"/>
      <c r="Z80" s="457"/>
      <c r="AA80" s="457"/>
      <c r="AB80" s="457"/>
      <c r="AC80" s="457"/>
      <c r="AD80" s="457"/>
      <c r="AE80" s="457"/>
      <c r="AF80" s="457"/>
      <c r="AG80" s="457"/>
      <c r="AH80" s="457"/>
      <c r="AI80" s="457"/>
      <c r="AK80" s="457"/>
      <c r="AL80" s="457"/>
      <c r="AM80" s="457"/>
      <c r="AN80" s="457"/>
      <c r="AO80" s="457"/>
      <c r="AP80" s="457"/>
      <c r="AQ80" s="457"/>
      <c r="AR80" s="457"/>
      <c r="AS80" s="457"/>
      <c r="AT80" s="457"/>
      <c r="AV80" s="457"/>
      <c r="AW80" s="457"/>
      <c r="AX80" s="457"/>
      <c r="AY80" s="457"/>
      <c r="AZ80" s="457"/>
      <c r="BA80" s="457"/>
      <c r="BB80" s="457"/>
      <c r="BC80" s="457"/>
      <c r="BD80" s="457"/>
      <c r="BE80" s="457"/>
      <c r="BG80" s="457"/>
      <c r="BH80" s="457"/>
      <c r="BI80" s="457"/>
      <c r="BJ80" s="457"/>
      <c r="BK80" s="457"/>
      <c r="BL80" s="457"/>
      <c r="BM80" s="457"/>
      <c r="BN80" s="457"/>
      <c r="BO80" s="457"/>
      <c r="BP80" s="457"/>
      <c r="BR80" s="457"/>
      <c r="BS80" s="457"/>
      <c r="BT80" s="457"/>
      <c r="BU80" s="457"/>
      <c r="BV80" s="457"/>
      <c r="BW80" s="457"/>
      <c r="BX80" s="457"/>
      <c r="BY80" s="457"/>
      <c r="BZ80" s="457"/>
      <c r="CA80" s="457"/>
      <c r="CC80" s="457"/>
      <c r="CD80" s="457"/>
      <c r="CE80" s="457"/>
      <c r="CF80" s="457"/>
      <c r="CG80" s="457"/>
      <c r="CH80" s="457"/>
      <c r="CI80" s="457"/>
      <c r="CJ80" s="457"/>
      <c r="CK80" s="457"/>
      <c r="CL80" s="457"/>
      <c r="CN80" s="457"/>
      <c r="CO80" s="457"/>
      <c r="CP80" s="457"/>
      <c r="CQ80" s="457"/>
      <c r="CR80" s="457"/>
      <c r="CS80" s="457"/>
      <c r="CT80" s="457"/>
      <c r="CU80" s="457"/>
      <c r="CV80" s="457"/>
      <c r="CW80" s="457"/>
      <c r="CY80" s="457"/>
      <c r="CZ80" s="457"/>
      <c r="DA80" s="457"/>
      <c r="DB80" s="457"/>
      <c r="DC80" s="457"/>
      <c r="DD80" s="457"/>
      <c r="DE80" s="457"/>
      <c r="DF80" s="457"/>
      <c r="DG80" s="457"/>
      <c r="DH80" s="457"/>
      <c r="DJ80" s="457"/>
      <c r="DK80" s="457"/>
      <c r="DL80" s="457"/>
      <c r="DM80" s="457"/>
      <c r="DN80" s="457"/>
      <c r="DO80" s="457"/>
      <c r="DP80" s="457"/>
      <c r="DQ80" s="457"/>
      <c r="DR80" s="457"/>
      <c r="DS80" s="457"/>
      <c r="DU80" s="457"/>
      <c r="DV80" s="457"/>
      <c r="DW80" s="457"/>
      <c r="DX80" s="457"/>
      <c r="DY80" s="457"/>
      <c r="DZ80" s="457"/>
      <c r="EA80" s="457"/>
      <c r="EB80" s="457"/>
      <c r="EC80" s="457"/>
      <c r="ED80" s="457"/>
    </row>
    <row r="82" spans="4:114" ht="12.75">
      <c r="D82" s="105"/>
      <c r="O82" s="105"/>
      <c r="Z82" s="105"/>
      <c r="AK82" s="105"/>
      <c r="AV82" s="105"/>
      <c r="BG82" s="105"/>
      <c r="BR82" s="105"/>
      <c r="CC82" s="105"/>
      <c r="CN82" s="105"/>
      <c r="CY82" s="105"/>
      <c r="DJ82" s="105"/>
    </row>
  </sheetData>
  <printOptions horizontalCentered="1"/>
  <pageMargins left="0.5" right="0.5" top="3" bottom="0.5" header="1.5" footer="0.5"/>
  <pageSetup orientation="landscape" scale="55" r:id="rId1"/>
  <headerFooter>
    <oddHeader>&amp;C&amp;B
2022 RATE CASE
ONCOR ELECTRIC DELIVERY COMPANY LLC
II-E-3.5  ADFIT - MONTHLY
TEST YEAR ENDING DECEMBER 31, 2021
SPONSOR: B. L. CLUTTER&amp;R&amp;"Arial,Bold"Schedule &amp;A
Page &amp;P of &amp;N</oddHeader>
  </headerFooter>
  <rowBreaks count="2" manualBreakCount="2">
    <brk id="32" max="133" man="1"/>
    <brk id="75" max="85" man="1"/>
  </rowBreaks>
  <colBreaks count="11" manualBreakCount="11">
    <brk id="13" min="9" max="74" man="1"/>
    <brk id="24" min="9" max="74" man="1"/>
    <brk id="35" min="9" max="74" man="1"/>
    <brk id="46" min="9" max="74" man="1"/>
    <brk id="57" min="9" max="74" man="1"/>
    <brk id="68" min="9" max="74" man="1"/>
    <brk id="79" min="9" max="74" man="1"/>
    <brk id="90" min="9" max="74" man="1"/>
    <brk id="101" min="9" max="74" man="1"/>
    <brk id="112" min="9" max="74" man="1"/>
    <brk id="123" min="9" max="74"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
    <tabColor rgb="FF92D050"/>
    <pageSetUpPr fitToPage="1"/>
  </sheetPr>
  <dimension ref="A1:F114"/>
  <sheetViews>
    <sheetView zoomScale="80" zoomScaleNormal="80" workbookViewId="0" topLeftCell="A1">
      <pane ySplit="11" topLeftCell="A12" activePane="bottomLeft" state="frozen"/>
      <selection pane="topLeft" activeCell="H16" sqref="H16"/>
      <selection pane="bottomLeft" activeCell="H16" sqref="H16"/>
    </sheetView>
  </sheetViews>
  <sheetFormatPr defaultColWidth="9.14428571428571" defaultRowHeight="12.75"/>
  <cols>
    <col min="1" max="1" width="9.14285714285714" style="352" customWidth="1"/>
    <col min="2" max="2" width="43.7142857142857" style="353" bestFit="1" customWidth="1"/>
    <col min="3" max="3" width="83.4285714285714" style="197" customWidth="1"/>
    <col min="4" max="4" width="73.4285714285714" style="352" customWidth="1"/>
    <col min="5" max="5" width="84.8571428571429" style="352" bestFit="1" customWidth="1"/>
    <col min="6" max="6" width="47.2857142857143" style="352" bestFit="1" customWidth="1"/>
    <col min="7" max="16384" width="9.14285714285714" style="352"/>
  </cols>
  <sheetData>
    <row r="1" spans="1:1" ht="12.75">
      <c r="A1" s="201" t="str">
        <f>+'[3]Input Data'!$A$9</f>
        <v>2022 RATE CASE</v>
      </c>
    </row>
    <row r="2" spans="1:1" ht="12.75">
      <c r="A2" s="193" t="str">
        <f>+'[3]Input Data'!$A$2</f>
        <v>ONCOR ELECTRIC DELIVERY COMPANY LLC</v>
      </c>
    </row>
    <row r="3" spans="1:1" ht="12.75">
      <c r="A3" s="192" t="str">
        <f>CONCATENATE('[3]Schedule Sponsors'!$A$91,'[3]Schedule Sponsors'!$B$91)</f>
        <v>II-E-3.6  ADFIT – DESCRIPTION OF TIMING DIFFERENCES</v>
      </c>
    </row>
    <row r="4" spans="1:1" ht="12.75">
      <c r="A4" s="192" t="str">
        <f>+'[3]Input Data'!$A$4</f>
        <v>TEST YEAR ENDING DECEMBER 31, 2021</v>
      </c>
    </row>
    <row r="5" spans="1:1" ht="12.75">
      <c r="A5" s="190" t="str">
        <f>CONCATENATE("SPONSOR: ",'[3]Schedule Sponsors'!$D$93)</f>
        <v>SPONSOR: B. L. CLUTTER</v>
      </c>
    </row>
    <row r="9" ht="13.5" thickBot="1"/>
    <row r="10" spans="1:4" s="439" customFormat="1" ht="12.75">
      <c r="A10" s="786" t="s">
        <v>485</v>
      </c>
      <c r="B10" s="787" t="s">
        <v>42</v>
      </c>
      <c r="C10" s="787" t="s">
        <v>69</v>
      </c>
      <c r="D10" s="788" t="s">
        <v>515</v>
      </c>
    </row>
    <row r="11" spans="1:4" s="440" customFormat="1" ht="13.5" thickBot="1">
      <c r="A11" s="712"/>
      <c r="B11" s="713" t="s">
        <v>237</v>
      </c>
      <c r="C11" s="714" t="s">
        <v>238</v>
      </c>
      <c r="D11" s="715" t="s">
        <v>239</v>
      </c>
    </row>
    <row r="12" spans="1:4" s="442" customFormat="1" ht="12.75">
      <c r="A12" s="689">
        <v>1</v>
      </c>
      <c r="B12" s="690" t="s">
        <v>518</v>
      </c>
      <c r="C12" s="691"/>
      <c r="D12" s="692"/>
    </row>
    <row r="13" spans="1:4" s="442" customFormat="1" ht="25.5">
      <c r="A13" s="693">
        <f>+A12+1</f>
        <v>2</v>
      </c>
      <c r="B13" s="695" t="s">
        <v>1110</v>
      </c>
      <c r="C13" s="789" t="s">
        <v>945</v>
      </c>
      <c r="D13" s="698" t="s">
        <v>1214</v>
      </c>
    </row>
    <row r="14" spans="1:4" s="442" customFormat="1" ht="102">
      <c r="A14" s="693">
        <f t="shared" si="0" ref="A14:A62">+A13+1</f>
        <v>3</v>
      </c>
      <c r="B14" s="691" t="s">
        <v>943</v>
      </c>
      <c r="C14" s="790" t="s">
        <v>944</v>
      </c>
      <c r="D14" s="694" t="s">
        <v>523</v>
      </c>
    </row>
    <row r="15" spans="1:4" s="442" customFormat="1" ht="63.75">
      <c r="A15" s="693">
        <f t="shared" si="0"/>
        <v>4</v>
      </c>
      <c r="B15" s="702" t="s">
        <v>946</v>
      </c>
      <c r="C15" s="697" t="s">
        <v>1215</v>
      </c>
      <c r="D15" s="696" t="s">
        <v>535</v>
      </c>
    </row>
    <row r="16" spans="1:4" s="442" customFormat="1" ht="25.5">
      <c r="A16" s="693">
        <f t="shared" si="0"/>
        <v>5</v>
      </c>
      <c r="B16" s="695" t="s">
        <v>949</v>
      </c>
      <c r="C16" s="697" t="s">
        <v>528</v>
      </c>
      <c r="D16" s="698" t="s">
        <v>529</v>
      </c>
    </row>
    <row r="17" spans="1:4" s="442" customFormat="1" ht="25.5">
      <c r="A17" s="693">
        <f t="shared" si="0"/>
        <v>6</v>
      </c>
      <c r="B17" s="702" t="s">
        <v>370</v>
      </c>
      <c r="C17" s="695" t="s">
        <v>1283</v>
      </c>
      <c r="D17" s="696" t="s">
        <v>525</v>
      </c>
    </row>
    <row r="18" spans="1:4" s="442" customFormat="1" ht="38.25">
      <c r="A18" s="693">
        <f t="shared" si="0"/>
        <v>7</v>
      </c>
      <c r="B18" s="695" t="s">
        <v>947</v>
      </c>
      <c r="C18" s="695" t="s">
        <v>524</v>
      </c>
      <c r="D18" s="696" t="s">
        <v>525</v>
      </c>
    </row>
    <row r="19" spans="1:4" s="442" customFormat="1" ht="38.25">
      <c r="A19" s="693">
        <f t="shared" si="0"/>
        <v>8</v>
      </c>
      <c r="B19" s="695" t="s">
        <v>948</v>
      </c>
      <c r="C19" s="695" t="s">
        <v>526</v>
      </c>
      <c r="D19" s="696" t="s">
        <v>527</v>
      </c>
    </row>
    <row r="20" spans="1:4" s="442" customFormat="1" ht="63.75">
      <c r="A20" s="693">
        <f t="shared" si="0"/>
        <v>9</v>
      </c>
      <c r="B20" s="695" t="s">
        <v>1201</v>
      </c>
      <c r="C20" s="695" t="s">
        <v>1216</v>
      </c>
      <c r="D20" s="696" t="s">
        <v>530</v>
      </c>
    </row>
    <row r="21" spans="1:4" s="442" customFormat="1" ht="51">
      <c r="A21" s="693">
        <f t="shared" si="0"/>
        <v>10</v>
      </c>
      <c r="B21" s="695" t="s">
        <v>1208</v>
      </c>
      <c r="C21" s="695" t="s">
        <v>543</v>
      </c>
      <c r="D21" s="696" t="s">
        <v>531</v>
      </c>
    </row>
    <row r="22" spans="1:4" s="442" customFormat="1" ht="12.75">
      <c r="A22" s="693">
        <f t="shared" si="0"/>
        <v>11</v>
      </c>
      <c r="B22" s="699"/>
      <c r="C22" s="697"/>
      <c r="D22" s="700"/>
    </row>
    <row r="23" spans="1:4" s="442" customFormat="1" ht="12.75">
      <c r="A23" s="693">
        <f t="shared" si="0"/>
        <v>12</v>
      </c>
      <c r="B23" s="701" t="s">
        <v>519</v>
      </c>
      <c r="C23" s="697"/>
      <c r="D23" s="700"/>
    </row>
    <row r="24" spans="1:4" s="442" customFormat="1" ht="25.5">
      <c r="A24" s="693">
        <f t="shared" si="0"/>
        <v>13</v>
      </c>
      <c r="B24" s="702" t="s">
        <v>369</v>
      </c>
      <c r="C24" s="695" t="s">
        <v>532</v>
      </c>
      <c r="D24" s="696" t="s">
        <v>533</v>
      </c>
    </row>
    <row r="25" spans="1:4" s="442" customFormat="1" ht="25.5">
      <c r="A25" s="693">
        <f t="shared" si="0"/>
        <v>14</v>
      </c>
      <c r="B25" s="702" t="s">
        <v>445</v>
      </c>
      <c r="C25" s="695" t="s">
        <v>950</v>
      </c>
      <c r="D25" s="696" t="s">
        <v>535</v>
      </c>
    </row>
    <row r="26" spans="1:4" s="442" customFormat="1" ht="38.25">
      <c r="A26" s="693">
        <f t="shared" si="0"/>
        <v>15</v>
      </c>
      <c r="B26" s="702" t="s">
        <v>423</v>
      </c>
      <c r="C26" s="695" t="s">
        <v>951</v>
      </c>
      <c r="D26" s="696" t="s">
        <v>535</v>
      </c>
    </row>
    <row r="27" spans="1:4" s="442" customFormat="1" ht="38.25">
      <c r="A27" s="693">
        <f t="shared" si="0"/>
        <v>16</v>
      </c>
      <c r="B27" s="702" t="s">
        <v>666</v>
      </c>
      <c r="C27" s="695" t="s">
        <v>1217</v>
      </c>
      <c r="D27" s="696" t="s">
        <v>952</v>
      </c>
    </row>
    <row r="28" spans="1:4" s="442" customFormat="1" ht="25.5">
      <c r="A28" s="693">
        <f t="shared" si="0"/>
        <v>17</v>
      </c>
      <c r="B28" s="695" t="s">
        <v>387</v>
      </c>
      <c r="C28" s="695" t="s">
        <v>953</v>
      </c>
      <c r="D28" s="696" t="s">
        <v>954</v>
      </c>
    </row>
    <row r="29" spans="1:4" s="442" customFormat="1" ht="63.75">
      <c r="A29" s="693">
        <f t="shared" si="0"/>
        <v>18</v>
      </c>
      <c r="B29" s="702" t="s">
        <v>1202</v>
      </c>
      <c r="C29" s="695" t="s">
        <v>1218</v>
      </c>
      <c r="D29" s="696" t="s">
        <v>536</v>
      </c>
    </row>
    <row r="30" spans="1:4" s="442" customFormat="1" ht="38.25">
      <c r="A30" s="693">
        <f t="shared" si="0"/>
        <v>19</v>
      </c>
      <c r="B30" s="702" t="s">
        <v>1203</v>
      </c>
      <c r="C30" s="703" t="s">
        <v>537</v>
      </c>
      <c r="D30" s="704" t="s">
        <v>538</v>
      </c>
    </row>
    <row r="31" spans="1:4" s="442" customFormat="1" ht="25.5">
      <c r="A31" s="693">
        <f t="shared" si="0"/>
        <v>20</v>
      </c>
      <c r="B31" s="695" t="s">
        <v>1204</v>
      </c>
      <c r="C31" s="695" t="s">
        <v>1219</v>
      </c>
      <c r="D31" s="696" t="s">
        <v>535</v>
      </c>
    </row>
    <row r="32" spans="1:4" s="442" customFormat="1" ht="25.5">
      <c r="A32" s="693">
        <f t="shared" si="0"/>
        <v>21</v>
      </c>
      <c r="B32" s="697" t="s">
        <v>544</v>
      </c>
      <c r="C32" s="697" t="s">
        <v>1220</v>
      </c>
      <c r="D32" s="700" t="s">
        <v>539</v>
      </c>
    </row>
    <row r="33" spans="1:4" s="442" customFormat="1" ht="25.5">
      <c r="A33" s="693">
        <f t="shared" si="0"/>
        <v>22</v>
      </c>
      <c r="B33" s="702" t="s">
        <v>441</v>
      </c>
      <c r="C33" s="703" t="s">
        <v>1221</v>
      </c>
      <c r="D33" s="704" t="s">
        <v>955</v>
      </c>
    </row>
    <row r="34" spans="1:4" s="442" customFormat="1" ht="38.25">
      <c r="A34" s="693">
        <f t="shared" si="0"/>
        <v>23</v>
      </c>
      <c r="B34" s="702" t="s">
        <v>442</v>
      </c>
      <c r="C34" s="695" t="s">
        <v>1222</v>
      </c>
      <c r="D34" s="696" t="s">
        <v>535</v>
      </c>
    </row>
    <row r="35" spans="1:4" s="442" customFormat="1" ht="38.25">
      <c r="A35" s="693">
        <f t="shared" si="0"/>
        <v>24</v>
      </c>
      <c r="B35" s="695" t="s">
        <v>1205</v>
      </c>
      <c r="C35" s="695" t="s">
        <v>1223</v>
      </c>
      <c r="D35" s="696" t="s">
        <v>535</v>
      </c>
    </row>
    <row r="36" spans="1:4" s="442" customFormat="1" ht="25.5">
      <c r="A36" s="693">
        <f t="shared" si="0"/>
        <v>25</v>
      </c>
      <c r="B36" s="702" t="s">
        <v>668</v>
      </c>
      <c r="C36" s="695" t="s">
        <v>1224</v>
      </c>
      <c r="D36" s="696" t="s">
        <v>535</v>
      </c>
    </row>
    <row r="37" spans="1:4" s="442" customFormat="1" ht="25.5">
      <c r="A37" s="693">
        <f t="shared" si="0"/>
        <v>26</v>
      </c>
      <c r="B37" s="702" t="s">
        <v>956</v>
      </c>
      <c r="C37" s="695" t="s">
        <v>1225</v>
      </c>
      <c r="D37" s="696" t="s">
        <v>535</v>
      </c>
    </row>
    <row r="38" spans="1:4" s="442" customFormat="1" ht="25.5">
      <c r="A38" s="693">
        <f t="shared" si="0"/>
        <v>27</v>
      </c>
      <c r="B38" s="702" t="s">
        <v>670</v>
      </c>
      <c r="C38" s="695" t="s">
        <v>1226</v>
      </c>
      <c r="D38" s="696" t="s">
        <v>957</v>
      </c>
    </row>
    <row r="39" spans="1:4" s="442" customFormat="1" ht="25.5">
      <c r="A39" s="693">
        <f t="shared" si="0"/>
        <v>28</v>
      </c>
      <c r="B39" s="702" t="s">
        <v>672</v>
      </c>
      <c r="C39" s="695" t="s">
        <v>1227</v>
      </c>
      <c r="D39" s="696" t="s">
        <v>957</v>
      </c>
    </row>
    <row r="40" spans="1:4" s="442" customFormat="1" ht="25.5">
      <c r="A40" s="693">
        <f t="shared" si="0"/>
        <v>29</v>
      </c>
      <c r="B40" s="702" t="s">
        <v>1228</v>
      </c>
      <c r="C40" s="695" t="s">
        <v>1229</v>
      </c>
      <c r="D40" s="696" t="s">
        <v>958</v>
      </c>
    </row>
    <row r="41" spans="1:6" s="443" customFormat="1" ht="12.75">
      <c r="A41" s="693">
        <f t="shared" si="0"/>
        <v>30</v>
      </c>
      <c r="B41" s="705"/>
      <c r="C41" s="697"/>
      <c r="D41" s="706"/>
      <c r="E41" s="442"/>
      <c r="F41" s="442"/>
    </row>
    <row r="42" spans="1:4" s="442" customFormat="1" ht="12.75">
      <c r="A42" s="693">
        <f t="shared" si="0"/>
        <v>31</v>
      </c>
      <c r="B42" s="701" t="s">
        <v>516</v>
      </c>
      <c r="C42" s="707"/>
      <c r="D42" s="706"/>
    </row>
    <row r="43" spans="1:4" s="442" customFormat="1" ht="25.5">
      <c r="A43" s="693">
        <f t="shared" si="0"/>
        <v>32</v>
      </c>
      <c r="B43" s="695" t="s">
        <v>1117</v>
      </c>
      <c r="C43" s="789" t="s">
        <v>1230</v>
      </c>
      <c r="D43" s="698" t="s">
        <v>1231</v>
      </c>
    </row>
    <row r="44" spans="1:4" s="442" customFormat="1" ht="25.5">
      <c r="A44" s="693">
        <f t="shared" si="0"/>
        <v>33</v>
      </c>
      <c r="B44" s="702" t="s">
        <v>26</v>
      </c>
      <c r="C44" s="695" t="s">
        <v>545</v>
      </c>
      <c r="D44" s="696" t="s">
        <v>540</v>
      </c>
    </row>
    <row r="45" spans="1:4" s="442" customFormat="1" ht="25.5">
      <c r="A45" s="693">
        <f t="shared" si="0"/>
        <v>34</v>
      </c>
      <c r="B45" s="702" t="s">
        <v>622</v>
      </c>
      <c r="C45" s="708" t="s">
        <v>546</v>
      </c>
      <c r="D45" s="696" t="s">
        <v>534</v>
      </c>
    </row>
    <row r="46" spans="1:4" s="442" customFormat="1" ht="25.5">
      <c r="A46" s="693">
        <f t="shared" si="0"/>
        <v>35</v>
      </c>
      <c r="B46" s="702" t="s">
        <v>189</v>
      </c>
      <c r="C46" s="695" t="s">
        <v>959</v>
      </c>
      <c r="D46" s="700" t="s">
        <v>547</v>
      </c>
    </row>
    <row r="47" spans="1:4" s="442" customFormat="1" ht="25.5">
      <c r="A47" s="693">
        <f t="shared" si="0"/>
        <v>36</v>
      </c>
      <c r="B47" s="702" t="s">
        <v>444</v>
      </c>
      <c r="C47" s="695" t="s">
        <v>548</v>
      </c>
      <c r="D47" s="696" t="s">
        <v>517</v>
      </c>
    </row>
    <row r="48" spans="1:4" s="442" customFormat="1" ht="25.5">
      <c r="A48" s="693">
        <f t="shared" si="0"/>
        <v>37</v>
      </c>
      <c r="B48" s="702" t="s">
        <v>673</v>
      </c>
      <c r="C48" s="695" t="s">
        <v>549</v>
      </c>
      <c r="D48" s="696" t="s">
        <v>541</v>
      </c>
    </row>
    <row r="49" spans="1:4" s="442" customFormat="1" ht="38.25">
      <c r="A49" s="693">
        <f t="shared" si="0"/>
        <v>38</v>
      </c>
      <c r="B49" s="702" t="s">
        <v>674</v>
      </c>
      <c r="C49" s="695" t="s">
        <v>1232</v>
      </c>
      <c r="D49" s="696" t="s">
        <v>960</v>
      </c>
    </row>
    <row r="50" spans="1:4" s="442" customFormat="1" ht="38.25">
      <c r="A50" s="693">
        <f t="shared" si="0"/>
        <v>39</v>
      </c>
      <c r="B50" s="702" t="s">
        <v>675</v>
      </c>
      <c r="C50" s="695" t="s">
        <v>1233</v>
      </c>
      <c r="D50" s="696" t="s">
        <v>961</v>
      </c>
    </row>
    <row r="51" spans="1:4" s="442" customFormat="1" ht="38.25">
      <c r="A51" s="693">
        <f t="shared" si="0"/>
        <v>40</v>
      </c>
      <c r="B51" s="699" t="s">
        <v>1007</v>
      </c>
      <c r="C51" s="695" t="s">
        <v>1234</v>
      </c>
      <c r="D51" s="696" t="s">
        <v>1235</v>
      </c>
    </row>
    <row r="52" spans="1:4" s="442" customFormat="1" ht="38.25">
      <c r="A52" s="693">
        <f t="shared" si="0"/>
        <v>41</v>
      </c>
      <c r="B52" s="702" t="s">
        <v>1008</v>
      </c>
      <c r="C52" s="697" t="s">
        <v>1236</v>
      </c>
      <c r="D52" s="696" t="s">
        <v>1237</v>
      </c>
    </row>
    <row r="53" spans="1:4" s="442" customFormat="1" ht="51">
      <c r="A53" s="693">
        <f t="shared" si="0"/>
        <v>42</v>
      </c>
      <c r="B53" s="702" t="s">
        <v>446</v>
      </c>
      <c r="C53" s="695" t="s">
        <v>550</v>
      </c>
      <c r="D53" s="696" t="s">
        <v>551</v>
      </c>
    </row>
    <row r="54" spans="1:4" s="442" customFormat="1" ht="51">
      <c r="A54" s="693">
        <f t="shared" si="0"/>
        <v>43</v>
      </c>
      <c r="B54" s="702" t="s">
        <v>361</v>
      </c>
      <c r="C54" s="697" t="s">
        <v>1238</v>
      </c>
      <c r="D54" s="700" t="s">
        <v>552</v>
      </c>
    </row>
    <row r="55" spans="1:4" s="442" customFormat="1" ht="38.25">
      <c r="A55" s="693">
        <f t="shared" si="0"/>
        <v>44</v>
      </c>
      <c r="B55" s="702" t="s">
        <v>420</v>
      </c>
      <c r="C55" s="695" t="s">
        <v>553</v>
      </c>
      <c r="D55" s="700" t="s">
        <v>1239</v>
      </c>
    </row>
    <row r="56" spans="1:4" s="442" customFormat="1" ht="51">
      <c r="A56" s="693">
        <f t="shared" si="0"/>
        <v>45</v>
      </c>
      <c r="B56" s="695" t="s">
        <v>554</v>
      </c>
      <c r="C56" s="695" t="s">
        <v>1240</v>
      </c>
      <c r="D56" s="696" t="s">
        <v>555</v>
      </c>
    </row>
    <row r="57" spans="1:4" s="442" customFormat="1" ht="38.25">
      <c r="A57" s="693">
        <f t="shared" si="0"/>
        <v>46</v>
      </c>
      <c r="B57" s="695" t="s">
        <v>421</v>
      </c>
      <c r="C57" s="695" t="s">
        <v>1241</v>
      </c>
      <c r="D57" s="696" t="s">
        <v>1242</v>
      </c>
    </row>
    <row r="58" spans="1:4" s="442" customFormat="1" ht="63.75">
      <c r="A58" s="693">
        <f t="shared" si="0"/>
        <v>47</v>
      </c>
      <c r="B58" s="695" t="s">
        <v>1207</v>
      </c>
      <c r="C58" s="707" t="s">
        <v>556</v>
      </c>
      <c r="D58" s="700" t="s">
        <v>557</v>
      </c>
    </row>
    <row r="59" spans="1:4" s="442" customFormat="1" ht="25.5">
      <c r="A59" s="693">
        <f t="shared" si="0"/>
        <v>48</v>
      </c>
      <c r="B59" s="702" t="s">
        <v>962</v>
      </c>
      <c r="C59" s="695" t="s">
        <v>1243</v>
      </c>
      <c r="D59" s="696" t="s">
        <v>1244</v>
      </c>
    </row>
    <row r="60" spans="1:4" s="442" customFormat="1" ht="38.25">
      <c r="A60" s="693">
        <f t="shared" si="0"/>
        <v>49</v>
      </c>
      <c r="B60" s="702" t="s">
        <v>678</v>
      </c>
      <c r="C60" s="695" t="s">
        <v>1245</v>
      </c>
      <c r="D60" s="696" t="s">
        <v>963</v>
      </c>
    </row>
    <row r="61" spans="1:4" s="442" customFormat="1" ht="38.25">
      <c r="A61" s="693">
        <f t="shared" si="0"/>
        <v>50</v>
      </c>
      <c r="B61" s="695" t="s">
        <v>1246</v>
      </c>
      <c r="C61" s="695" t="s">
        <v>964</v>
      </c>
      <c r="D61" s="696" t="s">
        <v>965</v>
      </c>
    </row>
    <row r="62" spans="1:6" s="443" customFormat="1" ht="39" thickBot="1">
      <c r="A62" s="791">
        <f t="shared" si="0"/>
        <v>51</v>
      </c>
      <c r="B62" s="709" t="s">
        <v>1009</v>
      </c>
      <c r="C62" s="710" t="s">
        <v>1247</v>
      </c>
      <c r="D62" s="711" t="s">
        <v>965</v>
      </c>
      <c r="E62" s="442"/>
      <c r="F62" s="442"/>
    </row>
    <row r="63" spans="1:6" s="443" customFormat="1" ht="12.75">
      <c r="A63" s="440"/>
      <c r="B63" s="8"/>
      <c r="C63" s="441"/>
      <c r="D63" s="444"/>
      <c r="E63" s="442"/>
      <c r="F63" s="442"/>
    </row>
    <row r="64" spans="1:6" s="443" customFormat="1" ht="12.75">
      <c r="A64" s="440"/>
      <c r="B64" s="8"/>
      <c r="C64" s="441"/>
      <c r="D64" s="444"/>
      <c r="E64" s="442"/>
      <c r="F64" s="442"/>
    </row>
    <row r="65" spans="1:6" s="443" customFormat="1" ht="12.75">
      <c r="A65" s="440"/>
      <c r="B65" s="8"/>
      <c r="C65" s="441"/>
      <c r="D65" s="444"/>
      <c r="E65" s="442"/>
      <c r="F65" s="442"/>
    </row>
    <row r="66" spans="1:6" s="443" customFormat="1" ht="12.75">
      <c r="A66" s="440"/>
      <c r="B66" s="8"/>
      <c r="C66" s="441"/>
      <c r="D66" s="444"/>
      <c r="E66" s="442"/>
      <c r="F66" s="442"/>
    </row>
    <row r="67" spans="1:6" s="443" customFormat="1" ht="12.75">
      <c r="A67" s="440"/>
      <c r="B67" s="8"/>
      <c r="C67" s="441"/>
      <c r="D67" s="444"/>
      <c r="E67" s="442"/>
      <c r="F67" s="442"/>
    </row>
    <row r="68" spans="1:6" s="443" customFormat="1" ht="12.75">
      <c r="A68" s="440"/>
      <c r="B68" s="8"/>
      <c r="C68" s="441"/>
      <c r="D68" s="444"/>
      <c r="E68" s="442"/>
      <c r="F68" s="442"/>
    </row>
    <row r="69" spans="1:6" s="443" customFormat="1" ht="12.75">
      <c r="A69" s="440"/>
      <c r="B69" s="445"/>
      <c r="C69" s="441"/>
      <c r="D69" s="444"/>
      <c r="E69" s="442"/>
      <c r="F69" s="442"/>
    </row>
    <row r="70" spans="1:6" s="443" customFormat="1" ht="12.75">
      <c r="A70" s="440"/>
      <c r="B70" s="445"/>
      <c r="C70" s="441"/>
      <c r="D70" s="444"/>
      <c r="E70" s="442"/>
      <c r="F70" s="442"/>
    </row>
    <row r="71" spans="1:6" s="443" customFormat="1" ht="12.75">
      <c r="A71" s="440"/>
      <c r="B71" s="445"/>
      <c r="C71" s="441"/>
      <c r="D71" s="444"/>
      <c r="E71" s="442"/>
      <c r="F71" s="442"/>
    </row>
    <row r="72" spans="1:6" s="443" customFormat="1" ht="12.75">
      <c r="A72" s="440"/>
      <c r="B72" s="445"/>
      <c r="C72" s="441"/>
      <c r="D72" s="444"/>
      <c r="E72" s="442"/>
      <c r="F72" s="442"/>
    </row>
    <row r="73" spans="1:6" s="443" customFormat="1" ht="12.75">
      <c r="A73" s="440"/>
      <c r="B73" s="445"/>
      <c r="C73" s="441"/>
      <c r="D73" s="444"/>
      <c r="E73" s="442"/>
      <c r="F73" s="442"/>
    </row>
    <row r="74" spans="1:6" s="443" customFormat="1" ht="12.75">
      <c r="A74" s="440"/>
      <c r="B74" s="445"/>
      <c r="C74" s="441"/>
      <c r="D74" s="444"/>
      <c r="E74" s="442"/>
      <c r="F74" s="442"/>
    </row>
    <row r="75" spans="1:6" s="443" customFormat="1" ht="12.75">
      <c r="A75" s="440"/>
      <c r="B75" s="445"/>
      <c r="C75" s="441"/>
      <c r="D75" s="444"/>
      <c r="E75" s="442"/>
      <c r="F75" s="442"/>
    </row>
    <row r="76" spans="1:6" s="443" customFormat="1" ht="12.75">
      <c r="A76" s="440"/>
      <c r="B76" s="445"/>
      <c r="C76" s="441"/>
      <c r="D76" s="444"/>
      <c r="E76" s="442"/>
      <c r="F76" s="442"/>
    </row>
    <row r="77" spans="1:6" s="443" customFormat="1" ht="12.75">
      <c r="A77" s="440"/>
      <c r="B77" s="445"/>
      <c r="C77" s="441"/>
      <c r="D77" s="444"/>
      <c r="E77" s="442"/>
      <c r="F77" s="442"/>
    </row>
    <row r="78" spans="1:6" s="443" customFormat="1" ht="12.75">
      <c r="A78" s="440"/>
      <c r="B78" s="445"/>
      <c r="C78" s="441"/>
      <c r="D78" s="444"/>
      <c r="E78" s="442"/>
      <c r="F78" s="442"/>
    </row>
    <row r="79" spans="1:6" s="443" customFormat="1" ht="12.75">
      <c r="A79" s="440"/>
      <c r="B79" s="445"/>
      <c r="C79" s="441"/>
      <c r="D79" s="444"/>
      <c r="E79" s="442"/>
      <c r="F79" s="442"/>
    </row>
    <row r="80" spans="1:6" s="443" customFormat="1" ht="12.75">
      <c r="A80" s="440"/>
      <c r="B80" s="445"/>
      <c r="C80" s="441"/>
      <c r="D80" s="444"/>
      <c r="E80" s="442"/>
      <c r="F80" s="442"/>
    </row>
    <row r="81" spans="1:6" s="443" customFormat="1" ht="12.75">
      <c r="A81" s="440"/>
      <c r="B81" s="445"/>
      <c r="C81" s="441"/>
      <c r="D81" s="444"/>
      <c r="E81" s="442"/>
      <c r="F81" s="442"/>
    </row>
    <row r="82" spans="1:6" s="443" customFormat="1" ht="12.75">
      <c r="A82" s="440"/>
      <c r="B82" s="445"/>
      <c r="C82" s="441"/>
      <c r="D82" s="444"/>
      <c r="E82" s="442"/>
      <c r="F82" s="442"/>
    </row>
    <row r="83" spans="1:6" s="443" customFormat="1" ht="12.75">
      <c r="A83" s="440"/>
      <c r="B83" s="445"/>
      <c r="C83" s="441"/>
      <c r="D83" s="444"/>
      <c r="E83" s="442"/>
      <c r="F83" s="442"/>
    </row>
    <row r="84" spans="1:6" s="443" customFormat="1" ht="12.75">
      <c r="A84" s="440"/>
      <c r="B84" s="445"/>
      <c r="C84" s="441"/>
      <c r="D84" s="444"/>
      <c r="E84" s="442"/>
      <c r="F84" s="442"/>
    </row>
    <row r="85" spans="1:6" s="443" customFormat="1" ht="12.75">
      <c r="A85" s="440"/>
      <c r="B85" s="445"/>
      <c r="C85" s="441"/>
      <c r="D85" s="444"/>
      <c r="E85" s="442"/>
      <c r="F85" s="442"/>
    </row>
    <row r="86" spans="1:6" s="443" customFormat="1" ht="12.75">
      <c r="A86" s="440"/>
      <c r="B86" s="445"/>
      <c r="C86" s="441"/>
      <c r="D86" s="444"/>
      <c r="E86" s="442"/>
      <c r="F86" s="442"/>
    </row>
    <row r="87" spans="1:6" s="443" customFormat="1" ht="12.75">
      <c r="A87" s="440"/>
      <c r="B87" s="445"/>
      <c r="C87" s="441"/>
      <c r="D87" s="444"/>
      <c r="E87" s="442"/>
      <c r="F87" s="442"/>
    </row>
    <row r="88" spans="1:6" s="443" customFormat="1" ht="12.75">
      <c r="A88" s="440"/>
      <c r="B88" s="445"/>
      <c r="C88" s="441"/>
      <c r="D88" s="444"/>
      <c r="E88" s="442"/>
      <c r="F88" s="442"/>
    </row>
    <row r="89" spans="1:6" s="443" customFormat="1" ht="12.75">
      <c r="A89" s="440"/>
      <c r="B89" s="445"/>
      <c r="C89" s="441"/>
      <c r="D89" s="444"/>
      <c r="E89" s="442"/>
      <c r="F89" s="442"/>
    </row>
    <row r="90" spans="1:6" s="443" customFormat="1" ht="12.75">
      <c r="A90" s="440"/>
      <c r="B90" s="445"/>
      <c r="C90" s="441"/>
      <c r="D90" s="444"/>
      <c r="E90" s="442"/>
      <c r="F90" s="442"/>
    </row>
    <row r="91" spans="1:6" s="443" customFormat="1" ht="12.75">
      <c r="A91" s="440"/>
      <c r="B91" s="445"/>
      <c r="C91" s="441"/>
      <c r="D91" s="444"/>
      <c r="E91" s="442"/>
      <c r="F91" s="442"/>
    </row>
    <row r="92" spans="1:6" s="443" customFormat="1" ht="12.75">
      <c r="A92" s="440"/>
      <c r="B92" s="445"/>
      <c r="C92" s="441"/>
      <c r="D92" s="444"/>
      <c r="E92" s="442"/>
      <c r="F92" s="442"/>
    </row>
    <row r="93" spans="1:6" s="443" customFormat="1" ht="12.75">
      <c r="A93" s="440"/>
      <c r="B93" s="445"/>
      <c r="C93" s="441"/>
      <c r="D93" s="444"/>
      <c r="E93" s="442"/>
      <c r="F93" s="442"/>
    </row>
    <row r="94" spans="1:6" s="443" customFormat="1" ht="12.75">
      <c r="A94" s="440"/>
      <c r="B94" s="445"/>
      <c r="C94" s="441"/>
      <c r="D94" s="444"/>
      <c r="E94" s="442"/>
      <c r="F94" s="442"/>
    </row>
    <row r="95" spans="1:6" s="443" customFormat="1" ht="12.75">
      <c r="A95" s="440"/>
      <c r="B95" s="445"/>
      <c r="C95" s="441"/>
      <c r="D95" s="444"/>
      <c r="E95" s="442"/>
      <c r="F95" s="442"/>
    </row>
    <row r="96" spans="1:6" s="443" customFormat="1" ht="12.75">
      <c r="A96" s="440"/>
      <c r="B96" s="445"/>
      <c r="C96" s="441"/>
      <c r="D96" s="444"/>
      <c r="E96" s="442"/>
      <c r="F96" s="442"/>
    </row>
    <row r="97" spans="1:6" s="443" customFormat="1" ht="12.75">
      <c r="A97" s="440"/>
      <c r="B97" s="445"/>
      <c r="C97" s="441"/>
      <c r="D97" s="444"/>
      <c r="E97" s="442"/>
      <c r="F97" s="442"/>
    </row>
    <row r="98" spans="1:6" s="443" customFormat="1" ht="12.75">
      <c r="A98" s="440"/>
      <c r="B98" s="445"/>
      <c r="C98" s="441"/>
      <c r="D98" s="444"/>
      <c r="E98" s="442"/>
      <c r="F98" s="442"/>
    </row>
    <row r="99" spans="1:6" s="443" customFormat="1" ht="12.75">
      <c r="A99" s="440"/>
      <c r="B99" s="445"/>
      <c r="C99" s="441"/>
      <c r="D99" s="444"/>
      <c r="E99" s="442"/>
      <c r="F99" s="442"/>
    </row>
    <row r="100" spans="1:6" s="443" customFormat="1" ht="12.75">
      <c r="A100" s="440"/>
      <c r="B100" s="445"/>
      <c r="C100" s="441"/>
      <c r="D100" s="444"/>
      <c r="E100" s="442"/>
      <c r="F100" s="442"/>
    </row>
    <row r="101" spans="1:6" s="443" customFormat="1" ht="12.75">
      <c r="A101" s="440"/>
      <c r="B101" s="445"/>
      <c r="C101" s="441"/>
      <c r="D101" s="444"/>
      <c r="E101" s="442"/>
      <c r="F101" s="442"/>
    </row>
    <row r="102" spans="1:6" s="443" customFormat="1" ht="12.75">
      <c r="A102" s="440"/>
      <c r="B102" s="445"/>
      <c r="C102" s="441"/>
      <c r="D102" s="444"/>
      <c r="E102" s="442"/>
      <c r="F102" s="442"/>
    </row>
    <row r="103" spans="1:6" s="443" customFormat="1" ht="12.75">
      <c r="A103" s="440"/>
      <c r="B103" s="445"/>
      <c r="C103" s="441"/>
      <c r="D103" s="444"/>
      <c r="E103" s="442"/>
      <c r="F103" s="442"/>
    </row>
    <row r="104" spans="1:6" s="443" customFormat="1" ht="12.75">
      <c r="A104" s="440"/>
      <c r="B104" s="445"/>
      <c r="C104" s="441"/>
      <c r="D104" s="444"/>
      <c r="E104" s="442"/>
      <c r="F104" s="442"/>
    </row>
    <row r="105" spans="1:6" s="443" customFormat="1" ht="12.75">
      <c r="A105" s="440"/>
      <c r="B105" s="445"/>
      <c r="C105" s="441"/>
      <c r="D105" s="444"/>
      <c r="E105" s="442"/>
      <c r="F105" s="442"/>
    </row>
    <row r="106" spans="1:6" s="443" customFormat="1" ht="12.75">
      <c r="A106" s="440"/>
      <c r="B106" s="445"/>
      <c r="C106" s="441"/>
      <c r="D106" s="444"/>
      <c r="E106" s="442"/>
      <c r="F106" s="442"/>
    </row>
    <row r="107" spans="1:6" s="443" customFormat="1" ht="12.75">
      <c r="A107" s="440"/>
      <c r="B107" s="445"/>
      <c r="C107" s="441"/>
      <c r="D107" s="444"/>
      <c r="E107" s="442"/>
      <c r="F107" s="442"/>
    </row>
    <row r="108" spans="1:6" s="443" customFormat="1" ht="12.75">
      <c r="A108" s="440"/>
      <c r="B108" s="445"/>
      <c r="C108" s="441"/>
      <c r="D108" s="444"/>
      <c r="E108" s="442"/>
      <c r="F108" s="442"/>
    </row>
    <row r="109" spans="1:6" s="443" customFormat="1" ht="12.75">
      <c r="A109" s="440"/>
      <c r="B109" s="445"/>
      <c r="C109" s="441"/>
      <c r="D109" s="444"/>
      <c r="E109" s="442"/>
      <c r="F109" s="442"/>
    </row>
    <row r="110" spans="1:6" s="443" customFormat="1" ht="12.75">
      <c r="A110" s="440"/>
      <c r="B110" s="445"/>
      <c r="C110" s="441"/>
      <c r="D110" s="444"/>
      <c r="E110" s="442"/>
      <c r="F110" s="442"/>
    </row>
    <row r="111" spans="1:6" s="443" customFormat="1" ht="12.75">
      <c r="A111" s="440"/>
      <c r="B111" s="445"/>
      <c r="C111" s="441"/>
      <c r="D111" s="444"/>
      <c r="E111" s="442"/>
      <c r="F111" s="442"/>
    </row>
    <row r="112" spans="1:6" s="443" customFormat="1" ht="12.75">
      <c r="A112" s="440"/>
      <c r="B112" s="445"/>
      <c r="C112" s="441"/>
      <c r="D112" s="444"/>
      <c r="E112" s="442"/>
      <c r="F112" s="442"/>
    </row>
    <row r="113" spans="1:6" s="443" customFormat="1" ht="12.75">
      <c r="A113" s="440"/>
      <c r="B113" s="445"/>
      <c r="C113" s="441"/>
      <c r="D113" s="444"/>
      <c r="E113" s="442"/>
      <c r="F113" s="442"/>
    </row>
    <row r="114" spans="1:6" s="443" customFormat="1" ht="12.75">
      <c r="A114" s="440"/>
      <c r="B114" s="445"/>
      <c r="C114" s="441"/>
      <c r="D114" s="444"/>
      <c r="E114" s="442"/>
      <c r="F114" s="442"/>
    </row>
  </sheetData>
  <printOptions horizontalCentered="1"/>
  <pageMargins left="0.5" right="0.5" top="2.5" bottom="0.25" header="1.5" footer="0.5"/>
  <pageSetup fitToHeight="3" orientation="landscape" pageOrder="overThenDown" scale="62" r:id="rId1"/>
  <headerFooter alignWithMargins="0">
    <oddHeader>&amp;C&amp;B
2022 RATE CASE
ONCOR ELECTRIC DELIVERY COMPANY LLC
II-E-3.6  ADFIT – DESCRIPTION OF TIMING DIFFERENCES
TEST YEAR ENDING DECEMBER 31, 2021
SPONSOR: B. L. CLUTTER&amp;R&amp;"Arial,Bold"Schedule II-E-3.6
Page &amp;P of &amp;N</oddHeader>
  </headerFooter>
  <rowBreaks count="2" manualBreakCount="2">
    <brk id="51" max="3" man="1"/>
    <brk id="60" max="3" man="1"/>
  </row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
    <tabColor rgb="FF92D050"/>
    <pageSetUpPr fitToPage="1"/>
  </sheetPr>
  <dimension ref="A1:E52"/>
  <sheetViews>
    <sheetView zoomScale="80" zoomScaleNormal="80" workbookViewId="0" topLeftCell="A1">
      <selection pane="topLeft" activeCell="H16" sqref="H16"/>
    </sheetView>
  </sheetViews>
  <sheetFormatPr defaultColWidth="9.14428571428571" defaultRowHeight="12.75"/>
  <cols>
    <col min="1" max="1" width="9.42857142857143" style="352" bestFit="1" customWidth="1"/>
    <col min="2" max="2" width="56.1428571428571" style="352" customWidth="1"/>
    <col min="3" max="3" width="17.2857142857143" style="352" customWidth="1"/>
    <col min="4" max="4" width="17.5714285714286" style="352" bestFit="1" customWidth="1"/>
    <col min="5" max="5" width="62" style="352" bestFit="1" customWidth="1"/>
    <col min="6" max="16384" width="9.14285714285714" style="352"/>
  </cols>
  <sheetData>
    <row r="1" spans="1:1" ht="12.75">
      <c r="A1" s="194" t="str">
        <f>+'[3]Input Data'!$A$9</f>
        <v>2022 RATE CASE</v>
      </c>
    </row>
    <row r="2" spans="1:1" ht="12.75">
      <c r="A2" s="193" t="str">
        <f>+'[3]Input Data'!$A$2</f>
        <v>ONCOR ELECTRIC DELIVERY COMPANY LLC</v>
      </c>
    </row>
    <row r="3" spans="1:1" ht="12.75">
      <c r="A3" s="192" t="str">
        <f>CONCATENATE('[3]Schedule Sponsors'!$A$92,'[3]Schedule Sponsors'!$B$92)</f>
        <v>II-E-3.7  ADJUSTMENTS TO ADFIT</v>
      </c>
    </row>
    <row r="4" spans="1:1" ht="12.75">
      <c r="A4" s="192" t="str">
        <f>+'[3]Input Data'!$A$4</f>
        <v>TEST YEAR ENDING DECEMBER 31, 2021</v>
      </c>
    </row>
    <row r="5" spans="1:1" ht="12.75">
      <c r="A5" s="190" t="str">
        <f>CONCATENATE("SPONSOR: ",'[3]Schedule Sponsors'!$D$94)</f>
        <v>SPONSOR: B. L. CLUTTER</v>
      </c>
    </row>
    <row r="9" ht="13.5" thickBot="1"/>
    <row r="10" spans="1:5" s="194" customFormat="1" ht="12.75">
      <c r="A10" s="265" t="s">
        <v>252</v>
      </c>
      <c r="B10" s="257"/>
      <c r="C10" s="265" t="s">
        <v>71</v>
      </c>
      <c r="D10" s="257"/>
      <c r="E10" s="265"/>
    </row>
    <row r="11" spans="1:5" s="194" customFormat="1" ht="12.75">
      <c r="A11" s="266" t="s">
        <v>147</v>
      </c>
      <c r="B11" s="266" t="s">
        <v>69</v>
      </c>
      <c r="C11" s="266" t="s">
        <v>73</v>
      </c>
      <c r="D11" s="177" t="s">
        <v>495</v>
      </c>
      <c r="E11" s="266" t="s">
        <v>451</v>
      </c>
    </row>
    <row r="12" spans="1:5" ht="13.5" thickBot="1">
      <c r="A12" s="314"/>
      <c r="B12" s="267" t="s">
        <v>237</v>
      </c>
      <c r="C12" s="267" t="s">
        <v>238</v>
      </c>
      <c r="D12" s="267" t="s">
        <v>239</v>
      </c>
      <c r="E12" s="267" t="s">
        <v>240</v>
      </c>
    </row>
    <row r="14" spans="1:5" ht="12.75">
      <c r="A14" s="353">
        <v>1</v>
      </c>
      <c r="B14" s="352" t="s">
        <v>1121</v>
      </c>
      <c r="C14" s="353" t="s">
        <v>1252</v>
      </c>
      <c r="D14" s="487">
        <f>+'II-E-3.5'!E95</f>
        <v>2064493746.5599999</v>
      </c>
      <c r="E14" s="355"/>
    </row>
    <row r="15" spans="1:5" ht="12.75">
      <c r="A15" s="353">
        <f t="shared" si="0" ref="A15:A43">A14+1</f>
        <v>2</v>
      </c>
      <c r="D15" s="261"/>
      <c r="E15" s="355"/>
    </row>
    <row r="16" spans="1:5" ht="12.75">
      <c r="A16" s="353">
        <f t="shared" si="0"/>
        <v>3</v>
      </c>
      <c r="B16" s="345" t="s">
        <v>1260</v>
      </c>
      <c r="C16" s="345"/>
      <c r="D16" s="261"/>
      <c r="E16" s="355"/>
    </row>
    <row r="17" spans="1:5" ht="12.75">
      <c r="A17" s="353">
        <f t="shared" si="0"/>
        <v>4</v>
      </c>
      <c r="B17" s="594" t="s">
        <v>1199</v>
      </c>
      <c r="C17" s="813" t="s">
        <v>1262</v>
      </c>
      <c r="D17" s="487">
        <f>+'II-E-3.5'!H18</f>
        <v>-11634628.25</v>
      </c>
      <c r="E17" s="323" t="s">
        <v>452</v>
      </c>
    </row>
    <row r="18" spans="1:5" ht="12.75">
      <c r="A18" s="353">
        <f t="shared" si="0"/>
        <v>5</v>
      </c>
      <c r="B18" s="594" t="s">
        <v>1200</v>
      </c>
      <c r="C18" s="813" t="s">
        <v>1263</v>
      </c>
      <c r="D18" s="492">
        <f>+'II-E-3.5'!H19</f>
        <v>-4330663.04</v>
      </c>
      <c r="E18" s="323" t="s">
        <v>452</v>
      </c>
    </row>
    <row r="19" spans="1:5" ht="12.75">
      <c r="A19" s="353">
        <f t="shared" si="0"/>
        <v>6</v>
      </c>
      <c r="B19" s="337" t="s">
        <v>664</v>
      </c>
      <c r="C19" s="813" t="s">
        <v>1264</v>
      </c>
      <c r="D19" s="492">
        <f>+'II-E-3.5'!H22</f>
        <v>1098897.4399999999</v>
      </c>
      <c r="E19" s="323" t="s">
        <v>1209</v>
      </c>
    </row>
    <row r="20" spans="1:5" ht="12.75">
      <c r="A20" s="353">
        <f t="shared" si="0"/>
        <v>7</v>
      </c>
      <c r="B20" s="584" t="s">
        <v>358</v>
      </c>
      <c r="C20" s="813" t="s">
        <v>1265</v>
      </c>
      <c r="D20" s="492">
        <f>+'II-E-3.5'!H26</f>
        <v>-1098897.4399999999</v>
      </c>
      <c r="E20" s="323" t="s">
        <v>1209</v>
      </c>
    </row>
    <row r="21" spans="1:5" ht="12.75">
      <c r="A21" s="353">
        <f t="shared" si="0"/>
        <v>8</v>
      </c>
      <c r="B21" s="337" t="s">
        <v>665</v>
      </c>
      <c r="C21" s="813" t="s">
        <v>1266</v>
      </c>
      <c r="D21" s="492">
        <f>+'II-E-3.5'!H27</f>
        <v>-315248.51000000001</v>
      </c>
      <c r="E21" s="323" t="s">
        <v>1209</v>
      </c>
    </row>
    <row r="22" spans="1:5" ht="12.75">
      <c r="A22" s="353">
        <f t="shared" si="0"/>
        <v>9</v>
      </c>
      <c r="B22" s="337" t="s">
        <v>445</v>
      </c>
      <c r="C22" s="813" t="s">
        <v>1267</v>
      </c>
      <c r="D22" s="492">
        <f>+'II-E-3.5'!H41</f>
        <v>683531.31000000006</v>
      </c>
      <c r="E22" s="323" t="s">
        <v>1210</v>
      </c>
    </row>
    <row r="23" spans="1:5" ht="12.75">
      <c r="A23" s="353">
        <f t="shared" si="0"/>
        <v>10</v>
      </c>
      <c r="B23" s="582" t="s">
        <v>706</v>
      </c>
      <c r="C23" s="813" t="s">
        <v>1268</v>
      </c>
      <c r="D23" s="492">
        <f>+'II-E-3.5'!H47</f>
        <v>-6467262.6900000004</v>
      </c>
      <c r="E23" s="323" t="s">
        <v>1211</v>
      </c>
    </row>
    <row r="24" spans="1:5" ht="12.75">
      <c r="A24" s="353">
        <f t="shared" si="0"/>
        <v>11</v>
      </c>
      <c r="B24" s="742" t="s">
        <v>442</v>
      </c>
      <c r="C24" s="813" t="s">
        <v>1269</v>
      </c>
      <c r="D24" s="492">
        <f>+'II-E-3.5'!H52</f>
        <v>-111432.92999999999</v>
      </c>
      <c r="E24" s="323" t="s">
        <v>1210</v>
      </c>
    </row>
    <row r="25" spans="1:5" ht="12.75">
      <c r="A25" s="353">
        <f t="shared" si="0"/>
        <v>12</v>
      </c>
      <c r="B25" s="660" t="s">
        <v>670</v>
      </c>
      <c r="C25" s="813" t="s">
        <v>1270</v>
      </c>
      <c r="D25" s="492">
        <f>+'II-E-3.5'!H56</f>
        <v>-7174.6400000000003</v>
      </c>
      <c r="E25" s="323" t="s">
        <v>1210</v>
      </c>
    </row>
    <row r="26" spans="1:5" ht="12.75">
      <c r="A26" s="353">
        <f t="shared" si="0"/>
        <v>13</v>
      </c>
      <c r="B26" s="660" t="s">
        <v>672</v>
      </c>
      <c r="C26" s="813" t="s">
        <v>1271</v>
      </c>
      <c r="D26" s="492">
        <f>+'II-E-3.5'!H57</f>
        <v>-8647.0400000000009</v>
      </c>
      <c r="E26" s="323" t="s">
        <v>1210</v>
      </c>
    </row>
    <row r="27" spans="1:5" ht="12.75">
      <c r="A27" s="353">
        <f t="shared" si="0"/>
        <v>14</v>
      </c>
      <c r="B27" s="660" t="s">
        <v>1111</v>
      </c>
      <c r="C27" s="813" t="s">
        <v>1273</v>
      </c>
      <c r="D27" s="492">
        <f>+'II-E-3.5'!H58</f>
        <v>-1700729.45</v>
      </c>
      <c r="E27" s="323" t="s">
        <v>1209</v>
      </c>
    </row>
    <row r="28" spans="1:5" ht="12.75">
      <c r="A28" s="353">
        <f t="shared" si="0"/>
        <v>15</v>
      </c>
      <c r="B28" s="352" t="s">
        <v>623</v>
      </c>
      <c r="C28" s="813" t="s">
        <v>1274</v>
      </c>
      <c r="D28" s="492">
        <f>+'II-E-3.5'!H59</f>
        <v>-28782943.850000001</v>
      </c>
      <c r="E28" s="323" t="s">
        <v>452</v>
      </c>
    </row>
    <row r="29" spans="1:5" ht="12.75">
      <c r="A29" s="353">
        <f t="shared" si="0"/>
        <v>16</v>
      </c>
      <c r="B29" s="352" t="s">
        <v>450</v>
      </c>
      <c r="C29" s="813" t="s">
        <v>1272</v>
      </c>
      <c r="D29" s="492">
        <f>+'II-E-3.5'!H61</f>
        <v>-87433028.959999993</v>
      </c>
      <c r="E29" s="323" t="s">
        <v>452</v>
      </c>
    </row>
    <row r="30" spans="1:5" ht="12.75">
      <c r="A30" s="353">
        <f t="shared" si="0"/>
        <v>17</v>
      </c>
      <c r="B30" s="355"/>
      <c r="C30" s="355"/>
      <c r="D30" s="346"/>
      <c r="E30" s="323"/>
    </row>
    <row r="31" spans="1:5" ht="12.75">
      <c r="A31" s="353">
        <f t="shared" si="0"/>
        <v>18</v>
      </c>
      <c r="B31" s="345" t="s">
        <v>1261</v>
      </c>
      <c r="C31" s="345"/>
      <c r="D31" s="291"/>
      <c r="E31" s="323"/>
    </row>
    <row r="32" spans="1:5" ht="12.75">
      <c r="A32" s="353">
        <f t="shared" si="0"/>
        <v>19</v>
      </c>
      <c r="B32" s="590" t="s">
        <v>450</v>
      </c>
      <c r="C32" s="813" t="s">
        <v>1275</v>
      </c>
      <c r="D32" s="487">
        <f>+'II-E-3.5'!H65</f>
        <v>-87433028.959999993</v>
      </c>
      <c r="E32" s="323" t="s">
        <v>452</v>
      </c>
    </row>
    <row r="33" spans="1:5" ht="12.75">
      <c r="A33" s="353">
        <f t="shared" si="0"/>
        <v>20</v>
      </c>
      <c r="B33" s="590" t="s">
        <v>676</v>
      </c>
      <c r="C33" s="813" t="s">
        <v>1276</v>
      </c>
      <c r="D33" s="492">
        <f>+'II-E-3.5'!H74</f>
        <v>-689666.82999999996</v>
      </c>
      <c r="E33" s="323" t="s">
        <v>1211</v>
      </c>
    </row>
    <row r="34" spans="1:5" ht="12.75">
      <c r="A34" s="353">
        <f t="shared" si="0"/>
        <v>21</v>
      </c>
      <c r="B34" s="352" t="s">
        <v>677</v>
      </c>
      <c r="C34" s="813" t="s">
        <v>1277</v>
      </c>
      <c r="D34" s="492">
        <f>+'II-E-3.5'!H75</f>
        <v>-408841.15000000002</v>
      </c>
      <c r="E34" s="323" t="s">
        <v>1209</v>
      </c>
    </row>
    <row r="35" spans="1:5" ht="12.75">
      <c r="A35" s="353">
        <f t="shared" si="0"/>
        <v>22</v>
      </c>
      <c r="B35" s="583" t="s">
        <v>448</v>
      </c>
      <c r="C35" s="813" t="s">
        <v>1278</v>
      </c>
      <c r="D35" s="492">
        <f>+'II-E-3.5'!H82</f>
        <v>-1700729.45</v>
      </c>
      <c r="E35" s="323" t="s">
        <v>1209</v>
      </c>
    </row>
    <row r="36" spans="1:5" ht="12.75">
      <c r="A36" s="353">
        <f t="shared" si="0"/>
        <v>23</v>
      </c>
      <c r="B36" s="352" t="s">
        <v>679</v>
      </c>
      <c r="C36" s="813" t="s">
        <v>1279</v>
      </c>
      <c r="D36" s="492">
        <f>+'II-E-3.5'!H87</f>
        <v>-1761067.03</v>
      </c>
      <c r="E36" s="323" t="s">
        <v>1209</v>
      </c>
    </row>
    <row r="37" spans="1:5" ht="12.75">
      <c r="A37" s="353">
        <f t="shared" si="0"/>
        <v>24</v>
      </c>
      <c r="B37" s="352" t="s">
        <v>449</v>
      </c>
      <c r="C37" s="813" t="s">
        <v>1280</v>
      </c>
      <c r="D37" s="492">
        <f>+'II-E-3.5'!H88</f>
        <v>989355.96999999997</v>
      </c>
      <c r="E37" s="323" t="s">
        <v>1211</v>
      </c>
    </row>
    <row r="38" spans="1:5" ht="12.75">
      <c r="A38" s="353">
        <f t="shared" si="0"/>
        <v>25</v>
      </c>
      <c r="B38" s="352" t="s">
        <v>623</v>
      </c>
      <c r="C38" s="813" t="s">
        <v>1281</v>
      </c>
      <c r="D38" s="492">
        <f>+'II-E-3.5'!H91</f>
        <v>-331502134.89000005</v>
      </c>
      <c r="E38" s="323" t="s">
        <v>452</v>
      </c>
    </row>
    <row r="39" spans="1:5" ht="12.75">
      <c r="A39" s="353">
        <f t="shared" si="0"/>
        <v>26</v>
      </c>
      <c r="B39" s="591" t="s">
        <v>624</v>
      </c>
      <c r="C39" s="813" t="s">
        <v>1282</v>
      </c>
      <c r="D39" s="492">
        <f>+'II-E-3.5'!H92</f>
        <v>-1002140.6</v>
      </c>
      <c r="E39" s="323" t="s">
        <v>452</v>
      </c>
    </row>
    <row r="40" spans="1:5" ht="12.75">
      <c r="A40" s="353">
        <f t="shared" si="0"/>
        <v>27</v>
      </c>
      <c r="B40" s="180"/>
      <c r="C40" s="180"/>
      <c r="D40" s="492"/>
      <c r="E40" s="323"/>
    </row>
    <row r="41" spans="1:5" ht="12.75">
      <c r="A41" s="353">
        <f t="shared" si="0"/>
        <v>28</v>
      </c>
      <c r="B41" s="345" t="s">
        <v>195</v>
      </c>
      <c r="C41" s="353" t="s">
        <v>1284</v>
      </c>
      <c r="D41" s="531">
        <f>SUM(D17:D29)-SUM(D32:D39)</f>
        <v>283400024.89000005</v>
      </c>
      <c r="E41" s="355"/>
    </row>
    <row r="42" spans="1:5" ht="12.75">
      <c r="A42" s="353">
        <f t="shared" si="0"/>
        <v>29</v>
      </c>
      <c r="D42" s="261"/>
      <c r="E42" s="355"/>
    </row>
    <row r="43" spans="1:5" ht="12.75">
      <c r="A43" s="353">
        <f t="shared" si="0"/>
        <v>30</v>
      </c>
      <c r="B43" s="345" t="s">
        <v>1118</v>
      </c>
      <c r="C43" s="177" t="s">
        <v>1252</v>
      </c>
      <c r="D43" s="531">
        <f>D14+D41</f>
        <v>2347893771.4499998</v>
      </c>
      <c r="E43" s="355"/>
    </row>
    <row r="47" spans="4:5" ht="12.75">
      <c r="D47" s="264">
        <f>+'II-E-3.5'!I95</f>
        <v>2347893771.4500003</v>
      </c>
      <c r="E47" s="263" t="s">
        <v>453</v>
      </c>
    </row>
    <row r="48" spans="4:4" ht="12.75">
      <c r="D48" s="595">
        <f>+D43-D47</f>
        <v>0</v>
      </c>
    </row>
    <row r="50" spans="4:4" ht="12.75">
      <c r="D50" s="484"/>
    </row>
    <row r="51" spans="4:4" ht="12.75">
      <c r="D51" s="487"/>
    </row>
    <row r="52" spans="4:4" ht="12.75">
      <c r="D52" s="484"/>
    </row>
  </sheetData>
  <printOptions horizontalCentered="1"/>
  <pageMargins left="0.5" right="0.5" top="3" bottom="0.5" header="1.5" footer="0.5"/>
  <pageSetup orientation="landscape" pageOrder="overThenDown" scale="75" r:id="rId1"/>
  <headerFooter alignWithMargins="0">
    <oddHeader>&amp;C&amp;B
2022 RATE CASE
ONCOR ELECTRIC DELIVERY COMPANY LLC
II-E-3.7  ADJUSTMENTS TO ADFIT
TEST YEAR ENDING DECEMBER 31, 2021
SPONSOR: B. L. CLUTTER&amp;R&amp;"Arial,Bold"Schedule &amp;A
Page &amp;P of &amp;N</oddHead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32">
    <tabColor rgb="FF92D050"/>
    <pageSetUpPr fitToPage="1"/>
  </sheetPr>
  <dimension ref="A1:L42"/>
  <sheetViews>
    <sheetView zoomScale="80" zoomScaleNormal="80" zoomScaleSheetLayoutView="100" workbookViewId="0" topLeftCell="A1">
      <selection pane="topLeft" activeCell="H16" sqref="H16"/>
    </sheetView>
  </sheetViews>
  <sheetFormatPr defaultColWidth="9.14428571428571" defaultRowHeight="12.75"/>
  <cols>
    <col min="1" max="1" width="8.28571428571429" style="352" customWidth="1"/>
    <col min="2" max="2" width="30.8571428571429" style="352" customWidth="1"/>
    <col min="3" max="8" width="15.5714285714286" style="352" customWidth="1"/>
    <col min="9" max="9" width="15.2857142857143" style="352" customWidth="1"/>
    <col min="10" max="10" width="23.2857142857143" style="352" customWidth="1"/>
    <col min="11" max="11" width="29.7142857142857" style="352" bestFit="1" customWidth="1"/>
    <col min="12" max="16384" width="9.14285714285714" style="352"/>
  </cols>
  <sheetData>
    <row r="1" spans="1:1" ht="12.75">
      <c r="A1" s="194" t="str">
        <f>+'[3]Input Data'!$A$9</f>
        <v>2022 RATE CASE</v>
      </c>
    </row>
    <row r="2" spans="1:1" ht="12.75">
      <c r="A2" s="193" t="str">
        <f>+'[3]Input Data'!$A$2</f>
        <v>ONCOR ELECTRIC DELIVERY COMPANY LLC</v>
      </c>
    </row>
    <row r="3" spans="1:1" ht="12.75">
      <c r="A3" s="192" t="str">
        <f>CONCATENATE('[3]Schedule Sponsors'!$A$93,'[3]Schedule Sponsors'!$B$93)</f>
        <v>II-E-3.8  ADFIT AND ITC – PLANT ADJUSTMENTS &amp;&amp; ALLOCATIONS</v>
      </c>
    </row>
    <row r="4" spans="1:1" ht="12.75">
      <c r="A4" s="192" t="str">
        <f>+'[3]Input Data'!$A$4</f>
        <v>TEST YEAR ENDING DECEMBER 31, 2021</v>
      </c>
    </row>
    <row r="5" spans="1:1" ht="12.75">
      <c r="A5" s="190" t="str">
        <f>CONCATENATE("SPONSOR: ",'[3]Schedule Sponsors'!$D$95)</f>
        <v>SPONSOR: B. L. CLUTTER</v>
      </c>
    </row>
    <row r="9" spans="2:2" ht="12.75">
      <c r="B9" s="275"/>
    </row>
    <row r="10" spans="1:11" s="300" customFormat="1" ht="12.75">
      <c r="A10" s="400"/>
      <c r="B10" s="401"/>
      <c r="C10" s="400" t="s">
        <v>14</v>
      </c>
      <c r="D10" s="400"/>
      <c r="E10" s="400"/>
      <c r="F10" s="400"/>
      <c r="G10" s="400"/>
      <c r="H10" s="400"/>
      <c r="I10" s="400"/>
      <c r="J10" s="401"/>
      <c r="K10" s="401"/>
    </row>
    <row r="11" spans="1:10" s="176" customFormat="1" ht="25.5">
      <c r="A11" s="402" t="s">
        <v>51</v>
      </c>
      <c r="B11" s="403"/>
      <c r="C11" s="402">
        <v>2017</v>
      </c>
      <c r="D11" s="402">
        <v>2018</v>
      </c>
      <c r="E11" s="402" t="s">
        <v>822</v>
      </c>
      <c r="F11" s="402">
        <v>2019</v>
      </c>
      <c r="G11" s="402">
        <v>2020</v>
      </c>
      <c r="H11" s="402">
        <v>2021</v>
      </c>
      <c r="I11" s="402" t="s">
        <v>15</v>
      </c>
      <c r="J11" s="402" t="s">
        <v>71</v>
      </c>
    </row>
    <row r="12" spans="1:10" s="194" customFormat="1" ht="12.75">
      <c r="A12" s="404"/>
      <c r="B12" s="406" t="s">
        <v>237</v>
      </c>
      <c r="C12" s="406" t="s">
        <v>238</v>
      </c>
      <c r="D12" s="406" t="s">
        <v>239</v>
      </c>
      <c r="E12" s="406" t="s">
        <v>240</v>
      </c>
      <c r="F12" s="406" t="s">
        <v>241</v>
      </c>
      <c r="G12" s="406" t="s">
        <v>245</v>
      </c>
      <c r="H12" s="353" t="s">
        <v>243</v>
      </c>
      <c r="I12" s="406" t="s">
        <v>244</v>
      </c>
      <c r="J12" s="406" t="s">
        <v>245</v>
      </c>
    </row>
    <row r="13" spans="1:10" ht="12.75">
      <c r="A13" s="406">
        <v>1</v>
      </c>
      <c r="B13" s="404" t="s">
        <v>16</v>
      </c>
      <c r="C13" s="405"/>
      <c r="D13" s="405"/>
      <c r="E13" s="405"/>
      <c r="F13" s="405"/>
      <c r="G13" s="405"/>
      <c r="H13" s="405"/>
      <c r="I13" s="405"/>
      <c r="J13" s="405"/>
    </row>
    <row r="14" spans="1:10" ht="12.75">
      <c r="A14" s="406">
        <f t="shared" si="0" ref="A14:A38">+A13+1</f>
        <v>2</v>
      </c>
      <c r="B14" s="337" t="s">
        <v>395</v>
      </c>
      <c r="C14" s="493">
        <v>142362591.56999999</v>
      </c>
      <c r="D14" s="493">
        <v>79308088.180000007</v>
      </c>
      <c r="E14" s="493">
        <v>141030543.25</v>
      </c>
      <c r="F14" s="493">
        <v>56889587.880000003</v>
      </c>
      <c r="G14" s="493">
        <v>43143260.390000001</v>
      </c>
      <c r="H14" s="493">
        <v>15663348.07</v>
      </c>
      <c r="I14" s="493">
        <f>SUM(C14:H14)</f>
        <v>478397419.33999997</v>
      </c>
      <c r="J14" s="406" t="s">
        <v>821</v>
      </c>
    </row>
    <row r="15" spans="1:10" ht="12.75">
      <c r="A15" s="406">
        <f t="shared" si="0"/>
        <v>3</v>
      </c>
      <c r="B15" s="180" t="s">
        <v>17</v>
      </c>
      <c r="C15" s="494">
        <v>2761739.3700000001</v>
      </c>
      <c r="D15" s="494">
        <v>2151188.7999999998</v>
      </c>
      <c r="E15" s="494">
        <v>13636089.309999999</v>
      </c>
      <c r="F15" s="494">
        <v>4411283.5999999996</v>
      </c>
      <c r="G15" s="494">
        <v>8385953.5899999999</v>
      </c>
      <c r="H15" s="494">
        <v>8474226.3000000007</v>
      </c>
      <c r="I15" s="494">
        <f>SUM(C15:H15)</f>
        <v>39820480.969999999</v>
      </c>
      <c r="J15" s="406" t="s">
        <v>821</v>
      </c>
    </row>
    <row r="16" spans="1:10" ht="12.75">
      <c r="A16" s="406">
        <f t="shared" si="0"/>
        <v>4</v>
      </c>
      <c r="B16" s="180" t="s">
        <v>405</v>
      </c>
      <c r="C16" s="494">
        <v>35183145.829999998</v>
      </c>
      <c r="D16" s="494">
        <v>17819546.780000001</v>
      </c>
      <c r="E16" s="494">
        <v>0</v>
      </c>
      <c r="F16" s="494">
        <v>25537036.600000001</v>
      </c>
      <c r="G16" s="494">
        <v>17788516.920000002</v>
      </c>
      <c r="H16" s="494">
        <v>23211201.91</v>
      </c>
      <c r="I16" s="494">
        <f t="shared" si="1" ref="I16:I22">SUM(C16:H16)</f>
        <v>119539448.04000001</v>
      </c>
      <c r="J16" s="406" t="s">
        <v>821</v>
      </c>
    </row>
    <row r="17" spans="1:10" ht="12.75">
      <c r="A17" s="406">
        <f t="shared" si="0"/>
        <v>5</v>
      </c>
      <c r="B17" s="180" t="s">
        <v>29</v>
      </c>
      <c r="C17" s="494">
        <v>-9071584.1399999987</v>
      </c>
      <c r="D17" s="494">
        <v>-10544393.33</v>
      </c>
      <c r="E17" s="494">
        <v>-1757570.53</v>
      </c>
      <c r="F17" s="494">
        <v>-15355619.130000001</v>
      </c>
      <c r="G17" s="494">
        <v>-14880960.08</v>
      </c>
      <c r="H17" s="494">
        <v>-17684548.300000001</v>
      </c>
      <c r="I17" s="494">
        <f t="shared" si="1"/>
        <v>-69294675.510000005</v>
      </c>
      <c r="J17" s="406" t="s">
        <v>821</v>
      </c>
    </row>
    <row r="18" spans="1:10" ht="12.75">
      <c r="A18" s="406">
        <f t="shared" si="0"/>
        <v>6</v>
      </c>
      <c r="B18" s="180" t="s">
        <v>18</v>
      </c>
      <c r="C18" s="494">
        <v>4292718.0099999998</v>
      </c>
      <c r="D18" s="494">
        <v>5946241.6799999997</v>
      </c>
      <c r="E18" s="494">
        <v>0</v>
      </c>
      <c r="F18" s="494">
        <v>5174858.2999999998</v>
      </c>
      <c r="G18" s="494">
        <v>8050357.5599999996</v>
      </c>
      <c r="H18" s="494">
        <v>7449591.8099999996</v>
      </c>
      <c r="I18" s="494">
        <f t="shared" si="1"/>
        <v>30913767.359999996</v>
      </c>
      <c r="J18" s="406" t="s">
        <v>821</v>
      </c>
    </row>
    <row r="19" spans="1:10" ht="12.75">
      <c r="A19" s="406">
        <f t="shared" si="0"/>
        <v>7</v>
      </c>
      <c r="B19" s="180" t="s">
        <v>800</v>
      </c>
      <c r="C19" s="494">
        <v>23168128.319999997</v>
      </c>
      <c r="D19" s="494">
        <v>32179299.050000001</v>
      </c>
      <c r="E19" s="494">
        <v>0</v>
      </c>
      <c r="F19" s="494">
        <v>32578753.859999999</v>
      </c>
      <c r="G19" s="494">
        <v>32692327.369999997</v>
      </c>
      <c r="H19" s="494">
        <v>31165960.760000002</v>
      </c>
      <c r="I19" s="494">
        <f t="shared" si="1"/>
        <v>151784469.35999998</v>
      </c>
      <c r="J19" s="406" t="s">
        <v>821</v>
      </c>
    </row>
    <row r="20" spans="1:10" ht="12.75">
      <c r="A20" s="406">
        <f t="shared" si="0"/>
        <v>8</v>
      </c>
      <c r="B20" s="180" t="s">
        <v>783</v>
      </c>
      <c r="C20" s="494">
        <v>-2378665.0600000001</v>
      </c>
      <c r="D20" s="494">
        <v>-2900978.9300000002</v>
      </c>
      <c r="E20" s="494">
        <v>-6462805.5700000003</v>
      </c>
      <c r="F20" s="494">
        <v>-3182256.1200000001</v>
      </c>
      <c r="G20" s="494">
        <v>-3190291.79</v>
      </c>
      <c r="H20" s="494">
        <v>-3578969.9100000001</v>
      </c>
      <c r="I20" s="494">
        <f t="shared" si="1"/>
        <v>-21693967.379999999</v>
      </c>
      <c r="J20" s="406" t="s">
        <v>821</v>
      </c>
    </row>
    <row r="21" spans="1:10" ht="12.75">
      <c r="A21" s="406">
        <f t="shared" si="0"/>
        <v>9</v>
      </c>
      <c r="B21" s="180" t="s">
        <v>801</v>
      </c>
      <c r="C21" s="494">
        <v>0</v>
      </c>
      <c r="D21" s="494">
        <v>7496481.3200000003</v>
      </c>
      <c r="E21" s="494">
        <v>0</v>
      </c>
      <c r="F21" s="494">
        <v>5957434.6600000001</v>
      </c>
      <c r="G21" s="494">
        <v>4738038.9800000004</v>
      </c>
      <c r="H21" s="494">
        <v>4842600.3399999999</v>
      </c>
      <c r="I21" s="494">
        <f t="shared" si="1"/>
        <v>23034555.300000001</v>
      </c>
      <c r="J21" s="406" t="s">
        <v>821</v>
      </c>
    </row>
    <row r="22" spans="1:10" ht="12.75">
      <c r="A22" s="406">
        <f t="shared" si="0"/>
        <v>10</v>
      </c>
      <c r="B22" s="337" t="s">
        <v>145</v>
      </c>
      <c r="C22" s="494">
        <v>398380.90000000002</v>
      </c>
      <c r="D22" s="494">
        <v>0</v>
      </c>
      <c r="E22" s="494">
        <v>-6860847.6500000004</v>
      </c>
      <c r="F22" s="494">
        <v>1138.52</v>
      </c>
      <c r="G22" s="494">
        <v>0</v>
      </c>
      <c r="H22" s="494">
        <v>0</v>
      </c>
      <c r="I22" s="494">
        <f t="shared" si="1"/>
        <v>-6461328.2300000004</v>
      </c>
      <c r="J22" s="406" t="s">
        <v>821</v>
      </c>
    </row>
    <row r="23" spans="1:10" ht="12.75">
      <c r="A23" s="406">
        <f t="shared" si="0"/>
        <v>11</v>
      </c>
      <c r="B23" s="407" t="s">
        <v>78</v>
      </c>
      <c r="C23" s="495">
        <f t="shared" si="2" ref="C23:I23">SUM(C14:C22)</f>
        <v>196716454.79999998</v>
      </c>
      <c r="D23" s="495">
        <f t="shared" si="2"/>
        <v>131455473.55000001</v>
      </c>
      <c r="E23" s="495">
        <f t="shared" si="2"/>
        <v>139585408.81</v>
      </c>
      <c r="F23" s="495">
        <f t="shared" si="2"/>
        <v>112012218.17</v>
      </c>
      <c r="G23" s="495">
        <f t="shared" si="2"/>
        <v>96727202.939999998</v>
      </c>
      <c r="H23" s="495">
        <f t="shared" si="2"/>
        <v>69543410.980000004</v>
      </c>
      <c r="I23" s="495">
        <f t="shared" si="2"/>
        <v>746040169.24999988</v>
      </c>
      <c r="J23" s="405"/>
    </row>
    <row r="24" spans="1:12" ht="12.75">
      <c r="A24" s="406">
        <f t="shared" si="0"/>
        <v>12</v>
      </c>
      <c r="B24" s="466" t="s">
        <v>1030</v>
      </c>
      <c r="C24" s="465"/>
      <c r="D24" s="465"/>
      <c r="E24" s="465"/>
      <c r="F24" s="465"/>
      <c r="G24" s="465"/>
      <c r="H24" s="465"/>
      <c r="I24" s="465"/>
      <c r="J24" s="465"/>
      <c r="K24" s="384"/>
      <c r="L24" s="405"/>
    </row>
    <row r="25" spans="1:11" ht="12.75">
      <c r="A25" s="406">
        <f t="shared" si="0"/>
        <v>13</v>
      </c>
      <c r="C25" s="405"/>
      <c r="D25" s="405"/>
      <c r="E25" s="405"/>
      <c r="F25" s="405"/>
      <c r="G25" s="405"/>
      <c r="H25" s="405"/>
      <c r="I25" s="408"/>
      <c r="J25" s="405"/>
      <c r="K25" s="405"/>
    </row>
    <row r="26" spans="1:11" ht="12.75">
      <c r="A26" s="406">
        <f t="shared" si="0"/>
        <v>14</v>
      </c>
      <c r="B26" s="466" t="s">
        <v>1194</v>
      </c>
      <c r="C26" s="405"/>
      <c r="D26" s="405"/>
      <c r="E26" s="405"/>
      <c r="F26" s="405"/>
      <c r="G26" s="405"/>
      <c r="H26" s="405"/>
      <c r="I26" s="405"/>
      <c r="J26" s="405"/>
      <c r="K26" s="405"/>
    </row>
    <row r="27" spans="1:1" ht="12.75">
      <c r="A27" s="406">
        <f t="shared" si="0"/>
        <v>15</v>
      </c>
    </row>
    <row r="28" spans="1:11" ht="12.75">
      <c r="A28" s="406">
        <f t="shared" si="0"/>
        <v>16</v>
      </c>
      <c r="C28" s="402" t="s">
        <v>503</v>
      </c>
      <c r="D28" s="343" t="s">
        <v>798</v>
      </c>
      <c r="E28" s="653" t="s">
        <v>799</v>
      </c>
      <c r="F28" s="182" t="s">
        <v>820</v>
      </c>
      <c r="G28" s="402" t="s">
        <v>819</v>
      </c>
      <c r="H28" s="402" t="s">
        <v>15</v>
      </c>
      <c r="K28" s="405"/>
    </row>
    <row r="29" spans="1:11" ht="12.75">
      <c r="A29" s="406">
        <f t="shared" si="0"/>
        <v>17</v>
      </c>
      <c r="C29" s="626" t="s">
        <v>208</v>
      </c>
      <c r="D29" s="409">
        <f>+'[5]II-F Alloc_Factor'!$E$40</f>
        <v>0.46423244491404464</v>
      </c>
      <c r="E29" s="628">
        <f>+'[5]II-F Alloc_Factor'!$E$41</f>
        <v>0</v>
      </c>
      <c r="F29" s="493">
        <f t="shared" si="3" ref="F29:F37">+$F$38*D29</f>
        <v>281404062.79729772</v>
      </c>
      <c r="G29" s="493">
        <f t="shared" si="4" ref="G29:G37">+$G$38*E29</f>
        <v>0</v>
      </c>
      <c r="H29" s="493">
        <f t="shared" si="5" ref="H29:H37">SUM(F29:G29)</f>
        <v>281404062.79729772</v>
      </c>
      <c r="K29" s="412"/>
    </row>
    <row r="30" spans="1:11" ht="12.75">
      <c r="A30" s="406">
        <f t="shared" si="0"/>
        <v>18</v>
      </c>
      <c r="C30" s="626" t="s">
        <v>639</v>
      </c>
      <c r="D30" s="409">
        <f>+'[5]II-F Alloc_Factor'!$F$40</f>
        <v>0</v>
      </c>
      <c r="E30" s="628">
        <f>+'[5]II-F Alloc_Factor'!$F$41</f>
        <v>0.92440611245451165</v>
      </c>
      <c r="F30" s="114">
        <f t="shared" si="3"/>
        <v>0</v>
      </c>
      <c r="G30" s="411">
        <f t="shared" si="4"/>
        <v>129296278.53982645</v>
      </c>
      <c r="H30" s="261">
        <f t="shared" si="5"/>
        <v>129296278.53982645</v>
      </c>
      <c r="K30" s="413"/>
    </row>
    <row r="31" spans="1:11" ht="12.75">
      <c r="A31" s="406">
        <f t="shared" si="0"/>
        <v>19</v>
      </c>
      <c r="C31" s="626" t="s">
        <v>802</v>
      </c>
      <c r="D31" s="409">
        <f>+'[5]II-F Alloc_Factor'!$G$40</f>
        <v>0.00059225955215527976</v>
      </c>
      <c r="E31" s="628">
        <f>+'[5]II-F Alloc_Factor'!$G$41</f>
        <v>0</v>
      </c>
      <c r="F31" s="114">
        <f t="shared" si="3"/>
        <v>359010.33207160397</v>
      </c>
      <c r="G31" s="411">
        <f t="shared" si="4"/>
        <v>0</v>
      </c>
      <c r="H31" s="261">
        <f t="shared" si="5"/>
        <v>359010.33207160397</v>
      </c>
      <c r="K31" s="413"/>
    </row>
    <row r="32" spans="1:11" ht="12.75">
      <c r="A32" s="406">
        <f t="shared" si="0"/>
        <v>20</v>
      </c>
      <c r="C32" s="626" t="s">
        <v>641</v>
      </c>
      <c r="D32" s="409">
        <f>+'[5]II-F Alloc_Factor'!$H$40</f>
        <v>0.46482470446619994</v>
      </c>
      <c r="E32" s="628">
        <f>+'[5]II-F Alloc_Factor'!$H$41</f>
        <v>0.92440611245451165</v>
      </c>
      <c r="F32" s="114">
        <f t="shared" si="3"/>
        <v>281763073.12936932</v>
      </c>
      <c r="G32" s="411">
        <f t="shared" si="4"/>
        <v>129296278.53982645</v>
      </c>
      <c r="H32" s="261">
        <f t="shared" si="5"/>
        <v>411059351.66919577</v>
      </c>
      <c r="K32" s="413"/>
    </row>
    <row r="33" spans="1:11" ht="12.75">
      <c r="A33" s="406">
        <f t="shared" si="0"/>
        <v>21</v>
      </c>
      <c r="C33" s="626" t="s">
        <v>209</v>
      </c>
      <c r="D33" s="627">
        <f>+'[5]II-F Alloc_Factor'!$I$40</f>
        <v>0.50345288393613263</v>
      </c>
      <c r="E33" s="628">
        <f>+'[5]II-F Alloc_Factor'!$I$41</f>
        <v>0</v>
      </c>
      <c r="F33" s="114">
        <f t="shared" si="3"/>
        <v>305178340.11553371</v>
      </c>
      <c r="G33" s="411">
        <f t="shared" si="4"/>
        <v>0</v>
      </c>
      <c r="H33" s="261">
        <f t="shared" si="5"/>
        <v>305178340.11553371</v>
      </c>
      <c r="K33" s="413"/>
    </row>
    <row r="34" spans="1:11" ht="12.75">
      <c r="A34" s="406">
        <f t="shared" si="0"/>
        <v>22</v>
      </c>
      <c r="C34" s="355" t="s">
        <v>642</v>
      </c>
      <c r="D34" s="628">
        <f>+'[5]II-F Alloc_Factor'!$J$40</f>
        <v>0</v>
      </c>
      <c r="E34" s="628">
        <f>+'[5]II-F Alloc_Factor'!$J$41</f>
        <v>0.075593887545488334</v>
      </c>
      <c r="F34" s="114">
        <f t="shared" si="3"/>
        <v>0</v>
      </c>
      <c r="G34" s="411">
        <f t="shared" si="4"/>
        <v>10573283.980173528</v>
      </c>
      <c r="H34" s="261">
        <f t="shared" si="5"/>
        <v>10573283.980173528</v>
      </c>
      <c r="K34" s="413"/>
    </row>
    <row r="35" spans="1:11" ht="12.75">
      <c r="A35" s="406">
        <f t="shared" si="0"/>
        <v>23</v>
      </c>
      <c r="C35" s="355" t="s">
        <v>643</v>
      </c>
      <c r="D35" s="628">
        <f>+'[5]II-F Alloc_Factor'!$K$40</f>
        <v>0.50345288393613263</v>
      </c>
      <c r="E35" s="628">
        <f>+'[5]II-F Alloc_Factor'!$K$41</f>
        <v>0.075593887545488334</v>
      </c>
      <c r="F35" s="114">
        <f t="shared" si="3"/>
        <v>305178340.11553371</v>
      </c>
      <c r="G35" s="411">
        <f t="shared" si="4"/>
        <v>10573283.980173528</v>
      </c>
      <c r="H35" s="261">
        <f t="shared" si="5"/>
        <v>315751624.09570724</v>
      </c>
      <c r="K35" s="405"/>
    </row>
    <row r="36" spans="1:8" ht="12.75">
      <c r="A36" s="406">
        <f t="shared" si="0"/>
        <v>24</v>
      </c>
      <c r="C36" s="355" t="s">
        <v>203</v>
      </c>
      <c r="D36" s="628">
        <f>+'[5]II-F Alloc_Factor'!$L$40</f>
        <v>0.017121804789038905</v>
      </c>
      <c r="E36" s="628">
        <f>+'[5]II-F Alloc_Factor'!$L$41</f>
        <v>0</v>
      </c>
      <c r="F36" s="114">
        <f t="shared" si="3"/>
        <v>10378734.797284331</v>
      </c>
      <c r="G36" s="411">
        <f t="shared" si="4"/>
        <v>0</v>
      </c>
      <c r="H36" s="261">
        <f t="shared" si="5"/>
        <v>10378734.797284331</v>
      </c>
    </row>
    <row r="37" spans="1:8" ht="12.75">
      <c r="A37" s="406">
        <f t="shared" si="0"/>
        <v>25</v>
      </c>
      <c r="C37" s="355" t="s">
        <v>291</v>
      </c>
      <c r="D37" s="629">
        <f>+'[5]II-F Alloc_Factor'!$M$40</f>
        <v>0.014600606808628383</v>
      </c>
      <c r="E37" s="629">
        <f>+'[5]II-F Alloc_Factor'!$M$41</f>
        <v>0</v>
      </c>
      <c r="F37" s="114">
        <f t="shared" si="3"/>
        <v>8850458.6878124345</v>
      </c>
      <c r="G37" s="411">
        <f t="shared" si="4"/>
        <v>0</v>
      </c>
      <c r="H37" s="261">
        <f t="shared" si="5"/>
        <v>8850458.6878124345</v>
      </c>
    </row>
    <row r="38" spans="1:8" ht="12.75">
      <c r="A38" s="406">
        <f t="shared" si="0"/>
        <v>26</v>
      </c>
      <c r="C38" s="626" t="s">
        <v>78</v>
      </c>
      <c r="D38" s="652">
        <f>+D32+D35+D36+D37</f>
        <v>0.99999999999999989</v>
      </c>
      <c r="E38" s="652">
        <f>+E32+E35+E36+E37</f>
        <v>1</v>
      </c>
      <c r="F38" s="495">
        <v>606170606.7299999</v>
      </c>
      <c r="G38" s="495">
        <v>139869562.51999998</v>
      </c>
      <c r="H38" s="495">
        <f>+H32+H35+H36+H37</f>
        <v>746040169.24999988</v>
      </c>
    </row>
    <row r="41" spans="7:7" ht="12.75">
      <c r="G41" s="484"/>
    </row>
    <row r="42" spans="7:7" ht="12.75">
      <c r="G42" s="654"/>
    </row>
  </sheetData>
  <printOptions horizontalCentered="1"/>
  <pageMargins left="0.5" right="0.5" top="3" bottom="0.5" header="1.5" footer="0.5"/>
  <pageSetup orientation="landscape" pageOrder="overThenDown" scale="64" r:id="rId1"/>
  <headerFooter alignWithMargins="0">
    <oddHeader>&amp;C&amp;B
2022 RATE CASE
ONCOR ELECTRIC DELIVERY COMPANY LLC
II-E-3.8  ADFIT AND ITC – PLANT ADJUSTMENTS &amp;&amp; ALLOCATIONS
TEST YEAR ENDING DECEMBER 31, 2021
SPONSOR: B. L. CLUTTER&amp;R&amp;"Arial,Bold"Schedule &amp;A
Page &amp;P of &amp;N</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4">
    <tabColor rgb="FF92D050"/>
    <pageSetUpPr fitToPage="1"/>
  </sheetPr>
  <dimension ref="A1:I40"/>
  <sheetViews>
    <sheetView zoomScale="80" zoomScaleNormal="80" zoomScaleSheetLayoutView="100" workbookViewId="0" topLeftCell="A1">
      <pane ySplit="13" topLeftCell="A14" activePane="bottomLeft" state="frozen"/>
      <selection pane="topLeft" activeCell="H16" sqref="H16"/>
      <selection pane="bottomLeft" activeCell="H16" sqref="H16"/>
    </sheetView>
  </sheetViews>
  <sheetFormatPr defaultColWidth="9.14428571428571" defaultRowHeight="12.75"/>
  <cols>
    <col min="1" max="1" width="6.28571428571429" style="148" bestFit="1" customWidth="1"/>
    <col min="2" max="2" width="53.5714285714286" style="148" bestFit="1" customWidth="1"/>
    <col min="3" max="3" width="18.2857142857143" style="148" customWidth="1"/>
    <col min="4" max="4" width="18.4285714285714" style="148" customWidth="1"/>
    <col min="5" max="5" width="16.2857142857143" style="148" bestFit="1" customWidth="1"/>
    <col min="6"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Sponsors'!$A$94,'[3]Schedule Sponsors'!$B$94)</f>
        <v>II-E-3.9  ANALYSIS OF ITCS</v>
      </c>
    </row>
    <row r="4" spans="1:1" ht="12.75">
      <c r="A4" s="192" t="str">
        <f>+'[3]Input Data'!$A$4</f>
        <v>TEST YEAR ENDING DECEMBER 31, 2021</v>
      </c>
    </row>
    <row r="5" spans="1:5" ht="12.75">
      <c r="A5" s="190" t="str">
        <f>CONCATENATE("SPONSOR: ",'[3]Schedule Sponsors'!$D$96)</f>
        <v>SPONSOR: B. L. CLUTTER</v>
      </c>
      <c r="C5" s="256"/>
      <c r="D5" s="256"/>
      <c r="E5" s="256"/>
    </row>
    <row r="6" spans="3:5" ht="12.75">
      <c r="C6" s="256"/>
      <c r="D6" s="256"/>
      <c r="E6" s="256"/>
    </row>
    <row r="7" spans="3:5" ht="12.75">
      <c r="C7" s="256"/>
      <c r="D7" s="256"/>
      <c r="E7" s="256"/>
    </row>
    <row r="8" spans="3:9" ht="12.75">
      <c r="C8" s="256"/>
      <c r="D8" s="256"/>
      <c r="E8" s="256"/>
      <c r="F8" s="181"/>
      <c r="G8" s="181"/>
      <c r="H8" s="181"/>
      <c r="I8" s="181"/>
    </row>
    <row r="9" ht="13.5" thickBot="1"/>
    <row r="10" spans="1:4" ht="12.75">
      <c r="A10" s="265" t="s">
        <v>252</v>
      </c>
      <c r="B10" s="265"/>
      <c r="C10" s="265"/>
      <c r="D10" s="265"/>
    </row>
    <row r="11" spans="1:4" s="187" customFormat="1" ht="12.75">
      <c r="A11" s="266" t="s">
        <v>147</v>
      </c>
      <c r="B11" s="266" t="s">
        <v>69</v>
      </c>
      <c r="C11" s="266" t="s">
        <v>230</v>
      </c>
      <c r="D11" s="266" t="s">
        <v>78</v>
      </c>
    </row>
    <row r="12" spans="1:4" ht="13.5" thickBot="1">
      <c r="A12" s="267"/>
      <c r="B12" s="267" t="s">
        <v>237</v>
      </c>
      <c r="C12" s="267" t="s">
        <v>238</v>
      </c>
      <c r="D12" s="267" t="s">
        <v>239</v>
      </c>
    </row>
    <row r="14" spans="1:3" ht="12.75">
      <c r="A14" s="181">
        <v>1</v>
      </c>
      <c r="B14" s="148" t="s">
        <v>258</v>
      </c>
      <c r="C14" s="496">
        <v>0</v>
      </c>
    </row>
    <row r="15" spans="1:1" ht="12.75">
      <c r="A15" s="181">
        <v>2</v>
      </c>
    </row>
    <row r="16" spans="1:4" ht="12.75">
      <c r="A16" s="181">
        <v>3</v>
      </c>
      <c r="B16" s="148" t="s">
        <v>259</v>
      </c>
      <c r="C16" s="486">
        <v>0</v>
      </c>
      <c r="D16" s="484"/>
    </row>
    <row r="17" spans="1:4" ht="12.75">
      <c r="A17" s="181">
        <v>4</v>
      </c>
      <c r="C17" s="484"/>
      <c r="D17" s="484"/>
    </row>
    <row r="18" spans="1:4" ht="12.75">
      <c r="A18" s="181">
        <v>5</v>
      </c>
      <c r="B18" s="148" t="s">
        <v>23</v>
      </c>
      <c r="C18" s="484"/>
      <c r="D18" s="486">
        <f>'II-E-3.14'!I16</f>
        <v>216034218.63</v>
      </c>
    </row>
    <row r="19" spans="1:5" ht="12.75">
      <c r="A19" s="181">
        <v>6</v>
      </c>
      <c r="C19" s="484"/>
      <c r="D19" s="484"/>
      <c r="E19" s="178"/>
    </row>
    <row r="20" spans="1:4" ht="12.75">
      <c r="A20" s="181">
        <v>7</v>
      </c>
      <c r="B20" s="148" t="s">
        <v>260</v>
      </c>
      <c r="C20" s="484"/>
      <c r="D20" s="484"/>
    </row>
    <row r="21" spans="1:4" ht="12.75">
      <c r="A21" s="181">
        <v>8</v>
      </c>
      <c r="C21" s="497"/>
      <c r="D21" s="484"/>
    </row>
    <row r="22" spans="1:4" ht="12.75">
      <c r="A22" s="181">
        <v>9</v>
      </c>
      <c r="B22" s="148" t="s">
        <v>10</v>
      </c>
      <c r="C22" s="16">
        <f>-'II-E-3.14'!E18-C24</f>
        <v>211090011.15000001</v>
      </c>
      <c r="D22" s="484"/>
    </row>
    <row r="23" spans="1:4" ht="12.75">
      <c r="A23" s="181">
        <v>10</v>
      </c>
      <c r="C23" s="16"/>
      <c r="D23" s="484"/>
    </row>
    <row r="24" spans="1:4" ht="12.75">
      <c r="A24" s="181">
        <v>11</v>
      </c>
      <c r="B24" s="148" t="s">
        <v>9</v>
      </c>
      <c r="C24" s="15">
        <f>+'II-E-3'!E21</f>
        <v>1174249.98</v>
      </c>
      <c r="D24" s="498"/>
    </row>
    <row r="25" spans="1:4" ht="12.75">
      <c r="A25" s="181">
        <v>12</v>
      </c>
      <c r="C25" s="497"/>
      <c r="D25" s="484"/>
    </row>
    <row r="26" spans="1:4" ht="12.75">
      <c r="A26" s="181">
        <v>15</v>
      </c>
      <c r="B26" s="148" t="s">
        <v>261</v>
      </c>
      <c r="C26" s="484"/>
      <c r="D26" s="499">
        <f>SUM(C22:C25)</f>
        <v>212264261.13</v>
      </c>
    </row>
    <row r="27" spans="1:4" ht="12.75">
      <c r="A27" s="181">
        <v>16</v>
      </c>
      <c r="C27" s="484"/>
      <c r="D27" s="484"/>
    </row>
    <row r="28" spans="1:4" ht="12.75">
      <c r="A28" s="181">
        <v>17</v>
      </c>
      <c r="B28" s="148" t="s">
        <v>24</v>
      </c>
      <c r="C28" s="484"/>
      <c r="D28" s="486">
        <f>D18-D26</f>
        <v>3769957.5</v>
      </c>
    </row>
    <row r="29" spans="1:3" ht="12.75">
      <c r="A29" s="181">
        <v>18</v>
      </c>
      <c r="C29" s="178"/>
    </row>
    <row r="30" spans="1:2" ht="12.75">
      <c r="A30" s="181">
        <v>19</v>
      </c>
      <c r="B30" s="148" t="s">
        <v>262</v>
      </c>
    </row>
    <row r="31" spans="1:1" ht="12.75">
      <c r="A31" s="181">
        <v>20</v>
      </c>
    </row>
    <row r="32" spans="1:3" ht="12.75">
      <c r="A32" s="181">
        <v>21</v>
      </c>
      <c r="B32" s="148" t="s">
        <v>263</v>
      </c>
      <c r="C32" s="751">
        <v>0.022700000000000001</v>
      </c>
    </row>
    <row r="33" spans="1:3" ht="12.75">
      <c r="A33" s="181">
        <v>22</v>
      </c>
      <c r="C33" s="147"/>
    </row>
    <row r="34" spans="1:3" ht="12.75">
      <c r="A34" s="181">
        <v>23</v>
      </c>
      <c r="B34" s="6" t="s">
        <v>454</v>
      </c>
      <c r="C34" s="147"/>
    </row>
    <row r="35" spans="1:4" ht="12.75">
      <c r="A35" s="181">
        <v>24</v>
      </c>
      <c r="B35" s="181" t="s">
        <v>264</v>
      </c>
      <c r="C35" s="7">
        <f>(C24)/D18</f>
        <v>0.0054354814132992887</v>
      </c>
      <c r="D35" s="321"/>
    </row>
    <row r="36" spans="1:1" ht="12.75">
      <c r="A36" s="181"/>
    </row>
    <row r="37" spans="1:1" ht="12.75">
      <c r="A37" s="181"/>
    </row>
    <row r="38" spans="1:1" ht="12.75">
      <c r="A38" s="181"/>
    </row>
    <row r="39" spans="1:1" ht="12.75">
      <c r="A39" s="181"/>
    </row>
    <row r="40" spans="1:1" ht="12.75">
      <c r="A40" s="181"/>
    </row>
  </sheetData>
  <printOptions horizontalCentered="1"/>
  <pageMargins left="0.5" right="0.5" top="3" bottom="0.5" header="1.5" footer="0.5"/>
  <pageSetup orientation="landscape" pageOrder="overThenDown" r:id="rId1"/>
  <headerFooter alignWithMargins="0">
    <oddHeader>&amp;C&amp;B
2022 RATE CASE
ONCOR ELECTRIC DELIVERY COMPANY LLC
II-E-3.9  ANALYSIS OF ITCS
TEST YEAR ENDING DECEMBER 31, 2021
SPONSOR: B. L. CLUTTER&amp;R&amp;"Arial,Bold"Schedule II-E-3.9
Page &amp;P of &amp;N</oddHead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3">
    <tabColor rgb="FF92D050"/>
    <pageSetUpPr fitToPage="1"/>
  </sheetPr>
  <dimension ref="A1:I24"/>
  <sheetViews>
    <sheetView workbookViewId="0" topLeftCell="A1">
      <selection pane="topLeft" activeCell="H16" sqref="H16"/>
    </sheetView>
  </sheetViews>
  <sheetFormatPr defaultColWidth="9.14428571428571" defaultRowHeight="12.75"/>
  <cols>
    <col min="1" max="1" width="6.85714285714286" style="148" customWidth="1"/>
    <col min="2" max="2" width="2.71428571428571" style="148" customWidth="1"/>
    <col min="3" max="3" width="12.7142857142857" style="148" customWidth="1"/>
    <col min="4" max="4" width="2.71428571428571" style="148" customWidth="1"/>
    <col min="5" max="5" width="13.8571428571429" style="148" customWidth="1"/>
    <col min="6" max="6" width="2.71428571428571" style="148" customWidth="1"/>
    <col min="7" max="7" width="12.8571428571429" style="148" customWidth="1"/>
    <col min="8" max="8" width="2.71428571428571" style="148" customWidth="1"/>
    <col min="9" max="9" width="16.5714285714286" style="148" bestFit="1" customWidth="1"/>
    <col min="10"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Sponsors'!$A$95,'[3]Schedule Sponsors'!$B$95)</f>
        <v>II-E-3.10  UTILIZED</v>
      </c>
    </row>
    <row r="4" spans="1:1" ht="12.75">
      <c r="A4" s="192" t="str">
        <f>+'[3]Input Data'!$A$4</f>
        <v>TEST YEAR ENDING DECEMBER 31, 2021</v>
      </c>
    </row>
    <row r="5" spans="1:1" ht="12.75">
      <c r="A5" s="190" t="str">
        <f>CONCATENATE("SPONSOR: ",'[3]Schedule Sponsors'!$D$97)</f>
        <v>SPONSOR: B. L. CLUTTER</v>
      </c>
    </row>
    <row r="10" spans="1:9" s="194" customFormat="1" ht="12.75">
      <c r="A10" s="177" t="s">
        <v>252</v>
      </c>
      <c r="B10" s="189"/>
      <c r="C10" s="177"/>
      <c r="D10" s="189"/>
      <c r="E10" s="177"/>
      <c r="F10" s="189"/>
      <c r="G10" s="177"/>
      <c r="H10" s="189"/>
      <c r="I10" s="177" t="s">
        <v>323</v>
      </c>
    </row>
    <row r="11" spans="1:9" s="194" customFormat="1" ht="12.75">
      <c r="A11" s="182" t="s">
        <v>324</v>
      </c>
      <c r="B11" s="189"/>
      <c r="C11" s="182" t="s">
        <v>325</v>
      </c>
      <c r="D11" s="189"/>
      <c r="E11" s="182" t="s">
        <v>326</v>
      </c>
      <c r="F11" s="189"/>
      <c r="G11" s="182" t="s">
        <v>145</v>
      </c>
      <c r="H11" s="189"/>
      <c r="I11" s="182" t="s">
        <v>327</v>
      </c>
    </row>
    <row r="12" spans="2:9" ht="12.75">
      <c r="B12" s="259"/>
      <c r="C12" s="348" t="s">
        <v>237</v>
      </c>
      <c r="D12" s="259"/>
      <c r="E12" s="348" t="s">
        <v>238</v>
      </c>
      <c r="F12" s="259"/>
      <c r="G12" s="348" t="s">
        <v>239</v>
      </c>
      <c r="H12" s="259"/>
      <c r="I12" s="348" t="s">
        <v>240</v>
      </c>
    </row>
    <row r="13" spans="2:8" ht="12.75">
      <c r="B13" s="187"/>
      <c r="D13" s="187"/>
      <c r="F13" s="187"/>
      <c r="H13" s="187"/>
    </row>
    <row r="14" spans="1:9" ht="12.75">
      <c r="A14" s="181">
        <v>1</v>
      </c>
      <c r="B14" s="187"/>
      <c r="C14" s="181">
        <v>2017</v>
      </c>
      <c r="D14" s="187"/>
      <c r="E14" s="487">
        <v>0</v>
      </c>
      <c r="F14" s="500"/>
      <c r="G14" s="487">
        <v>0</v>
      </c>
      <c r="H14" s="500"/>
      <c r="I14" s="487">
        <f t="shared" si="0" ref="I14:I18">G14+E14</f>
        <v>0</v>
      </c>
    </row>
    <row r="15" spans="1:9" ht="12.75">
      <c r="A15" s="353">
        <f>+A14+1</f>
        <v>2</v>
      </c>
      <c r="B15" s="187"/>
      <c r="C15" s="181">
        <v>2018</v>
      </c>
      <c r="D15" s="187"/>
      <c r="E15" s="484">
        <v>0</v>
      </c>
      <c r="F15" s="497"/>
      <c r="G15" s="484">
        <v>0</v>
      </c>
      <c r="H15" s="497"/>
      <c r="I15" s="484">
        <f t="shared" si="0"/>
        <v>0</v>
      </c>
    </row>
    <row r="16" spans="1:9" s="352" customFormat="1" ht="12.75">
      <c r="A16" s="353">
        <f t="shared" si="1" ref="A16:A23">+A15+1</f>
        <v>3</v>
      </c>
      <c r="B16" s="300"/>
      <c r="C16" s="353">
        <v>2019</v>
      </c>
      <c r="D16" s="300"/>
      <c r="E16" s="484">
        <v>0</v>
      </c>
      <c r="F16" s="497"/>
      <c r="G16" s="484">
        <v>0</v>
      </c>
      <c r="H16" s="497"/>
      <c r="I16" s="484">
        <f t="shared" si="0"/>
        <v>0</v>
      </c>
    </row>
    <row r="17" spans="1:9" ht="12.75">
      <c r="A17" s="353">
        <f t="shared" si="1"/>
        <v>4</v>
      </c>
      <c r="B17" s="187"/>
      <c r="C17" s="353">
        <v>2020</v>
      </c>
      <c r="D17" s="187"/>
      <c r="E17" s="484">
        <v>0</v>
      </c>
      <c r="F17" s="497"/>
      <c r="G17" s="484">
        <v>0</v>
      </c>
      <c r="H17" s="497"/>
      <c r="I17" s="484">
        <f t="shared" si="0"/>
        <v>0</v>
      </c>
    </row>
    <row r="18" spans="1:9" s="352" customFormat="1" ht="12.75">
      <c r="A18" s="353">
        <f t="shared" si="1"/>
        <v>5</v>
      </c>
      <c r="B18" s="300"/>
      <c r="C18" s="353">
        <v>2021</v>
      </c>
      <c r="D18" s="300"/>
      <c r="E18" s="484">
        <v>0</v>
      </c>
      <c r="F18" s="497"/>
      <c r="G18" s="484">
        <v>0</v>
      </c>
      <c r="H18" s="497"/>
      <c r="I18" s="484">
        <f t="shared" si="0"/>
        <v>0</v>
      </c>
    </row>
    <row r="19" spans="1:9" ht="12.75">
      <c r="A19" s="353">
        <f t="shared" si="1"/>
        <v>6</v>
      </c>
      <c r="B19" s="187"/>
      <c r="C19" s="344"/>
      <c r="D19" s="187"/>
      <c r="E19" s="349"/>
      <c r="F19" s="309"/>
      <c r="G19" s="349"/>
      <c r="H19" s="309"/>
      <c r="I19" s="349"/>
    </row>
    <row r="20" spans="1:9" ht="13.5" thickBot="1">
      <c r="A20" s="353">
        <f t="shared" si="1"/>
        <v>7</v>
      </c>
      <c r="B20" s="187"/>
      <c r="C20" s="181" t="s">
        <v>354</v>
      </c>
      <c r="D20" s="187"/>
      <c r="E20" s="501">
        <f>SUM(E14:E18)</f>
        <v>0</v>
      </c>
      <c r="F20" s="487"/>
      <c r="G20" s="501">
        <f>SUM(G14:G18)</f>
        <v>0</v>
      </c>
      <c r="H20" s="500"/>
      <c r="I20" s="501">
        <f>SUM(I14:I18)</f>
        <v>0</v>
      </c>
    </row>
    <row r="21" spans="1:9" ht="13.5" thickTop="1">
      <c r="A21" s="353">
        <f t="shared" si="1"/>
        <v>8</v>
      </c>
      <c r="B21" s="187"/>
      <c r="C21" s="344"/>
      <c r="D21" s="187"/>
      <c r="E21" s="178"/>
      <c r="F21" s="309"/>
      <c r="G21" s="178"/>
      <c r="H21" s="309"/>
      <c r="I21" s="178"/>
    </row>
    <row r="22" spans="1:9" ht="12.75">
      <c r="A22" s="353">
        <f t="shared" si="1"/>
        <v>9</v>
      </c>
      <c r="B22" s="187"/>
      <c r="C22" s="344"/>
      <c r="D22" s="187"/>
      <c r="E22" s="178"/>
      <c r="F22" s="309"/>
      <c r="G22" s="178"/>
      <c r="H22" s="309"/>
      <c r="I22" s="178"/>
    </row>
    <row r="23" spans="1:9" ht="12.75">
      <c r="A23" s="353">
        <f t="shared" si="1"/>
        <v>10</v>
      </c>
      <c r="B23" s="344" t="s">
        <v>31</v>
      </c>
      <c r="D23" s="187"/>
      <c r="E23" s="178"/>
      <c r="F23" s="309"/>
      <c r="G23" s="178"/>
      <c r="H23" s="309"/>
      <c r="I23" s="351"/>
    </row>
    <row r="24" spans="1:1" ht="12.75">
      <c r="A24" s="353"/>
    </row>
  </sheetData>
  <printOptions horizontalCentered="1"/>
  <pageMargins left="0.5" right="0.5" top="3" bottom="0.5" header="1.5" footer="0.5"/>
  <pageSetup orientation="landscape" pageOrder="overThenDown" r:id="rId1"/>
  <headerFooter alignWithMargins="0">
    <oddHeader>&amp;C&amp;B
2022 RATE CASE
ONCOR ELECTRIC DELIVERY COMPANY LLC
II-E-3.10  UTILIZED
TEST YEAR ENDING DECEMBER 31, 2021
SPONSOR: B. L. CLUTTER&amp;R&amp;"Arial,Bold"Schedule &amp;A
Page &amp;P of &amp;N</oddHead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4">
    <tabColor rgb="FF92D050"/>
    <pageSetUpPr fitToPage="1"/>
  </sheetPr>
  <dimension ref="A1:I25"/>
  <sheetViews>
    <sheetView workbookViewId="0" topLeftCell="A1">
      <selection pane="topLeft" activeCell="H16" sqref="H16"/>
    </sheetView>
  </sheetViews>
  <sheetFormatPr defaultColWidth="9.14428571428571" defaultRowHeight="12.75"/>
  <cols>
    <col min="1" max="1" width="5.57142857142857" style="148" customWidth="1"/>
    <col min="2" max="2" width="3.71428571428571" style="148" customWidth="1"/>
    <col min="3" max="3" width="12.5714285714286" style="148" bestFit="1" customWidth="1"/>
    <col min="4" max="4" width="3.71428571428571" style="148" customWidth="1"/>
    <col min="5" max="5" width="16.4285714285714" style="148" bestFit="1" customWidth="1"/>
    <col min="6" max="6" width="16.2857142857143" style="148" bestFit="1" customWidth="1"/>
    <col min="7" max="7" width="14.2857142857143" style="148" bestFit="1" customWidth="1"/>
    <col min="8" max="8" width="10.7142857142857" style="148" customWidth="1"/>
    <col min="9" max="9" width="19" style="148" bestFit="1" customWidth="1"/>
    <col min="10"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Sponsors'!$A$96,'[3]Schedule Sponsors'!$B$96)</f>
        <v>II-E-3.11  GENERATED BUT NOT UTILIZED</v>
      </c>
    </row>
    <row r="4" spans="1:1" ht="12.75">
      <c r="A4" s="192" t="str">
        <f>+'[3]Input Data'!$A$4</f>
        <v>TEST YEAR ENDING DECEMBER 31, 2021</v>
      </c>
    </row>
    <row r="5" spans="1:1" ht="12.75">
      <c r="A5" s="190" t="str">
        <f>CONCATENATE("SPONSOR: ",'[3]Schedule Sponsors'!$D$98)</f>
        <v>SPONSOR: B. L. CLUTTER</v>
      </c>
    </row>
    <row r="10" spans="1:9" s="194" customFormat="1" ht="12.75">
      <c r="A10" s="177" t="s">
        <v>252</v>
      </c>
      <c r="B10" s="189"/>
      <c r="C10" s="177"/>
      <c r="D10" s="189"/>
      <c r="E10" s="177"/>
      <c r="F10" s="177"/>
      <c r="G10" s="177" t="s">
        <v>76</v>
      </c>
      <c r="H10" s="177" t="s">
        <v>328</v>
      </c>
      <c r="I10" s="177" t="s">
        <v>329</v>
      </c>
    </row>
    <row r="11" spans="1:9" s="194" customFormat="1" ht="12.75">
      <c r="A11" s="182" t="s">
        <v>324</v>
      </c>
      <c r="B11" s="189"/>
      <c r="C11" s="182" t="s">
        <v>325</v>
      </c>
      <c r="D11" s="189"/>
      <c r="E11" s="182" t="s">
        <v>330</v>
      </c>
      <c r="F11" s="182" t="s">
        <v>331</v>
      </c>
      <c r="G11" s="182" t="s">
        <v>332</v>
      </c>
      <c r="H11" s="182" t="s">
        <v>333</v>
      </c>
      <c r="I11" s="182" t="s">
        <v>334</v>
      </c>
    </row>
    <row r="12" spans="2:9" ht="12.75">
      <c r="B12" s="259"/>
      <c r="C12" s="348" t="s">
        <v>237</v>
      </c>
      <c r="D12" s="259"/>
      <c r="E12" s="348" t="s">
        <v>238</v>
      </c>
      <c r="F12" s="348" t="s">
        <v>239</v>
      </c>
      <c r="G12" s="348" t="s">
        <v>240</v>
      </c>
      <c r="H12" s="348" t="s">
        <v>241</v>
      </c>
      <c r="I12" s="348" t="s">
        <v>242</v>
      </c>
    </row>
    <row r="13" spans="2:4" ht="12.75">
      <c r="B13" s="187"/>
      <c r="D13" s="187"/>
    </row>
    <row r="14" spans="1:9" ht="12.75">
      <c r="A14" s="181">
        <v>1</v>
      </c>
      <c r="B14" s="187"/>
      <c r="C14" s="353">
        <v>2017</v>
      </c>
      <c r="D14" s="187"/>
      <c r="E14" s="487">
        <v>0</v>
      </c>
      <c r="F14" s="487">
        <v>0</v>
      </c>
      <c r="G14" s="487">
        <f>F14+E14</f>
        <v>0</v>
      </c>
      <c r="H14" s="487">
        <v>0</v>
      </c>
      <c r="I14" s="487">
        <f>G14-H14</f>
        <v>0</v>
      </c>
    </row>
    <row r="15" spans="1:9" ht="12.75">
      <c r="A15" s="181">
        <f t="shared" si="0" ref="A15:A23">A14+1</f>
        <v>2</v>
      </c>
      <c r="B15" s="187"/>
      <c r="C15" s="353">
        <v>2018</v>
      </c>
      <c r="D15" s="187"/>
      <c r="E15" s="484">
        <v>0</v>
      </c>
      <c r="F15" s="484">
        <v>0</v>
      </c>
      <c r="G15" s="484">
        <f>F15+E15</f>
        <v>0</v>
      </c>
      <c r="H15" s="484"/>
      <c r="I15" s="484">
        <f>G15-H16</f>
        <v>0</v>
      </c>
    </row>
    <row r="16" spans="1:9" ht="12.75">
      <c r="A16" s="353">
        <f t="shared" si="0"/>
        <v>3</v>
      </c>
      <c r="B16" s="187"/>
      <c r="C16" s="353">
        <v>2019</v>
      </c>
      <c r="D16" s="187"/>
      <c r="E16" s="484">
        <v>0</v>
      </c>
      <c r="F16" s="484">
        <v>0</v>
      </c>
      <c r="G16" s="484">
        <f>F16+E16</f>
        <v>0</v>
      </c>
      <c r="H16" s="484">
        <v>0</v>
      </c>
      <c r="I16" s="484">
        <f>G16-H18</f>
        <v>0</v>
      </c>
    </row>
    <row r="17" spans="1:9" s="352" customFormat="1" ht="12.75">
      <c r="A17" s="353">
        <f t="shared" si="0"/>
        <v>4</v>
      </c>
      <c r="B17" s="300"/>
      <c r="C17" s="353">
        <v>2020</v>
      </c>
      <c r="D17" s="300"/>
      <c r="E17" s="484">
        <v>0</v>
      </c>
      <c r="F17" s="484">
        <v>0</v>
      </c>
      <c r="G17" s="484">
        <f>F17+E17</f>
        <v>0</v>
      </c>
      <c r="H17" s="484">
        <v>0</v>
      </c>
      <c r="I17" s="484">
        <f>G17-H19</f>
        <v>0</v>
      </c>
    </row>
    <row r="18" spans="1:9" s="352" customFormat="1" ht="12.75">
      <c r="A18" s="353">
        <f t="shared" si="0"/>
        <v>5</v>
      </c>
      <c r="B18" s="300"/>
      <c r="C18" s="353">
        <v>2021</v>
      </c>
      <c r="D18" s="300"/>
      <c r="E18" s="484">
        <v>0</v>
      </c>
      <c r="F18" s="484">
        <v>0</v>
      </c>
      <c r="G18" s="484">
        <f>F18+E18</f>
        <v>0</v>
      </c>
      <c r="H18" s="484">
        <v>0</v>
      </c>
      <c r="I18" s="484">
        <f>G18-H18</f>
        <v>0</v>
      </c>
    </row>
    <row r="19" spans="1:9" ht="12.75">
      <c r="A19" s="353">
        <f t="shared" si="0"/>
        <v>6</v>
      </c>
      <c r="B19" s="187"/>
      <c r="C19" s="181"/>
      <c r="D19" s="187"/>
      <c r="E19" s="349"/>
      <c r="F19" s="349"/>
      <c r="G19" s="349"/>
      <c r="H19" s="350"/>
      <c r="I19" s="350"/>
    </row>
    <row r="20" spans="1:9" ht="13.5" thickBot="1">
      <c r="A20" s="353">
        <f t="shared" si="0"/>
        <v>7</v>
      </c>
      <c r="B20" s="187"/>
      <c r="C20" s="181" t="s">
        <v>354</v>
      </c>
      <c r="D20" s="187"/>
      <c r="E20" s="501">
        <f>SUM(E14:E18)</f>
        <v>0</v>
      </c>
      <c r="F20" s="501">
        <f>SUM(F14:F18)</f>
        <v>0</v>
      </c>
      <c r="G20" s="501">
        <f>SUM(G14:G18)</f>
        <v>0</v>
      </c>
      <c r="H20" s="501">
        <f>SUM(H14:H18)</f>
        <v>0</v>
      </c>
      <c r="I20" s="501">
        <f>SUM(I14:I18)</f>
        <v>0</v>
      </c>
    </row>
    <row r="21" spans="1:7" ht="13.5" thickTop="1">
      <c r="A21" s="353">
        <f t="shared" si="0"/>
        <v>8</v>
      </c>
      <c r="B21" s="187"/>
      <c r="C21" s="344"/>
      <c r="D21" s="187"/>
      <c r="E21" s="178"/>
      <c r="F21" s="178"/>
      <c r="G21" s="178"/>
    </row>
    <row r="22" spans="1:7" ht="12.75">
      <c r="A22" s="353">
        <f t="shared" si="0"/>
        <v>9</v>
      </c>
      <c r="B22" s="187"/>
      <c r="C22" s="344"/>
      <c r="D22" s="187"/>
      <c r="E22" s="178"/>
      <c r="F22" s="178"/>
      <c r="G22" s="178"/>
    </row>
    <row r="23" spans="1:7" ht="12.75">
      <c r="A23" s="353">
        <f t="shared" si="0"/>
        <v>10</v>
      </c>
      <c r="B23" s="344" t="s">
        <v>19</v>
      </c>
      <c r="C23" s="344"/>
      <c r="D23" s="187"/>
      <c r="E23" s="178"/>
      <c r="F23" s="178"/>
      <c r="G23" s="178"/>
    </row>
    <row r="24" spans="1:4" ht="12.75">
      <c r="A24" s="181"/>
      <c r="D24" s="187"/>
    </row>
    <row r="25" spans="2:4" ht="12.75">
      <c r="B25" s="187"/>
      <c r="D25" s="187"/>
    </row>
  </sheetData>
  <printOptions horizontalCentered="1"/>
  <pageMargins left="0.5" right="0.5" top="3" bottom="0.5" header="1.5" footer="0.5"/>
  <pageSetup orientation="landscape" pageOrder="overThenDown" r:id="rId1"/>
  <headerFooter alignWithMargins="0">
    <oddHeader>&amp;C&amp;B
2022 RATE CASE
ONCOR ELECTRIC DELIVERY COMPANY LLC
II-E-3.11  GENERATED BUT NOT UTILIZED
TEST YEAR ENDING DECEMBER 31, 2021
SPONSOR: B. L. CLUTTER&amp;R&amp;"Arial,Bold"Schedule &amp;A
Page &amp;P of &amp;N</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5">
    <tabColor rgb="FF92D050"/>
    <pageSetUpPr fitToPage="1"/>
  </sheetPr>
  <dimension ref="A1:G23"/>
  <sheetViews>
    <sheetView workbookViewId="0" topLeftCell="A1">
      <pane ySplit="12" topLeftCell="A13" activePane="bottomLeft" state="frozen"/>
      <selection pane="topLeft" activeCell="H16" sqref="H16"/>
      <selection pane="bottomLeft" activeCell="H16" sqref="H16"/>
    </sheetView>
  </sheetViews>
  <sheetFormatPr defaultColWidth="9.14428571428571" defaultRowHeight="12.75"/>
  <cols>
    <col min="1" max="1" width="5.71428571428571" style="115" customWidth="1"/>
    <col min="2" max="2" width="12.5714285714286" style="115" bestFit="1" customWidth="1"/>
    <col min="3" max="3" width="16.4285714285714" style="115" bestFit="1" customWidth="1"/>
    <col min="4" max="4" width="16.2857142857143" style="115" bestFit="1" customWidth="1"/>
    <col min="5" max="5" width="14.2857142857143" style="115" bestFit="1" customWidth="1"/>
    <col min="6" max="6" width="9.71428571428571" style="115" customWidth="1"/>
    <col min="7" max="7" width="19.8571428571429" style="115" bestFit="1" customWidth="1"/>
    <col min="8" max="16384" width="9.14285714285714" style="115"/>
  </cols>
  <sheetData>
    <row r="1" spans="1:1" ht="12.75">
      <c r="A1" s="108" t="str">
        <f>+'[3]Input Data'!$A$9</f>
        <v>2022 RATE CASE</v>
      </c>
    </row>
    <row r="2" spans="1:1" ht="12.75">
      <c r="A2" s="167" t="str">
        <f>+'[3]Input Data'!$A$2</f>
        <v>ONCOR ELECTRIC DELIVERY COMPANY LLC</v>
      </c>
    </row>
    <row r="3" spans="1:1" ht="12.75">
      <c r="A3" s="168" t="str">
        <f>CONCATENATE('[3]Schedule Sponsors'!$A$97,'[3]Schedule Sponsors'!$B$97)</f>
        <v>II-E-3.12  UTILIZED – STAND ALONE BASIS</v>
      </c>
    </row>
    <row r="4" spans="1:1" ht="12.75">
      <c r="A4" s="168" t="str">
        <f>+'[3]Input Data'!$A$4</f>
        <v>TEST YEAR ENDING DECEMBER 31, 2021</v>
      </c>
    </row>
    <row r="5" spans="1:1" ht="12.75">
      <c r="A5" s="166" t="str">
        <f>CONCATENATE("SPONSOR: ",'[3]Schedule Sponsors'!$D$99)</f>
        <v>SPONSOR: B. L. CLUTTER</v>
      </c>
    </row>
    <row r="10" spans="1:7" ht="12.75">
      <c r="A10" s="172" t="s">
        <v>252</v>
      </c>
      <c r="B10" s="172"/>
      <c r="C10" s="172"/>
      <c r="D10" s="172"/>
      <c r="E10" s="172" t="s">
        <v>76</v>
      </c>
      <c r="F10" s="172" t="s">
        <v>328</v>
      </c>
      <c r="G10" s="172" t="s">
        <v>329</v>
      </c>
    </row>
    <row r="11" spans="1:7" ht="12.75">
      <c r="A11" s="171" t="s">
        <v>324</v>
      </c>
      <c r="B11" s="171" t="s">
        <v>325</v>
      </c>
      <c r="C11" s="171" t="s">
        <v>330</v>
      </c>
      <c r="D11" s="171" t="s">
        <v>331</v>
      </c>
      <c r="E11" s="171" t="s">
        <v>332</v>
      </c>
      <c r="F11" s="171" t="s">
        <v>333</v>
      </c>
      <c r="G11" s="171" t="s">
        <v>334</v>
      </c>
    </row>
    <row r="12" spans="2:7" ht="12.75">
      <c r="B12" s="348" t="s">
        <v>237</v>
      </c>
      <c r="C12" s="348" t="s">
        <v>238</v>
      </c>
      <c r="D12" s="348" t="s">
        <v>239</v>
      </c>
      <c r="E12" s="348" t="s">
        <v>240</v>
      </c>
      <c r="F12" s="348" t="s">
        <v>241</v>
      </c>
      <c r="G12" s="348" t="s">
        <v>242</v>
      </c>
    </row>
    <row r="14" spans="1:7" ht="12.75">
      <c r="A14" s="96">
        <v>1</v>
      </c>
      <c r="B14" s="96">
        <v>2017</v>
      </c>
      <c r="C14" s="483">
        <v>0</v>
      </c>
      <c r="D14" s="483">
        <v>0</v>
      </c>
      <c r="E14" s="483">
        <v>0</v>
      </c>
      <c r="F14" s="483">
        <v>0</v>
      </c>
      <c r="G14" s="483">
        <v>0</v>
      </c>
    </row>
    <row r="15" spans="1:7" ht="12.75">
      <c r="A15" s="96">
        <f>+A14+1</f>
        <v>2</v>
      </c>
      <c r="B15" s="96">
        <v>2018</v>
      </c>
      <c r="C15" s="15">
        <v>0</v>
      </c>
      <c r="D15" s="15">
        <v>0</v>
      </c>
      <c r="E15" s="15">
        <v>0</v>
      </c>
      <c r="F15" s="15">
        <v>0</v>
      </c>
      <c r="G15" s="15">
        <v>0</v>
      </c>
    </row>
    <row r="16" spans="1:7" ht="12.75">
      <c r="A16" s="353">
        <f t="shared" si="0" ref="A16:A23">+A15+1</f>
        <v>3</v>
      </c>
      <c r="B16" s="96">
        <v>2019</v>
      </c>
      <c r="C16" s="15">
        <v>0</v>
      </c>
      <c r="D16" s="15">
        <v>0</v>
      </c>
      <c r="E16" s="15">
        <v>0</v>
      </c>
      <c r="F16" s="15">
        <v>0</v>
      </c>
      <c r="G16" s="15">
        <v>0</v>
      </c>
    </row>
    <row r="17" spans="1:7" s="352" customFormat="1" ht="12.75">
      <c r="A17" s="353">
        <f t="shared" si="0"/>
        <v>4</v>
      </c>
      <c r="B17" s="353">
        <v>2020</v>
      </c>
      <c r="C17" s="15">
        <v>0</v>
      </c>
      <c r="D17" s="15">
        <v>0</v>
      </c>
      <c r="E17" s="15">
        <v>0</v>
      </c>
      <c r="F17" s="15">
        <v>0</v>
      </c>
      <c r="G17" s="15">
        <v>0</v>
      </c>
    </row>
    <row r="18" spans="1:7" s="352" customFormat="1" ht="12.75">
      <c r="A18" s="353">
        <f t="shared" si="0"/>
        <v>5</v>
      </c>
      <c r="B18" s="353">
        <v>2021</v>
      </c>
      <c r="C18" s="484">
        <v>0</v>
      </c>
      <c r="D18" s="484">
        <v>0</v>
      </c>
      <c r="E18" s="484">
        <f>D18+C18</f>
        <v>0</v>
      </c>
      <c r="F18" s="484">
        <v>0</v>
      </c>
      <c r="G18" s="484">
        <f>E18-F18</f>
        <v>0</v>
      </c>
    </row>
    <row r="19" spans="1:7" ht="12.75">
      <c r="A19" s="353">
        <f t="shared" si="0"/>
        <v>6</v>
      </c>
      <c r="B19" s="96"/>
      <c r="C19" s="349"/>
      <c r="D19" s="349"/>
      <c r="E19" s="349"/>
      <c r="F19" s="350"/>
      <c r="G19" s="350"/>
    </row>
    <row r="20" spans="1:7" ht="13.5" thickBot="1">
      <c r="A20" s="353">
        <f t="shared" si="0"/>
        <v>7</v>
      </c>
      <c r="B20" s="96" t="s">
        <v>354</v>
      </c>
      <c r="C20" s="501">
        <f>SUM(C14:C18)</f>
        <v>0</v>
      </c>
      <c r="D20" s="501">
        <f>SUM(D14:D18)</f>
        <v>0</v>
      </c>
      <c r="E20" s="501">
        <f>SUM(E14:E18)</f>
        <v>0</v>
      </c>
      <c r="F20" s="501">
        <f>SUM(F14:F18)</f>
        <v>0</v>
      </c>
      <c r="G20" s="501">
        <f>SUM(G14:G18)</f>
        <v>0</v>
      </c>
    </row>
    <row r="21" spans="1:5" ht="13.5" thickTop="1">
      <c r="A21" s="353">
        <f t="shared" si="0"/>
        <v>8</v>
      </c>
      <c r="B21" s="344"/>
      <c r="C21" s="261"/>
      <c r="D21" s="261"/>
      <c r="E21" s="261"/>
    </row>
    <row r="22" spans="1:5" ht="12.75">
      <c r="A22" s="353">
        <f t="shared" si="0"/>
        <v>9</v>
      </c>
      <c r="B22" s="344"/>
      <c r="C22" s="261"/>
      <c r="D22" s="261"/>
      <c r="E22" s="261"/>
    </row>
    <row r="23" spans="1:5" ht="12.75">
      <c r="A23" s="353">
        <f t="shared" si="0"/>
        <v>10</v>
      </c>
      <c r="B23" s="344" t="s">
        <v>31</v>
      </c>
      <c r="C23" s="261"/>
      <c r="D23" s="261"/>
      <c r="E23" s="261"/>
    </row>
  </sheetData>
  <printOptions horizontalCentered="1"/>
  <pageMargins left="0.5" right="0.5" top="3" bottom="0.5" header="1.5" footer="0.5"/>
  <pageSetup orientation="landscape" pageOrder="overThenDown" r:id="rId1"/>
  <headerFooter alignWithMargins="0">
    <oddHeader>&amp;C&amp;B
2022 RATE CASE
ONCOR ELECTRIC DELIVERY COMPANY LLC
II-E-3.12  UTILIZED – STAND ALONE BASIS
TEST YEAR ENDING DECEMBER 31, 2021
SPONSOR: B. L. CLUTTER&amp;R&amp;"Arial,Bold"Schedule &amp;A
Page &amp;P of &amp;N</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04">
    <tabColor rgb="FF92D050"/>
    <pageSetUpPr fitToPage="1"/>
  </sheetPr>
  <dimension ref="A1:B14"/>
  <sheetViews>
    <sheetView workbookViewId="0" topLeftCell="A1">
      <selection pane="topLeft" activeCell="H16" sqref="H16"/>
    </sheetView>
  </sheetViews>
  <sheetFormatPr defaultColWidth="9.14428571428571" defaultRowHeight="12.75"/>
  <cols>
    <col min="1"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Sponsors'!$A$98,'[3]Schedule Sponsors'!$B$98)</f>
        <v>II-E-3.13  ITC ELECTION</v>
      </c>
    </row>
    <row r="4" spans="1:1" ht="12.75">
      <c r="A4" s="192" t="str">
        <f>+'[3]Input Data'!$A$4</f>
        <v>TEST YEAR ENDING DECEMBER 31, 2021</v>
      </c>
    </row>
    <row r="5" spans="1:1" ht="12.75">
      <c r="A5" s="190" t="str">
        <f>CONCATENATE("SPONSOR: ",'[3]Schedule Sponsors'!$D$100)</f>
        <v>SPONSOR: B. L. CLUTTER</v>
      </c>
    </row>
    <row r="10" spans="1:1" ht="12.75">
      <c r="A10" s="177" t="s">
        <v>252</v>
      </c>
    </row>
    <row r="11" spans="1:1" ht="12.75">
      <c r="A11" s="182" t="s">
        <v>324</v>
      </c>
    </row>
    <row r="12" spans="1:1" ht="12.75">
      <c r="A12" s="189"/>
    </row>
    <row r="13" spans="1:2" ht="12.75">
      <c r="A13" s="181">
        <v>1</v>
      </c>
      <c r="B13" s="148" t="s">
        <v>396</v>
      </c>
    </row>
    <row r="14" spans="1:2" ht="12.75">
      <c r="A14" s="181">
        <f>A13+1</f>
        <v>2</v>
      </c>
      <c r="B14" s="148" t="s">
        <v>397</v>
      </c>
    </row>
  </sheetData>
  <printOptions horizontalCentered="1"/>
  <pageMargins left="0.5" right="0.5" top="3" bottom="0.5" header="1.5" footer="0.5"/>
  <pageSetup orientation="landscape" pageOrder="overThenDown" r:id="rId1"/>
  <headerFooter alignWithMargins="0">
    <oddHeader>&amp;C&amp;B
2022 RATE CASE
ONCOR ELECTRIC DELIVERY COMPANY LLC
II-E-3.13  ITC ELECTION
TEST YEAR ENDING DECEMBER 31, 2021
SPONSOR: B. L. CLUTTER&amp;R&amp;"Arial,Bold"Schedule &amp;A
Page &amp;P of &amp;N</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6">
    <tabColor rgb="FF92D050"/>
  </sheetPr>
  <dimension ref="A1:BP32"/>
  <sheetViews>
    <sheetView zoomScale="80" zoomScaleNormal="80" workbookViewId="0" topLeftCell="A1">
      <pane ySplit="14" topLeftCell="A15" activePane="bottomLeft" state="frozen"/>
      <selection pane="topLeft" activeCell="H16" sqref="H16"/>
      <selection pane="bottomLeft" activeCell="H16" sqref="H16"/>
    </sheetView>
  </sheetViews>
  <sheetFormatPr defaultColWidth="9.14428571428571" defaultRowHeight="12.75"/>
  <cols>
    <col min="1" max="1" width="5.85714285714286" style="148" customWidth="1"/>
    <col min="2" max="2" width="18.8571428571429" style="148" customWidth="1"/>
    <col min="3" max="3" width="34.8571428571429" style="148" customWidth="1"/>
    <col min="4" max="4" width="10.4285714285714" style="148" bestFit="1" customWidth="1"/>
    <col min="5" max="5" width="14.5714285714286" style="148" bestFit="1" customWidth="1"/>
    <col min="6" max="6" width="15.1428571428571" style="148" bestFit="1" customWidth="1"/>
    <col min="7" max="7" width="14.5714285714286" style="148" bestFit="1" customWidth="1"/>
    <col min="8" max="8" width="17.8571428571429" style="148" bestFit="1" customWidth="1"/>
    <col min="9" max="9" width="14.5714285714286" style="148" bestFit="1" customWidth="1"/>
    <col min="10" max="10" width="10.1428571428571" style="148" bestFit="1" customWidth="1"/>
    <col min="11" max="11" width="14.5714285714286" style="148" bestFit="1" customWidth="1"/>
    <col min="12" max="12" width="4.85714285714286" style="148" bestFit="1" customWidth="1"/>
    <col min="13" max="13" width="16.8571428571429" style="148" bestFit="1" customWidth="1"/>
    <col min="14" max="14" width="10.4285714285714" style="148" bestFit="1" customWidth="1"/>
    <col min="15" max="15" width="15.8571428571429" style="148" bestFit="1" customWidth="1"/>
    <col min="16" max="18" width="14.5714285714286" style="352" customWidth="1"/>
    <col min="19" max="19" width="14.5714285714286" style="148" bestFit="1" customWidth="1"/>
    <col min="20" max="21" width="14.5714285714286" style="352" customWidth="1"/>
    <col min="22" max="22" width="12.1428571428571" style="148" bestFit="1" customWidth="1"/>
    <col min="23" max="24" width="14.5714285714286" style="148" bestFit="1" customWidth="1"/>
    <col min="25" max="25" width="8.71428571428571" style="148" bestFit="1" customWidth="1"/>
    <col min="26" max="51" width="31.4285714285714" style="148" customWidth="1"/>
    <col min="52"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Sponsors'!$A$99,'[3]Schedule Sponsors'!$B$99)</f>
        <v>II-E-3.14  FERC ACCOUNT 255 BALANCE</v>
      </c>
    </row>
    <row r="4" spans="1:1" ht="12.75">
      <c r="A4" s="192" t="str">
        <f>+'[3]Input Data'!$A$4</f>
        <v>TEST YEAR ENDING DECEMBER 31, 2021</v>
      </c>
    </row>
    <row r="5" spans="1:1" ht="12.75">
      <c r="A5" s="190" t="str">
        <f>CONCATENATE("SPONSOR: ",'[3]Schedule Sponsors'!$D$101)</f>
        <v>SPONSOR: B. L. CLUTTER</v>
      </c>
    </row>
    <row r="7" spans="13:15" ht="12.75">
      <c r="M7" s="642"/>
      <c r="N7" s="199"/>
      <c r="O7" s="199"/>
    </row>
    <row r="9" ht="13.5" thickBot="1"/>
    <row r="10" spans="1:24" s="547" customFormat="1" ht="25.5">
      <c r="A10" s="545" t="s">
        <v>252</v>
      </c>
      <c r="B10" s="546" t="s">
        <v>74</v>
      </c>
      <c r="C10" s="546"/>
      <c r="D10" s="546" t="s">
        <v>71</v>
      </c>
      <c r="E10" s="546" t="s">
        <v>78</v>
      </c>
      <c r="F10" s="546" t="s">
        <v>62</v>
      </c>
      <c r="G10" s="217" t="s">
        <v>66</v>
      </c>
      <c r="H10" s="546" t="s">
        <v>400</v>
      </c>
      <c r="I10" s="546" t="s">
        <v>67</v>
      </c>
      <c r="J10" s="546" t="s">
        <v>84</v>
      </c>
      <c r="K10" s="546" t="s">
        <v>280</v>
      </c>
      <c r="L10" s="546" t="s">
        <v>61</v>
      </c>
      <c r="M10" s="546" t="s">
        <v>75</v>
      </c>
      <c r="N10" s="546" t="s">
        <v>73</v>
      </c>
      <c r="O10" s="217"/>
      <c r="P10" s="217"/>
      <c r="Q10" s="217"/>
      <c r="R10" s="217"/>
      <c r="S10" s="217"/>
      <c r="T10" s="217"/>
      <c r="U10" s="217"/>
      <c r="V10" s="217"/>
      <c r="W10" s="217"/>
      <c r="X10" s="217"/>
    </row>
    <row r="11" spans="1:24" s="170" customFormat="1" ht="12.75">
      <c r="A11" s="437" t="s">
        <v>147</v>
      </c>
      <c r="B11" s="169" t="s">
        <v>213</v>
      </c>
      <c r="C11" s="169" t="s">
        <v>69</v>
      </c>
      <c r="D11" s="169" t="s">
        <v>73</v>
      </c>
      <c r="E11" s="169" t="s">
        <v>81</v>
      </c>
      <c r="F11" s="169" t="s">
        <v>353</v>
      </c>
      <c r="G11" s="169" t="s">
        <v>68</v>
      </c>
      <c r="H11" s="169" t="s">
        <v>520</v>
      </c>
      <c r="I11" s="169" t="s">
        <v>521</v>
      </c>
      <c r="J11" s="169" t="s">
        <v>280</v>
      </c>
      <c r="K11" s="169" t="s">
        <v>47</v>
      </c>
      <c r="L11" s="169"/>
      <c r="M11" s="169" t="s">
        <v>63</v>
      </c>
      <c r="N11" s="169" t="s">
        <v>71</v>
      </c>
      <c r="O11" s="169"/>
      <c r="P11" s="169" t="s">
        <v>628</v>
      </c>
      <c r="Q11" s="169" t="s">
        <v>629</v>
      </c>
      <c r="R11" s="169" t="s">
        <v>631</v>
      </c>
      <c r="S11" s="169"/>
      <c r="T11" s="169" t="s">
        <v>628</v>
      </c>
      <c r="U11" s="169" t="s">
        <v>631</v>
      </c>
      <c r="V11" s="169"/>
      <c r="W11" s="169"/>
      <c r="X11" s="169"/>
    </row>
    <row r="12" spans="1:24" s="170" customFormat="1" ht="12.75">
      <c r="A12" s="437"/>
      <c r="B12" s="169"/>
      <c r="C12" s="169"/>
      <c r="D12" s="169"/>
      <c r="E12" s="169"/>
      <c r="F12" s="169"/>
      <c r="G12" s="169" t="s">
        <v>83</v>
      </c>
      <c r="H12" s="169" t="s">
        <v>402</v>
      </c>
      <c r="I12" s="169" t="s">
        <v>83</v>
      </c>
      <c r="J12" s="169" t="s">
        <v>80</v>
      </c>
      <c r="K12" s="169" t="s">
        <v>84</v>
      </c>
      <c r="L12" s="169"/>
      <c r="M12" s="169"/>
      <c r="N12" s="169"/>
      <c r="O12" s="169" t="s">
        <v>208</v>
      </c>
      <c r="P12" s="169" t="s">
        <v>208</v>
      </c>
      <c r="Q12" s="169" t="s">
        <v>632</v>
      </c>
      <c r="R12" s="169" t="s">
        <v>208</v>
      </c>
      <c r="S12" s="169" t="s">
        <v>209</v>
      </c>
      <c r="T12" s="169" t="s">
        <v>209</v>
      </c>
      <c r="U12" s="169" t="s">
        <v>209</v>
      </c>
      <c r="V12" s="169" t="s">
        <v>203</v>
      </c>
      <c r="W12" s="169" t="s">
        <v>291</v>
      </c>
      <c r="X12" s="169" t="s">
        <v>78</v>
      </c>
    </row>
    <row r="13" spans="1:24" s="226" customFormat="1" ht="13.5" thickBot="1">
      <c r="A13" s="438"/>
      <c r="B13" s="220" t="s">
        <v>237</v>
      </c>
      <c r="C13" s="220" t="s">
        <v>238</v>
      </c>
      <c r="D13" s="548" t="s">
        <v>239</v>
      </c>
      <c r="E13" s="220" t="s">
        <v>240</v>
      </c>
      <c r="F13" s="220" t="s">
        <v>241</v>
      </c>
      <c r="G13" s="220" t="s">
        <v>242</v>
      </c>
      <c r="H13" s="220" t="s">
        <v>243</v>
      </c>
      <c r="I13" s="220" t="s">
        <v>244</v>
      </c>
      <c r="J13" s="220" t="s">
        <v>245</v>
      </c>
      <c r="K13" s="220" t="s">
        <v>246</v>
      </c>
      <c r="L13" s="220" t="s">
        <v>247</v>
      </c>
      <c r="M13" s="220" t="s">
        <v>248</v>
      </c>
      <c r="N13" s="220" t="s">
        <v>249</v>
      </c>
      <c r="O13" s="220" t="s">
        <v>250</v>
      </c>
      <c r="P13" s="220" t="s">
        <v>251</v>
      </c>
      <c r="Q13" s="220" t="s">
        <v>148</v>
      </c>
      <c r="R13" s="220" t="s">
        <v>281</v>
      </c>
      <c r="S13" s="220" t="s">
        <v>292</v>
      </c>
      <c r="T13" s="220" t="s">
        <v>293</v>
      </c>
      <c r="U13" s="220" t="s">
        <v>509</v>
      </c>
      <c r="V13" s="220" t="s">
        <v>510</v>
      </c>
      <c r="W13" s="220" t="s">
        <v>511</v>
      </c>
      <c r="X13" s="549" t="s">
        <v>512</v>
      </c>
    </row>
    <row r="14" s="197" customFormat="1" ht="12.75"/>
    <row r="15" spans="15:18" ht="12.75">
      <c r="O15" s="483"/>
      <c r="P15" s="483"/>
      <c r="Q15" s="483"/>
      <c r="R15" s="483"/>
    </row>
    <row r="16" spans="1:68" ht="12.75">
      <c r="A16" s="181">
        <v>1</v>
      </c>
      <c r="B16" s="344">
        <v>2551000</v>
      </c>
      <c r="C16" s="148" t="s">
        <v>43</v>
      </c>
      <c r="D16" s="114"/>
      <c r="E16" s="483">
        <v>216034218.63</v>
      </c>
      <c r="F16" s="483">
        <v>0</v>
      </c>
      <c r="G16" s="483">
        <f>+E16+F16</f>
        <v>216034218.63</v>
      </c>
      <c r="H16" s="483">
        <v>0</v>
      </c>
      <c r="I16" s="483">
        <f>+G16+H16</f>
        <v>216034218.63</v>
      </c>
      <c r="J16" s="1">
        <v>1</v>
      </c>
      <c r="K16" s="483">
        <f>+I16*J16</f>
        <v>216034218.63</v>
      </c>
      <c r="L16" s="114"/>
      <c r="M16" s="195" t="s">
        <v>408</v>
      </c>
      <c r="N16" s="114"/>
      <c r="O16" s="641">
        <v>62291873.120000005</v>
      </c>
      <c r="P16" s="641">
        <v>0</v>
      </c>
      <c r="Q16" s="641">
        <v>0</v>
      </c>
      <c r="R16" s="641">
        <f>SUM(O16:Q16)</f>
        <v>62291873.120000005</v>
      </c>
      <c r="S16" s="641">
        <v>153742345.50999999</v>
      </c>
      <c r="T16" s="641">
        <v>0</v>
      </c>
      <c r="U16" s="641">
        <f>SUM(S16:T16)</f>
        <v>153742345.50999999</v>
      </c>
      <c r="V16" s="641">
        <v>0</v>
      </c>
      <c r="W16" s="641">
        <v>0</v>
      </c>
      <c r="X16" s="641">
        <f>ROUND(+$K$16*'[5]II-F Alloc_Factor'!N40,0)</f>
        <v>216034219</v>
      </c>
      <c r="Y16" s="114" t="b">
        <f>ROUND(+K16,0)=ROUND(X16,0)</f>
        <v>1</v>
      </c>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row>
    <row r="17" spans="1:68" ht="12.75">
      <c r="A17" s="181">
        <v>2</v>
      </c>
      <c r="B17" s="344" t="s">
        <v>64</v>
      </c>
      <c r="D17" s="114"/>
      <c r="E17" s="114"/>
      <c r="F17" s="114"/>
      <c r="G17" s="114"/>
      <c r="H17" s="114"/>
      <c r="I17" s="114"/>
      <c r="J17" s="1"/>
      <c r="K17" s="114"/>
      <c r="L17" s="114"/>
      <c r="M17" s="3"/>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row>
    <row r="18" spans="1:68" ht="12.75">
      <c r="A18" s="181">
        <v>3</v>
      </c>
      <c r="B18" s="344">
        <v>2553000</v>
      </c>
      <c r="C18" s="148" t="s">
        <v>44</v>
      </c>
      <c r="D18" s="114"/>
      <c r="E18" s="486">
        <v>-212264261.13</v>
      </c>
      <c r="F18" s="486">
        <v>0</v>
      </c>
      <c r="G18" s="486">
        <f>+E18+F18</f>
        <v>-212264261.13</v>
      </c>
      <c r="H18" s="486">
        <v>0</v>
      </c>
      <c r="I18" s="486">
        <f>+G18+H18</f>
        <v>-212264261.13</v>
      </c>
      <c r="J18" s="237">
        <v>1</v>
      </c>
      <c r="K18" s="486">
        <f>+I18*J18</f>
        <v>-212264261.13</v>
      </c>
      <c r="L18" s="149"/>
      <c r="M18" s="195" t="s">
        <v>408</v>
      </c>
      <c r="N18" s="114"/>
      <c r="O18" s="486">
        <v>-58713063.609999999</v>
      </c>
      <c r="P18" s="486">
        <v>0</v>
      </c>
      <c r="Q18" s="486">
        <v>0</v>
      </c>
      <c r="R18" s="486">
        <f>SUM(O18:Q18)</f>
        <v>-58713063.609999999</v>
      </c>
      <c r="S18" s="486">
        <v>-153551197.52000001</v>
      </c>
      <c r="T18" s="486">
        <v>0</v>
      </c>
      <c r="U18" s="486">
        <f>SUM(S18:T18)</f>
        <v>-153551197.52000001</v>
      </c>
      <c r="V18" s="486">
        <v>0</v>
      </c>
      <c r="W18" s="486">
        <v>0</v>
      </c>
      <c r="X18" s="486">
        <f>ROUND(+$K$18*'[5]II-F Alloc_Factor'!N40,0)</f>
        <v>-212264261</v>
      </c>
      <c r="Y18" s="114" t="b">
        <f>ROUND(+K18,0)=ROUND(X18,0)</f>
        <v>1</v>
      </c>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row>
    <row r="19" spans="1:68" ht="12.75">
      <c r="A19" s="181">
        <v>4</v>
      </c>
      <c r="E19" s="114"/>
      <c r="F19" s="114"/>
      <c r="G19" s="114"/>
      <c r="H19" s="4" t="s">
        <v>32</v>
      </c>
      <c r="I19" s="114"/>
      <c r="J19" s="237"/>
      <c r="K19" s="114"/>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row>
    <row r="20" spans="1:68" ht="13.5" thickBot="1">
      <c r="A20" s="181">
        <v>5</v>
      </c>
      <c r="C20" s="194" t="s">
        <v>78</v>
      </c>
      <c r="D20" s="194"/>
      <c r="E20" s="503">
        <f>+E16+E18</f>
        <v>3769957.5</v>
      </c>
      <c r="F20" s="503">
        <f>+F16+F18</f>
        <v>0</v>
      </c>
      <c r="G20" s="503">
        <f>+G16+G18</f>
        <v>3769957.5</v>
      </c>
      <c r="H20" s="503">
        <f>+H16+H18</f>
        <v>0</v>
      </c>
      <c r="I20" s="503">
        <f>+I16+I18</f>
        <v>3769957.5</v>
      </c>
      <c r="J20" s="5"/>
      <c r="K20" s="503">
        <f>+K16+K18</f>
        <v>3769957.5</v>
      </c>
      <c r="L20" s="5"/>
      <c r="M20" s="5"/>
      <c r="N20" s="5"/>
      <c r="O20" s="503">
        <f t="shared" si="0" ref="O20:X20">+O16+O18</f>
        <v>3578809.5100000054</v>
      </c>
      <c r="P20" s="503">
        <f t="shared" si="1" ref="P20:W20">+P16+P18</f>
        <v>0</v>
      </c>
      <c r="Q20" s="503">
        <f t="shared" si="1"/>
        <v>0</v>
      </c>
      <c r="R20" s="503">
        <f t="shared" si="1"/>
        <v>3578809.5100000054</v>
      </c>
      <c r="S20" s="503">
        <f t="shared" si="1"/>
        <v>191147.98999997973</v>
      </c>
      <c r="T20" s="503">
        <f t="shared" si="1"/>
        <v>0</v>
      </c>
      <c r="U20" s="503">
        <f t="shared" si="1"/>
        <v>191147.98999997973</v>
      </c>
      <c r="V20" s="503">
        <f t="shared" si="1"/>
        <v>0</v>
      </c>
      <c r="W20" s="503">
        <f t="shared" si="1"/>
        <v>0</v>
      </c>
      <c r="X20" s="503">
        <f t="shared" si="0"/>
        <v>3769958</v>
      </c>
      <c r="Y20" s="114" t="b">
        <f>ROUND(+K20,0)=ROUND(X20,0)</f>
        <v>1</v>
      </c>
      <c r="Z20" s="114"/>
      <c r="AA20" s="114"/>
      <c r="AB20" s="114"/>
      <c r="AC20" s="114"/>
      <c r="AD20" s="114"/>
      <c r="AE20" s="114"/>
      <c r="AF20" s="114"/>
      <c r="AG20" s="114"/>
      <c r="AH20" s="114"/>
      <c r="AI20" s="114"/>
      <c r="AJ20" s="114"/>
      <c r="AK20" s="114"/>
      <c r="AL20" s="114"/>
      <c r="AM20" s="114"/>
      <c r="AN20" s="114"/>
      <c r="AO20" s="114"/>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row>
    <row r="21" spans="14:14" ht="13.5" thickTop="1">
      <c r="N21" s="187"/>
    </row>
    <row r="32" spans="4:4" ht="12.75">
      <c r="D32" s="194"/>
    </row>
  </sheetData>
  <printOptions horizontalCentered="1"/>
  <pageMargins left="0.5" right="0.5" top="3" bottom="0.5" header="1.5" footer="0.5"/>
  <pageSetup fitToWidth="2" orientation="landscape" pageOrder="overThenDown" scale="53" r:id="rId1"/>
  <headerFooter alignWithMargins="0">
    <oddHeader>&amp;C&amp;B
2022 RATE CASE
ONCOR ELECTRIC DELIVERY COMPANY LLC
II-E-3.14  FERC ACCOUNT 255 BALANCE
TEST YEAR ENDING DECEMBER 31, 2021
SPONSOR: B. L. CLUTTER&amp;R&amp;"Arial,Bold"Schedule &amp;A
Page &amp;P of &amp;N</oddHeader>
  </headerFooter>
  <colBreaks count="1" manualBreakCount="1">
    <brk id="12" min="9" max="19" man="1"/>
  </colBreak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6">
    <tabColor rgb="FF92D050"/>
    <pageSetUpPr fitToPage="1"/>
  </sheetPr>
  <dimension ref="A1:O155"/>
  <sheetViews>
    <sheetView zoomScale="80" zoomScaleNormal="80" workbookViewId="0" topLeftCell="A1">
      <pane xSplit="2" ySplit="13" topLeftCell="C67" activePane="bottomRight" state="frozen"/>
      <selection pane="topLeft" activeCell="H16" sqref="H16"/>
      <selection pane="bottomLeft" activeCell="H16" sqref="H16"/>
      <selection pane="topRight" activeCell="H16" sqref="H16"/>
      <selection pane="bottomRight" activeCell="B86" sqref="B86"/>
    </sheetView>
  </sheetViews>
  <sheetFormatPr defaultColWidth="9.14428571428571" defaultRowHeight="12.75"/>
  <cols>
    <col min="1" max="1" width="5" style="115" bestFit="1" customWidth="1"/>
    <col min="2" max="2" width="66.2857142857143" style="115" customWidth="1"/>
    <col min="3" max="3" width="20.1428571428571" style="197" bestFit="1" customWidth="1"/>
    <col min="4" max="4" width="14.1428571428571" style="115" bestFit="1" customWidth="1"/>
    <col min="5" max="5" width="20.8571428571429" style="115" bestFit="1" customWidth="1"/>
    <col min="6" max="6" width="17.8571428571429" style="295" bestFit="1" customWidth="1"/>
    <col min="7" max="7" width="14.8571428571429" style="115" bestFit="1" customWidth="1"/>
    <col min="8" max="8" width="48.7142857142857" style="115" bestFit="1" customWidth="1"/>
    <col min="9" max="9" width="15.4285714285714" style="283" bestFit="1" customWidth="1"/>
    <col min="10" max="10" width="18.8571428571429" style="115" bestFit="1" customWidth="1"/>
    <col min="11" max="11" width="46" style="115" bestFit="1" customWidth="1"/>
    <col min="12" max="12" width="12.7142857142857" style="115" bestFit="1" customWidth="1"/>
    <col min="13" max="13" width="17.1428571428571" style="115" bestFit="1" customWidth="1"/>
    <col min="14" max="14" width="17.5714285714286" style="115" bestFit="1" customWidth="1"/>
    <col min="15" max="15" width="11" style="115" bestFit="1" customWidth="1"/>
    <col min="16" max="16384" width="9.14285714285714" style="115"/>
  </cols>
  <sheetData>
    <row r="1" spans="1:1" ht="12.75">
      <c r="A1" s="108" t="str">
        <f>+'[3]Input Data'!$A$9</f>
        <v>2022 RATE CASE</v>
      </c>
    </row>
    <row r="2" spans="1:1" ht="12.75">
      <c r="A2" s="167" t="str">
        <f>+'[3]Input Data'!$A$2</f>
        <v>ONCOR ELECTRIC DELIVERY COMPANY LLC</v>
      </c>
    </row>
    <row r="3" spans="1:5" ht="12.75">
      <c r="A3" s="168" t="str">
        <f>CONCATENATE('[3]Schedule Sponsors'!$A$100,'[3]Schedule Sponsors'!$B$100)</f>
        <v>II-E-3.15  ANALYSIS OF TEST YEAR FIT &amp;&amp; REQUESTED FIT-TAX METHOD 2</v>
      </c>
      <c r="E3" s="261"/>
    </row>
    <row r="4" spans="1:5" ht="12.75">
      <c r="A4" s="168" t="str">
        <f>+'[3]Input Data'!$A$4</f>
        <v>TEST YEAR ENDING DECEMBER 31, 2021</v>
      </c>
      <c r="E4" s="261"/>
    </row>
    <row r="5" spans="1:6" ht="12.75">
      <c r="A5" s="166" t="str">
        <f>CONCATENATE("SPONSOR: ",'[3]Schedule Sponsors'!$D$102)</f>
        <v>SPONSOR: B. L. CLUTTER</v>
      </c>
      <c r="C5" s="289"/>
      <c r="D5" s="256"/>
      <c r="E5" s="303"/>
      <c r="F5" s="297"/>
    </row>
    <row r="6" spans="3:6" ht="12.75">
      <c r="C6" s="304"/>
      <c r="D6" s="256"/>
      <c r="E6" s="256"/>
      <c r="F6" s="298"/>
    </row>
    <row r="7" spans="3:6" ht="12.75">
      <c r="C7" s="305"/>
      <c r="D7" s="256"/>
      <c r="E7" s="304"/>
      <c r="F7" s="299"/>
    </row>
    <row r="8" spans="3:6" ht="12.75">
      <c r="C8" s="306"/>
      <c r="D8" s="256"/>
      <c r="E8" s="256"/>
      <c r="F8" s="299"/>
    </row>
    <row r="9" spans="3:6" ht="13.5" thickBot="1">
      <c r="C9" s="304"/>
      <c r="D9" s="256"/>
      <c r="E9" s="307"/>
      <c r="F9" s="299"/>
    </row>
    <row r="10" spans="1:9" s="352" customFormat="1" ht="12.75">
      <c r="A10" s="265" t="s">
        <v>252</v>
      </c>
      <c r="B10" s="265"/>
      <c r="C10" s="217"/>
      <c r="D10" s="265" t="s">
        <v>73</v>
      </c>
      <c r="E10" s="265"/>
      <c r="F10" s="295"/>
      <c r="I10" s="283"/>
    </row>
    <row r="11" spans="1:9" s="300" customFormat="1" ht="12.75">
      <c r="A11" s="266" t="s">
        <v>147</v>
      </c>
      <c r="B11" s="266" t="s">
        <v>69</v>
      </c>
      <c r="C11" s="169" t="s">
        <v>253</v>
      </c>
      <c r="D11" s="266" t="s">
        <v>71</v>
      </c>
      <c r="E11" s="266" t="s">
        <v>254</v>
      </c>
      <c r="F11" s="229"/>
      <c r="I11" s="725"/>
    </row>
    <row r="12" spans="1:9" s="352" customFormat="1" ht="13.5" thickBot="1">
      <c r="A12" s="267"/>
      <c r="B12" s="267" t="s">
        <v>237</v>
      </c>
      <c r="C12" s="220" t="s">
        <v>238</v>
      </c>
      <c r="D12" s="267" t="s">
        <v>239</v>
      </c>
      <c r="E12" s="267" t="s">
        <v>240</v>
      </c>
      <c r="F12" s="295"/>
      <c r="I12" s="283"/>
    </row>
    <row r="13" spans="3:9" s="352" customFormat="1" ht="12.75">
      <c r="C13" s="197"/>
      <c r="F13" s="295"/>
      <c r="I13" s="283"/>
    </row>
    <row r="14" spans="1:14" s="352" customFormat="1" ht="12.75">
      <c r="A14" s="353">
        <v>1</v>
      </c>
      <c r="B14" s="352" t="s">
        <v>265</v>
      </c>
      <c r="C14" s="504">
        <v>4764035928.2799997</v>
      </c>
      <c r="D14" s="505"/>
      <c r="E14" s="504">
        <f>ROUND(+'[4]Link Sheet'!$D$9,2)</f>
        <v>5824068017.8400002</v>
      </c>
      <c r="F14" s="301"/>
      <c r="I14" s="283"/>
      <c r="K14" s="114"/>
      <c r="N14" s="114"/>
    </row>
    <row r="15" spans="1:14" s="352" customFormat="1" ht="12.75">
      <c r="A15" s="353">
        <f t="shared" si="0" ref="A15:A81">A14+1</f>
        <v>2</v>
      </c>
      <c r="B15" s="352" t="s">
        <v>266</v>
      </c>
      <c r="C15" s="146"/>
      <c r="D15" s="300"/>
      <c r="E15" s="146"/>
      <c r="F15" s="301"/>
      <c r="I15" s="283"/>
      <c r="N15" s="114"/>
    </row>
    <row r="16" spans="1:14" s="352" customFormat="1" ht="12.75">
      <c r="A16" s="353">
        <f t="shared" si="0"/>
        <v>3</v>
      </c>
      <c r="B16" s="352" t="s">
        <v>694</v>
      </c>
      <c r="C16" s="504">
        <v>0</v>
      </c>
      <c r="D16" s="504"/>
      <c r="E16" s="504">
        <v>0</v>
      </c>
      <c r="F16" s="302"/>
      <c r="I16" s="283"/>
      <c r="N16" s="114"/>
    </row>
    <row r="17" spans="1:14" s="352" customFormat="1" ht="12.75">
      <c r="A17" s="353">
        <f t="shared" si="0"/>
        <v>4</v>
      </c>
      <c r="B17" s="352" t="s">
        <v>695</v>
      </c>
      <c r="C17" s="506">
        <v>2021113391.1999996</v>
      </c>
      <c r="D17" s="507"/>
      <c r="E17" s="506">
        <f>ROUND(+'[4]Link Sheet'!D4,2)</f>
        <v>2794288343.1900001</v>
      </c>
      <c r="F17" s="302"/>
      <c r="I17" s="283"/>
      <c r="K17" s="114"/>
      <c r="N17" s="114"/>
    </row>
    <row r="18" spans="1:14" s="352" customFormat="1" ht="12.75">
      <c r="A18" s="353">
        <f t="shared" si="0"/>
        <v>5</v>
      </c>
      <c r="B18" s="352" t="s">
        <v>696</v>
      </c>
      <c r="C18" s="506">
        <v>820450844.19999993</v>
      </c>
      <c r="D18" s="507"/>
      <c r="E18" s="506">
        <f>ROUND(+'[4]Link Sheet'!D5-E20,2)</f>
        <v>924787036.30999994</v>
      </c>
      <c r="F18" s="295"/>
      <c r="I18" s="283"/>
      <c r="K18" s="261"/>
      <c r="N18" s="114"/>
    </row>
    <row r="19" spans="1:14" s="352" customFormat="1" ht="12.75">
      <c r="A19" s="353">
        <f t="shared" si="0"/>
        <v>6</v>
      </c>
      <c r="B19" s="352" t="s">
        <v>697</v>
      </c>
      <c r="C19" s="506">
        <v>555386065.9000001</v>
      </c>
      <c r="D19" s="507"/>
      <c r="E19" s="506">
        <f>ROUND(+'[4]Link Sheet'!D6,2)</f>
        <v>612346105.39999998</v>
      </c>
      <c r="F19" s="295"/>
      <c r="G19" s="263"/>
      <c r="H19" s="308"/>
      <c r="I19" s="283"/>
      <c r="K19" s="261"/>
      <c r="N19" s="114"/>
    </row>
    <row r="20" spans="1:14" s="352" customFormat="1" ht="12.75">
      <c r="A20" s="353">
        <f t="shared" si="0"/>
        <v>7</v>
      </c>
      <c r="B20" s="352" t="s">
        <v>698</v>
      </c>
      <c r="C20" s="506">
        <f>ROUND(+'II-E-4'!E18,2)</f>
        <v>228869.35000000001</v>
      </c>
      <c r="D20" s="508"/>
      <c r="E20" s="506">
        <f>ROUND(+'II-E-4'!K18,2)</f>
        <v>22818.290000000001</v>
      </c>
      <c r="F20" s="295"/>
      <c r="I20" s="283"/>
      <c r="N20" s="114"/>
    </row>
    <row r="21" spans="1:15" s="352" customFormat="1" ht="12.75">
      <c r="A21" s="353">
        <f t="shared" si="0"/>
        <v>8</v>
      </c>
      <c r="B21" s="352" t="s">
        <v>267</v>
      </c>
      <c r="C21" s="146"/>
      <c r="D21" s="300"/>
      <c r="E21" s="146"/>
      <c r="F21" s="295"/>
      <c r="I21" s="283"/>
      <c r="N21" s="149"/>
      <c r="O21" s="261"/>
    </row>
    <row r="22" spans="1:14" s="352" customFormat="1" ht="12.75">
      <c r="A22" s="353">
        <f t="shared" si="0"/>
        <v>9</v>
      </c>
      <c r="B22" s="352" t="s">
        <v>699</v>
      </c>
      <c r="C22" s="506">
        <f>'II-E-3'!E20-C20</f>
        <v>412555883.54999995</v>
      </c>
      <c r="D22" s="259" t="s">
        <v>232</v>
      </c>
      <c r="E22" s="506">
        <f>ROUND('II-E-3'!I20,2)</f>
        <v>453463873.86000001</v>
      </c>
      <c r="F22" s="295"/>
      <c r="I22" s="283"/>
      <c r="K22" s="261"/>
      <c r="N22" s="261"/>
    </row>
    <row r="23" spans="1:14" s="352" customFormat="1" ht="12.75">
      <c r="A23" s="353">
        <f t="shared" si="0"/>
        <v>10</v>
      </c>
      <c r="B23" s="352" t="s">
        <v>700</v>
      </c>
      <c r="C23" s="506">
        <v>0</v>
      </c>
      <c r="D23" s="259"/>
      <c r="E23" s="506">
        <f>+C23</f>
        <v>0</v>
      </c>
      <c r="F23" s="295"/>
      <c r="I23" s="283"/>
      <c r="K23" s="261"/>
      <c r="N23" s="261"/>
    </row>
    <row r="24" spans="1:9" s="352" customFormat="1" ht="12.75">
      <c r="A24" s="353">
        <f t="shared" si="0"/>
        <v>11</v>
      </c>
      <c r="C24" s="196"/>
      <c r="D24" s="259"/>
      <c r="E24" s="196"/>
      <c r="F24" s="295"/>
      <c r="I24" s="283"/>
    </row>
    <row r="25" spans="1:14" s="352" customFormat="1" ht="12.75">
      <c r="A25" s="353">
        <f t="shared" si="0"/>
        <v>12</v>
      </c>
      <c r="B25" s="352" t="s">
        <v>150</v>
      </c>
      <c r="C25" s="504">
        <f>C14-SUM(C16:C24)</f>
        <v>954300874.07999992</v>
      </c>
      <c r="D25" s="504"/>
      <c r="E25" s="504">
        <f>E14-SUM(E16:E24)</f>
        <v>1039159840.7900009</v>
      </c>
      <c r="F25" s="469">
        <f>+'II-E-3.2b'!C15+'II-E-3.1'!D17</f>
        <v>954300874.07999992</v>
      </c>
      <c r="G25" s="469">
        <f>+'II-E-3.2b'!E15</f>
        <v>1039159840.7900001</v>
      </c>
      <c r="I25" s="283"/>
      <c r="J25" s="261"/>
      <c r="K25" s="196"/>
      <c r="N25" s="261"/>
    </row>
    <row r="26" spans="1:11" s="352" customFormat="1" ht="12.75">
      <c r="A26" s="353">
        <f t="shared" si="0"/>
        <v>13</v>
      </c>
      <c r="C26" s="196"/>
      <c r="D26" s="259"/>
      <c r="E26" s="196"/>
      <c r="F26" s="585">
        <f>+F25-C25</f>
        <v>0</v>
      </c>
      <c r="G26" s="585">
        <f>+G25-E25</f>
        <v>0</v>
      </c>
      <c r="I26" s="283"/>
      <c r="K26" s="261"/>
    </row>
    <row r="27" spans="1:10" s="352" customFormat="1" ht="12.75">
      <c r="A27" s="353">
        <f t="shared" si="0"/>
        <v>14</v>
      </c>
      <c r="B27" s="352" t="s">
        <v>151</v>
      </c>
      <c r="C27" s="196"/>
      <c r="D27" s="259"/>
      <c r="E27" s="196"/>
      <c r="F27" s="295"/>
      <c r="I27" s="283"/>
      <c r="J27" s="283"/>
    </row>
    <row r="28" spans="1:9" s="352" customFormat="1" ht="12.75">
      <c r="A28" s="353">
        <f t="shared" si="0"/>
        <v>15</v>
      </c>
      <c r="C28" s="196"/>
      <c r="D28" s="259"/>
      <c r="E28" s="196"/>
      <c r="F28" s="295"/>
      <c r="I28" s="283"/>
    </row>
    <row r="29" spans="1:9" s="352" customFormat="1" ht="12.75">
      <c r="A29" s="353">
        <f t="shared" si="0"/>
        <v>16</v>
      </c>
      <c r="B29" s="352" t="s">
        <v>688</v>
      </c>
      <c r="C29" s="504">
        <f>+'II-E-3.1'!D23</f>
        <v>1697686.1399999999</v>
      </c>
      <c r="D29" s="259" t="s">
        <v>54</v>
      </c>
      <c r="E29" s="504">
        <f>+'II-E-3'!I32</f>
        <v>1697686.1399999999</v>
      </c>
      <c r="F29" s="295" t="s">
        <v>232</v>
      </c>
      <c r="I29" s="283"/>
    </row>
    <row r="30" spans="1:14" s="352" customFormat="1" ht="12.75">
      <c r="A30" s="353">
        <f t="shared" si="0"/>
        <v>17</v>
      </c>
      <c r="B30" s="146" t="s">
        <v>689</v>
      </c>
      <c r="C30" s="506">
        <f>+'II-E-3.1'!D24</f>
        <v>207160</v>
      </c>
      <c r="D30" s="259" t="s">
        <v>54</v>
      </c>
      <c r="E30" s="506">
        <f>+'II-E-3'!I33</f>
        <v>0</v>
      </c>
      <c r="F30" s="295" t="s">
        <v>232</v>
      </c>
      <c r="I30" s="283"/>
      <c r="J30" s="261"/>
      <c r="N30" s="261"/>
    </row>
    <row r="31" spans="1:9" s="352" customFormat="1" ht="12.75">
      <c r="A31" s="353">
        <f t="shared" si="0"/>
        <v>18</v>
      </c>
      <c r="B31" s="581" t="s">
        <v>690</v>
      </c>
      <c r="C31" s="506">
        <f>+'II-E-3.1'!D25</f>
        <v>1420342.1399999999</v>
      </c>
      <c r="D31" s="259" t="s">
        <v>54</v>
      </c>
      <c r="E31" s="506">
        <f>+'II-E-3'!I34</f>
        <v>1420342.1399999999</v>
      </c>
      <c r="F31" s="295" t="s">
        <v>232</v>
      </c>
      <c r="I31" s="283"/>
    </row>
    <row r="32" spans="1:9" s="352" customFormat="1" ht="12.75">
      <c r="A32" s="353">
        <f t="shared" si="0"/>
        <v>19</v>
      </c>
      <c r="B32" s="146" t="s">
        <v>691</v>
      </c>
      <c r="C32" s="506">
        <f>+'II-E-3.1'!D26</f>
        <v>-4969701.4299999997</v>
      </c>
      <c r="D32" s="259" t="s">
        <v>54</v>
      </c>
      <c r="E32" s="506">
        <f>+'II-E-3'!I35</f>
        <v>-4969701.4299999997</v>
      </c>
      <c r="F32" s="295" t="s">
        <v>232</v>
      </c>
      <c r="I32" s="283"/>
    </row>
    <row r="33" spans="1:11" s="352" customFormat="1" ht="12.75">
      <c r="A33" s="353">
        <f t="shared" si="0"/>
        <v>20</v>
      </c>
      <c r="B33" s="352" t="s">
        <v>692</v>
      </c>
      <c r="C33" s="506">
        <f>+'II-E-3.1'!D27</f>
        <v>-120366.49000000001</v>
      </c>
      <c r="D33" s="259" t="s">
        <v>54</v>
      </c>
      <c r="E33" s="506">
        <f>-'II-E-3'!I26</f>
        <v>-120366.49000000001</v>
      </c>
      <c r="F33" s="295" t="s">
        <v>1120</v>
      </c>
      <c r="I33" s="283"/>
      <c r="K33" s="352" t="s">
        <v>72</v>
      </c>
    </row>
    <row r="34" spans="1:9" s="352" customFormat="1" ht="12.75">
      <c r="A34" s="353">
        <f t="shared" si="0"/>
        <v>21</v>
      </c>
      <c r="B34" s="352" t="s">
        <v>693</v>
      </c>
      <c r="C34" s="506">
        <f>+'II-E-3.1'!D28</f>
        <v>-24127297</v>
      </c>
      <c r="D34" s="259" t="s">
        <v>54</v>
      </c>
      <c r="E34" s="506">
        <v>0</v>
      </c>
      <c r="F34" s="295"/>
      <c r="I34" s="283"/>
    </row>
    <row r="35" spans="1:9" s="352" customFormat="1" ht="12.75">
      <c r="A35" s="353">
        <f t="shared" si="0"/>
        <v>22</v>
      </c>
      <c r="B35" s="357"/>
      <c r="C35" s="357"/>
      <c r="D35" s="259"/>
      <c r="E35" s="814"/>
      <c r="F35" s="295"/>
      <c r="H35" s="261"/>
      <c r="I35" s="283"/>
    </row>
    <row r="36" spans="1:9" s="352" customFormat="1" ht="12.75">
      <c r="A36" s="353">
        <f t="shared" si="0"/>
        <v>23</v>
      </c>
      <c r="B36" s="357" t="s">
        <v>152</v>
      </c>
      <c r="C36" s="504">
        <f>SUM(C29:C34)</f>
        <v>-25892176.640000001</v>
      </c>
      <c r="D36" s="504"/>
      <c r="E36" s="504">
        <f>SUM(E29:E34)</f>
        <v>-1972039.6399999999</v>
      </c>
      <c r="F36" s="295"/>
      <c r="H36" s="261"/>
      <c r="I36" s="283"/>
    </row>
    <row r="37" spans="1:9" s="352" customFormat="1" ht="12.75">
      <c r="A37" s="353">
        <f t="shared" si="0"/>
        <v>24</v>
      </c>
      <c r="B37" s="357"/>
      <c r="C37" s="357"/>
      <c r="D37" s="259"/>
      <c r="E37" s="502"/>
      <c r="F37" s="295"/>
      <c r="I37" s="283"/>
    </row>
    <row r="38" spans="1:9" s="352" customFormat="1" ht="12.75">
      <c r="A38" s="353">
        <f t="shared" si="0"/>
        <v>25</v>
      </c>
      <c r="B38" s="357" t="s">
        <v>153</v>
      </c>
      <c r="C38" s="196"/>
      <c r="D38" s="259"/>
      <c r="E38" s="149"/>
      <c r="F38" s="295"/>
      <c r="I38" s="283"/>
    </row>
    <row r="39" spans="1:9" s="352" customFormat="1" ht="12.75">
      <c r="A39" s="353">
        <f t="shared" si="0"/>
        <v>26</v>
      </c>
      <c r="C39" s="196"/>
      <c r="D39" s="259"/>
      <c r="E39" s="149"/>
      <c r="F39" s="197"/>
      <c r="I39" s="283"/>
    </row>
    <row r="40" spans="1:9" s="352" customFormat="1" ht="12.75">
      <c r="A40" s="353">
        <f t="shared" si="0"/>
        <v>27</v>
      </c>
      <c r="B40" s="197" t="s">
        <v>301</v>
      </c>
      <c r="C40" s="196"/>
      <c r="D40" s="259"/>
      <c r="E40" s="149"/>
      <c r="F40" s="197"/>
      <c r="I40" s="283"/>
    </row>
    <row r="41" spans="1:9" s="352" customFormat="1" ht="12.75">
      <c r="A41" s="353">
        <f t="shared" si="0"/>
        <v>28</v>
      </c>
      <c r="B41" s="197" t="s">
        <v>174</v>
      </c>
      <c r="C41" s="504">
        <v>-140027423</v>
      </c>
      <c r="D41" s="259" t="s">
        <v>54</v>
      </c>
      <c r="E41" s="504">
        <f>+'II-E-3.16'!F15</f>
        <v>-140027423</v>
      </c>
      <c r="F41" s="295" t="s">
        <v>56</v>
      </c>
      <c r="G41" s="487"/>
      <c r="I41" s="283"/>
    </row>
    <row r="42" spans="1:9" s="352" customFormat="1" ht="12.75">
      <c r="A42" s="353">
        <f t="shared" si="0"/>
        <v>29</v>
      </c>
      <c r="B42" s="146" t="s">
        <v>363</v>
      </c>
      <c r="C42" s="15">
        <v>-135840689</v>
      </c>
      <c r="D42" s="259" t="s">
        <v>54</v>
      </c>
      <c r="E42" s="15">
        <f>+'II-E-3.16'!F16</f>
        <v>-135840689</v>
      </c>
      <c r="F42" s="295" t="s">
        <v>56</v>
      </c>
      <c r="G42" s="487"/>
      <c r="I42" s="283"/>
    </row>
    <row r="43" spans="1:9" s="352" customFormat="1" ht="12.75">
      <c r="A43" s="353">
        <f t="shared" si="0"/>
        <v>30</v>
      </c>
      <c r="B43" s="197" t="s">
        <v>418</v>
      </c>
      <c r="C43" s="15">
        <v>-151262484</v>
      </c>
      <c r="D43" s="259" t="s">
        <v>54</v>
      </c>
      <c r="E43" s="15">
        <f>+'II-E-3.16'!F17</f>
        <v>-151262484</v>
      </c>
      <c r="F43" s="295" t="s">
        <v>56</v>
      </c>
      <c r="G43" s="487"/>
      <c r="I43" s="283"/>
    </row>
    <row r="44" spans="1:9" s="352" customFormat="1" ht="12.75">
      <c r="A44" s="353">
        <f t="shared" si="0"/>
        <v>31</v>
      </c>
      <c r="B44" s="197" t="s">
        <v>336</v>
      </c>
      <c r="C44" s="15">
        <v>-129340536</v>
      </c>
      <c r="D44" s="259" t="s">
        <v>54</v>
      </c>
      <c r="E44" s="15">
        <f>+'II-E-3.16'!F18</f>
        <v>-129340536</v>
      </c>
      <c r="F44" s="295" t="s">
        <v>56</v>
      </c>
      <c r="G44" s="487"/>
      <c r="I44" s="283"/>
    </row>
    <row r="45" spans="1:9" s="352" customFormat="1" ht="12.75">
      <c r="A45" s="353">
        <f t="shared" si="0"/>
        <v>32</v>
      </c>
      <c r="B45" s="660" t="s">
        <v>437</v>
      </c>
      <c r="C45" s="15">
        <v>-36210732</v>
      </c>
      <c r="D45" s="259" t="s">
        <v>54</v>
      </c>
      <c r="E45" s="15">
        <f>+'II-E-3.16'!F19</f>
        <v>-36210732</v>
      </c>
      <c r="F45" s="295" t="s">
        <v>56</v>
      </c>
      <c r="G45" s="487"/>
      <c r="I45" s="283"/>
    </row>
    <row r="46" spans="1:9" s="352" customFormat="1" ht="12.75">
      <c r="A46" s="353">
        <f t="shared" si="0"/>
        <v>33</v>
      </c>
      <c r="B46" s="197" t="s">
        <v>29</v>
      </c>
      <c r="C46" s="15">
        <v>48861823</v>
      </c>
      <c r="D46" s="259" t="s">
        <v>54</v>
      </c>
      <c r="E46" s="15">
        <f>+'II-E-3.16'!F20</f>
        <v>48861823</v>
      </c>
      <c r="F46" s="295" t="s">
        <v>56</v>
      </c>
      <c r="G46" s="487"/>
      <c r="I46" s="283"/>
    </row>
    <row r="47" spans="1:9" s="352" customFormat="1" ht="12.75">
      <c r="A47" s="353">
        <f t="shared" si="0"/>
        <v>34</v>
      </c>
      <c r="B47" s="197" t="s">
        <v>362</v>
      </c>
      <c r="C47" s="15">
        <v>17913000</v>
      </c>
      <c r="D47" s="259" t="s">
        <v>54</v>
      </c>
      <c r="E47" s="15">
        <f>+'II-E-3.16'!F21</f>
        <v>17913000</v>
      </c>
      <c r="F47" s="295" t="s">
        <v>56</v>
      </c>
      <c r="G47" s="487"/>
      <c r="I47" s="283"/>
    </row>
    <row r="48" spans="1:9" s="352" customFormat="1" ht="12.75">
      <c r="A48" s="353">
        <f t="shared" si="0"/>
        <v>35</v>
      </c>
      <c r="B48" s="197" t="s">
        <v>28</v>
      </c>
      <c r="C48" s="15">
        <v>-14204809</v>
      </c>
      <c r="D48" s="259" t="s">
        <v>54</v>
      </c>
      <c r="E48" s="15">
        <f>+'II-E-3.16'!F22</f>
        <v>-14204809</v>
      </c>
      <c r="F48" s="295" t="s">
        <v>56</v>
      </c>
      <c r="G48" s="487"/>
      <c r="I48" s="283"/>
    </row>
    <row r="49" spans="1:9" s="352" customFormat="1" ht="12.75">
      <c r="A49" s="353">
        <f t="shared" si="0"/>
        <v>36</v>
      </c>
      <c r="B49" s="197" t="s">
        <v>27</v>
      </c>
      <c r="C49" s="15">
        <v>-12047944</v>
      </c>
      <c r="D49" s="259" t="s">
        <v>54</v>
      </c>
      <c r="E49" s="15">
        <f>+'II-E-3.16'!F23</f>
        <v>-12047944</v>
      </c>
      <c r="F49" s="295" t="s">
        <v>56</v>
      </c>
      <c r="G49" s="487"/>
      <c r="I49" s="283"/>
    </row>
    <row r="50" spans="1:9" s="352" customFormat="1" ht="12.75">
      <c r="A50" s="353">
        <f t="shared" si="0"/>
        <v>37</v>
      </c>
      <c r="B50" s="184" t="s">
        <v>664</v>
      </c>
      <c r="C50" s="485">
        <v>-21475301</v>
      </c>
      <c r="D50" s="226" t="s">
        <v>54</v>
      </c>
      <c r="E50" s="485">
        <f>+'II-E-3.16'!F24</f>
        <v>-21475301</v>
      </c>
      <c r="F50" s="295" t="s">
        <v>56</v>
      </c>
      <c r="G50" s="487"/>
      <c r="I50" s="283"/>
    </row>
    <row r="51" spans="1:9" s="352" customFormat="1" ht="12.75">
      <c r="A51" s="353">
        <f t="shared" si="0"/>
        <v>38</v>
      </c>
      <c r="B51" s="197" t="s">
        <v>361</v>
      </c>
      <c r="C51" s="15">
        <v>1214871</v>
      </c>
      <c r="D51" s="259" t="s">
        <v>54</v>
      </c>
      <c r="E51" s="15">
        <f>+'II-E-3.16'!F25</f>
        <v>1214871</v>
      </c>
      <c r="F51" s="295" t="s">
        <v>56</v>
      </c>
      <c r="G51" s="487"/>
      <c r="I51" s="283"/>
    </row>
    <row r="52" spans="1:9" s="352" customFormat="1" ht="12.75">
      <c r="A52" s="353">
        <f t="shared" si="0"/>
        <v>39</v>
      </c>
      <c r="B52" s="197" t="s">
        <v>420</v>
      </c>
      <c r="C52" s="15">
        <v>3635365</v>
      </c>
      <c r="D52" s="259" t="s">
        <v>54</v>
      </c>
      <c r="E52" s="15">
        <f>+'II-E-3.16'!F26</f>
        <v>3635365</v>
      </c>
      <c r="F52" s="295" t="s">
        <v>56</v>
      </c>
      <c r="G52" s="487"/>
      <c r="I52" s="283"/>
    </row>
    <row r="53" spans="1:9" s="352" customFormat="1" ht="12.75">
      <c r="A53" s="353">
        <f t="shared" si="0"/>
        <v>40</v>
      </c>
      <c r="B53" s="660" t="s">
        <v>447</v>
      </c>
      <c r="C53" s="15">
        <v>-10463199</v>
      </c>
      <c r="D53" s="259" t="s">
        <v>54</v>
      </c>
      <c r="E53" s="15">
        <f>+'II-E-3.16'!F27</f>
        <v>-10463199</v>
      </c>
      <c r="F53" s="295" t="s">
        <v>56</v>
      </c>
      <c r="G53" s="487"/>
      <c r="I53" s="283"/>
    </row>
    <row r="54" spans="1:9" s="352" customFormat="1" ht="12.75">
      <c r="A54" s="353">
        <f t="shared" si="0"/>
        <v>41</v>
      </c>
      <c r="B54" s="660" t="s">
        <v>448</v>
      </c>
      <c r="C54" s="15">
        <v>51678</v>
      </c>
      <c r="D54" s="259" t="s">
        <v>54</v>
      </c>
      <c r="E54" s="15">
        <f>+'II-E-3.16'!F28</f>
        <v>342078</v>
      </c>
      <c r="F54" s="295" t="s">
        <v>56</v>
      </c>
      <c r="G54" s="487"/>
      <c r="I54" s="283"/>
    </row>
    <row r="55" spans="1:9" s="352" customFormat="1" ht="12.75">
      <c r="A55" s="353">
        <f t="shared" si="0"/>
        <v>42</v>
      </c>
      <c r="B55" s="146" t="s">
        <v>421</v>
      </c>
      <c r="C55" s="15">
        <v>7788021</v>
      </c>
      <c r="D55" s="259" t="s">
        <v>54</v>
      </c>
      <c r="E55" s="15">
        <f>+'II-E-3.16'!F29</f>
        <v>7788021</v>
      </c>
      <c r="F55" s="295" t="s">
        <v>56</v>
      </c>
      <c r="G55" s="487"/>
      <c r="I55" s="283"/>
    </row>
    <row r="56" spans="1:9" s="352" customFormat="1" ht="12.75">
      <c r="A56" s="353">
        <f t="shared" si="0"/>
        <v>43</v>
      </c>
      <c r="B56" s="146" t="s">
        <v>177</v>
      </c>
      <c r="C56" s="15">
        <v>60560259</v>
      </c>
      <c r="D56" s="259" t="s">
        <v>54</v>
      </c>
      <c r="E56" s="15">
        <f>+'II-E-3.16'!F30</f>
        <v>60560259</v>
      </c>
      <c r="F56" s="295" t="s">
        <v>56</v>
      </c>
      <c r="G56" s="487"/>
      <c r="I56" s="283"/>
    </row>
    <row r="57" spans="1:9" s="352" customFormat="1" ht="12.75">
      <c r="A57" s="353">
        <f t="shared" si="0"/>
        <v>44</v>
      </c>
      <c r="B57" s="197" t="s">
        <v>26</v>
      </c>
      <c r="C57" s="15">
        <v>4755508</v>
      </c>
      <c r="D57" s="259" t="s">
        <v>54</v>
      </c>
      <c r="E57" s="15">
        <f>+'II-E-3.16'!F31</f>
        <v>4755508</v>
      </c>
      <c r="F57" s="295" t="s">
        <v>56</v>
      </c>
      <c r="G57" s="487"/>
      <c r="I57" s="283"/>
    </row>
    <row r="58" spans="1:9" s="352" customFormat="1" ht="12.75">
      <c r="A58" s="353">
        <f t="shared" si="0"/>
        <v>45</v>
      </c>
      <c r="B58" s="146" t="s">
        <v>369</v>
      </c>
      <c r="C58" s="15">
        <v>-1923024</v>
      </c>
      <c r="D58" s="259" t="s">
        <v>54</v>
      </c>
      <c r="E58" s="15">
        <f>+'II-E-3.16'!F32</f>
        <v>-1923024</v>
      </c>
      <c r="F58" s="295" t="s">
        <v>56</v>
      </c>
      <c r="G58" s="487"/>
      <c r="I58" s="283"/>
    </row>
    <row r="59" spans="1:9" s="352" customFormat="1" ht="12.75">
      <c r="A59" s="353">
        <f t="shared" si="0"/>
        <v>46</v>
      </c>
      <c r="B59" s="146" t="s">
        <v>189</v>
      </c>
      <c r="C59" s="15">
        <v>-332581</v>
      </c>
      <c r="D59" s="259" t="s">
        <v>54</v>
      </c>
      <c r="E59" s="15">
        <f>+'II-E-3.16'!F33</f>
        <v>-332581</v>
      </c>
      <c r="F59" s="295" t="s">
        <v>56</v>
      </c>
      <c r="G59" s="487"/>
      <c r="I59" s="283"/>
    </row>
    <row r="60" spans="1:9" s="352" customFormat="1" ht="12.75">
      <c r="A60" s="353">
        <f t="shared" si="0"/>
        <v>47</v>
      </c>
      <c r="B60" s="197" t="s">
        <v>175</v>
      </c>
      <c r="C60" s="15">
        <v>-14185444</v>
      </c>
      <c r="D60" s="259" t="s">
        <v>54</v>
      </c>
      <c r="E60" s="15">
        <f>+'II-E-3.16'!F34</f>
        <v>-14185444</v>
      </c>
      <c r="F60" s="295" t="s">
        <v>56</v>
      </c>
      <c r="G60" s="487"/>
      <c r="I60" s="283"/>
    </row>
    <row r="61" spans="1:9" s="352" customFormat="1" ht="12.75">
      <c r="A61" s="353">
        <f t="shared" si="0"/>
        <v>48</v>
      </c>
      <c r="B61" s="197" t="s">
        <v>365</v>
      </c>
      <c r="C61" s="15">
        <v>-2990594</v>
      </c>
      <c r="D61" s="259" t="s">
        <v>54</v>
      </c>
      <c r="E61" s="15">
        <f>+'II-E-3.16'!F35</f>
        <v>-6245505</v>
      </c>
      <c r="F61" s="295" t="s">
        <v>56</v>
      </c>
      <c r="G61" s="487"/>
      <c r="I61" s="283"/>
    </row>
    <row r="62" spans="1:9" s="352" customFormat="1" ht="12.75">
      <c r="A62" s="353">
        <f t="shared" si="0"/>
        <v>49</v>
      </c>
      <c r="B62" s="197" t="s">
        <v>673</v>
      </c>
      <c r="C62" s="15">
        <v>-3864232</v>
      </c>
      <c r="D62" s="259" t="s">
        <v>54</v>
      </c>
      <c r="E62" s="15">
        <f>+'II-E-3.16'!F36</f>
        <v>-3864232</v>
      </c>
      <c r="F62" s="295" t="s">
        <v>56</v>
      </c>
      <c r="G62" s="487"/>
      <c r="I62" s="283"/>
    </row>
    <row r="63" spans="1:9" s="352" customFormat="1" ht="12.75">
      <c r="A63" s="353">
        <f t="shared" si="0"/>
        <v>50</v>
      </c>
      <c r="B63" s="197" t="s">
        <v>674</v>
      </c>
      <c r="C63" s="15">
        <v>213</v>
      </c>
      <c r="D63" s="259" t="s">
        <v>54</v>
      </c>
      <c r="E63" s="15">
        <f>+'II-E-3.16'!F37</f>
        <v>213</v>
      </c>
      <c r="F63" s="295" t="s">
        <v>56</v>
      </c>
      <c r="G63" s="487"/>
      <c r="I63" s="283"/>
    </row>
    <row r="64" spans="1:9" s="352" customFormat="1" ht="12.75">
      <c r="A64" s="353">
        <f t="shared" si="0"/>
        <v>51</v>
      </c>
      <c r="B64" s="197" t="s">
        <v>675</v>
      </c>
      <c r="C64" s="15">
        <v>2894</v>
      </c>
      <c r="D64" s="259" t="s">
        <v>54</v>
      </c>
      <c r="E64" s="15">
        <f>+'II-E-3.16'!F38</f>
        <v>2894</v>
      </c>
      <c r="F64" s="295" t="s">
        <v>56</v>
      </c>
      <c r="G64" s="487"/>
      <c r="I64" s="283"/>
    </row>
    <row r="65" spans="1:9" s="352" customFormat="1" ht="12.75">
      <c r="A65" s="353">
        <f t="shared" si="0"/>
        <v>52</v>
      </c>
      <c r="B65" s="197" t="s">
        <v>676</v>
      </c>
      <c r="C65" s="15">
        <v>107246</v>
      </c>
      <c r="D65" s="259" t="s">
        <v>54</v>
      </c>
      <c r="E65" s="15">
        <f>+'II-E-3.16'!F39</f>
        <v>0</v>
      </c>
      <c r="F65" s="295" t="s">
        <v>56</v>
      </c>
      <c r="G65" s="487"/>
      <c r="I65" s="283"/>
    </row>
    <row r="66" spans="1:9" s="352" customFormat="1" ht="12.75">
      <c r="A66" s="353">
        <f t="shared" si="0"/>
        <v>53</v>
      </c>
      <c r="B66" s="197" t="s">
        <v>677</v>
      </c>
      <c r="C66" s="15">
        <v>-432008</v>
      </c>
      <c r="D66" s="259" t="s">
        <v>54</v>
      </c>
      <c r="E66" s="15">
        <f>+'II-E-3.16'!F40</f>
        <v>0</v>
      </c>
      <c r="F66" s="295" t="s">
        <v>56</v>
      </c>
      <c r="G66" s="487"/>
      <c r="I66" s="283"/>
    </row>
    <row r="67" spans="1:9" s="352" customFormat="1" ht="12.75">
      <c r="A67" s="353">
        <f t="shared" si="0"/>
        <v>54</v>
      </c>
      <c r="B67" s="197" t="s">
        <v>1006</v>
      </c>
      <c r="C67" s="15">
        <v>5787313</v>
      </c>
      <c r="D67" s="259" t="s">
        <v>54</v>
      </c>
      <c r="E67" s="15">
        <f>+'II-E-3.16'!F41</f>
        <v>5787313</v>
      </c>
      <c r="F67" s="295" t="s">
        <v>56</v>
      </c>
      <c r="G67" s="487"/>
      <c r="I67" s="283"/>
    </row>
    <row r="68" spans="1:9" s="352" customFormat="1" ht="12.75">
      <c r="A68" s="353">
        <f t="shared" si="0"/>
        <v>55</v>
      </c>
      <c r="B68" s="197" t="s">
        <v>1007</v>
      </c>
      <c r="C68" s="15">
        <v>10657230</v>
      </c>
      <c r="D68" s="259" t="s">
        <v>54</v>
      </c>
      <c r="E68" s="15">
        <f>+'II-E-3.16'!F42</f>
        <v>10657230</v>
      </c>
      <c r="F68" s="295" t="s">
        <v>56</v>
      </c>
      <c r="G68" s="487"/>
      <c r="I68" s="283"/>
    </row>
    <row r="69" spans="1:9" s="352" customFormat="1" ht="12.75">
      <c r="A69" s="353">
        <f t="shared" si="0"/>
        <v>56</v>
      </c>
      <c r="B69" s="197" t="s">
        <v>1008</v>
      </c>
      <c r="C69" s="15">
        <v>13536943</v>
      </c>
      <c r="D69" s="259" t="s">
        <v>54</v>
      </c>
      <c r="E69" s="15">
        <f>+'II-E-3.16'!F43</f>
        <v>13536943</v>
      </c>
      <c r="F69" s="295" t="s">
        <v>56</v>
      </c>
      <c r="G69" s="487"/>
      <c r="I69" s="283"/>
    </row>
    <row r="70" spans="1:9" s="352" customFormat="1" ht="12.75">
      <c r="A70" s="353">
        <f t="shared" si="0"/>
        <v>57</v>
      </c>
      <c r="B70" s="197" t="s">
        <v>423</v>
      </c>
      <c r="C70" s="15">
        <v>-75167030</v>
      </c>
      <c r="D70" s="259" t="s">
        <v>54</v>
      </c>
      <c r="E70" s="15">
        <f>+'II-E-3.16'!F44</f>
        <v>-75167030</v>
      </c>
      <c r="F70" s="295" t="s">
        <v>56</v>
      </c>
      <c r="G70" s="487"/>
      <c r="I70" s="283"/>
    </row>
    <row r="71" spans="1:9" s="352" customFormat="1" ht="12.75">
      <c r="A71" s="353">
        <f t="shared" si="0"/>
        <v>58</v>
      </c>
      <c r="B71" s="146" t="s">
        <v>190</v>
      </c>
      <c r="C71" s="15">
        <v>2055700</v>
      </c>
      <c r="D71" s="259" t="s">
        <v>54</v>
      </c>
      <c r="E71" s="15">
        <f>+'II-E-3.16'!F45</f>
        <v>2055700</v>
      </c>
      <c r="F71" s="295" t="s">
        <v>56</v>
      </c>
      <c r="G71" s="487"/>
      <c r="I71" s="283"/>
    </row>
    <row r="72" spans="1:9" s="352" customFormat="1" ht="12.75">
      <c r="A72" s="353">
        <f t="shared" si="0"/>
        <v>59</v>
      </c>
      <c r="B72" s="146" t="s">
        <v>666</v>
      </c>
      <c r="C72" s="15">
        <v>1718757</v>
      </c>
      <c r="D72" s="259" t="s">
        <v>54</v>
      </c>
      <c r="E72" s="15">
        <f>+'II-E-3.16'!F46</f>
        <v>1718757</v>
      </c>
      <c r="F72" s="295" t="s">
        <v>56</v>
      </c>
      <c r="G72" s="487"/>
      <c r="I72" s="283"/>
    </row>
    <row r="73" spans="1:9" s="352" customFormat="1" ht="12.75">
      <c r="A73" s="353">
        <f t="shared" si="0"/>
        <v>60</v>
      </c>
      <c r="B73" s="197" t="s">
        <v>386</v>
      </c>
      <c r="C73" s="15">
        <v>-28983</v>
      </c>
      <c r="D73" s="259" t="s">
        <v>54</v>
      </c>
      <c r="E73" s="15">
        <f>+'II-E-3.16'!F47</f>
        <v>-28983</v>
      </c>
      <c r="F73" s="295" t="s">
        <v>56</v>
      </c>
      <c r="G73" s="487"/>
      <c r="I73" s="283"/>
    </row>
    <row r="74" spans="1:9" s="352" customFormat="1" ht="12.75">
      <c r="A74" s="353">
        <f t="shared" si="0"/>
        <v>61</v>
      </c>
      <c r="B74" s="197" t="s">
        <v>678</v>
      </c>
      <c r="C74" s="15">
        <v>-9956282</v>
      </c>
      <c r="D74" s="259" t="s">
        <v>54</v>
      </c>
      <c r="E74" s="15">
        <f>+'II-E-3.16'!F48</f>
        <v>-9956282</v>
      </c>
      <c r="F74" s="295" t="s">
        <v>56</v>
      </c>
      <c r="G74" s="487"/>
      <c r="I74" s="283"/>
    </row>
    <row r="75" spans="1:9" s="352" customFormat="1" ht="12.75">
      <c r="A75" s="353">
        <f t="shared" si="0"/>
        <v>62</v>
      </c>
      <c r="B75" s="197" t="s">
        <v>387</v>
      </c>
      <c r="C75" s="15">
        <v>20475726</v>
      </c>
      <c r="D75" s="259" t="s">
        <v>54</v>
      </c>
      <c r="E75" s="15">
        <f>+'II-E-3.16'!F49</f>
        <v>20475726</v>
      </c>
      <c r="F75" s="295" t="s">
        <v>56</v>
      </c>
      <c r="G75" s="487"/>
      <c r="I75" s="283"/>
    </row>
    <row r="76" spans="1:13" s="352" customFormat="1" ht="12.75">
      <c r="A76" s="353">
        <f t="shared" si="0"/>
        <v>63</v>
      </c>
      <c r="B76" s="660" t="s">
        <v>1202</v>
      </c>
      <c r="C76" s="15">
        <v>53575328</v>
      </c>
      <c r="D76" s="259" t="s">
        <v>54</v>
      </c>
      <c r="E76" s="15">
        <f>+'II-E-3.16'!F50</f>
        <v>53575328</v>
      </c>
      <c r="F76" s="295" t="s">
        <v>56</v>
      </c>
      <c r="G76" s="487"/>
      <c r="I76" s="283"/>
      <c r="K76" s="300"/>
      <c r="L76" s="300"/>
      <c r="M76" s="300"/>
    </row>
    <row r="77" spans="1:13" s="352" customFormat="1" ht="12.75">
      <c r="A77" s="353">
        <f t="shared" si="0"/>
        <v>64</v>
      </c>
      <c r="B77" s="197" t="s">
        <v>25</v>
      </c>
      <c r="C77" s="15">
        <v>644985</v>
      </c>
      <c r="D77" s="259" t="s">
        <v>54</v>
      </c>
      <c r="E77" s="15">
        <f>+'II-E-3.16'!F51</f>
        <v>644985</v>
      </c>
      <c r="F77" s="295" t="s">
        <v>56</v>
      </c>
      <c r="G77" s="487"/>
      <c r="I77" s="283"/>
      <c r="K77" s="300"/>
      <c r="L77" s="300"/>
      <c r="M77" s="300"/>
    </row>
    <row r="78" spans="1:13" s="352" customFormat="1" ht="12.75">
      <c r="A78" s="353">
        <f t="shared" si="0"/>
        <v>65</v>
      </c>
      <c r="B78" s="197" t="s">
        <v>1010</v>
      </c>
      <c r="C78" s="15">
        <v>-16546989</v>
      </c>
      <c r="D78" s="259" t="s">
        <v>54</v>
      </c>
      <c r="E78" s="15">
        <f>+'II-E-3.16'!F52</f>
        <v>0</v>
      </c>
      <c r="F78" s="295" t="s">
        <v>56</v>
      </c>
      <c r="G78" s="487"/>
      <c r="I78" s="283"/>
      <c r="K78" s="300"/>
      <c r="L78" s="300"/>
      <c r="M78" s="300"/>
    </row>
    <row r="79" spans="1:13" s="352" customFormat="1" ht="12.75">
      <c r="A79" s="353">
        <f t="shared" si="0"/>
        <v>66</v>
      </c>
      <c r="B79" s="660" t="s">
        <v>1204</v>
      </c>
      <c r="C79" s="15">
        <v>-26088</v>
      </c>
      <c r="D79" s="259" t="s">
        <v>54</v>
      </c>
      <c r="E79" s="15">
        <f>+'II-E-3.16'!F53</f>
        <v>-26088</v>
      </c>
      <c r="F79" s="295" t="s">
        <v>56</v>
      </c>
      <c r="G79" s="487"/>
      <c r="I79" s="283"/>
      <c r="K79" s="300"/>
      <c r="L79" s="300"/>
      <c r="M79" s="300"/>
    </row>
    <row r="80" spans="1:13" s="352" customFormat="1" ht="12.75">
      <c r="A80" s="353">
        <f t="shared" si="0"/>
        <v>67</v>
      </c>
      <c r="B80" s="197" t="s">
        <v>176</v>
      </c>
      <c r="C80" s="15">
        <v>4466185</v>
      </c>
      <c r="D80" s="259" t="s">
        <v>54</v>
      </c>
      <c r="E80" s="15">
        <f>+'II-E-3.16'!F54</f>
        <v>4466185</v>
      </c>
      <c r="F80" s="295" t="s">
        <v>56</v>
      </c>
      <c r="G80" s="487"/>
      <c r="I80" s="283"/>
      <c r="K80" s="300"/>
      <c r="L80" s="300"/>
      <c r="M80" s="300"/>
    </row>
    <row r="81" spans="1:13" s="352" customFormat="1" ht="12.75">
      <c r="A81" s="353">
        <f t="shared" si="0"/>
        <v>68</v>
      </c>
      <c r="B81" s="197" t="s">
        <v>424</v>
      </c>
      <c r="C81" s="15">
        <v>873132</v>
      </c>
      <c r="D81" s="259" t="s">
        <v>54</v>
      </c>
      <c r="E81" s="15">
        <f>+'II-E-3.16'!F55</f>
        <v>873132</v>
      </c>
      <c r="F81" s="295" t="s">
        <v>56</v>
      </c>
      <c r="G81" s="487"/>
      <c r="I81" s="283"/>
      <c r="K81" s="300"/>
      <c r="L81" s="300"/>
      <c r="M81" s="300"/>
    </row>
    <row r="82" spans="1:13" s="352" customFormat="1" ht="12.75">
      <c r="A82" s="353">
        <f t="shared" si="1" ref="A82:A84">A81+1</f>
        <v>69</v>
      </c>
      <c r="B82" s="197" t="s">
        <v>679</v>
      </c>
      <c r="C82" s="15">
        <v>-767374</v>
      </c>
      <c r="D82" s="259" t="s">
        <v>54</v>
      </c>
      <c r="E82" s="15">
        <f>+'II-E-3.16'!F56</f>
        <v>0</v>
      </c>
      <c r="F82" s="295" t="s">
        <v>56</v>
      </c>
      <c r="G82" s="487"/>
      <c r="I82" s="283"/>
      <c r="K82" s="300"/>
      <c r="L82" s="300"/>
      <c r="M82" s="300"/>
    </row>
    <row r="83" spans="1:13" s="352" customFormat="1" ht="12.75">
      <c r="A83" s="353">
        <f t="shared" si="1"/>
        <v>70</v>
      </c>
      <c r="B83" s="197" t="s">
        <v>441</v>
      </c>
      <c r="C83" s="15">
        <v>-41275820</v>
      </c>
      <c r="D83" s="259" t="s">
        <v>54</v>
      </c>
      <c r="E83" s="15">
        <f>+'II-E-3.16'!F57</f>
        <v>-41275820</v>
      </c>
      <c r="F83" s="295" t="s">
        <v>56</v>
      </c>
      <c r="G83" s="487"/>
      <c r="I83" s="283"/>
      <c r="K83" s="300"/>
      <c r="L83" s="300"/>
      <c r="M83" s="300"/>
    </row>
    <row r="84" spans="1:13" s="352" customFormat="1" ht="12.75">
      <c r="A84" s="353">
        <f t="shared" si="1"/>
        <v>71</v>
      </c>
      <c r="B84" s="197" t="s">
        <v>681</v>
      </c>
      <c r="C84" s="15">
        <v>-4415075</v>
      </c>
      <c r="D84" s="259" t="s">
        <v>54</v>
      </c>
      <c r="E84" s="15">
        <f>+'II-E-3.16'!F58</f>
        <v>0</v>
      </c>
      <c r="F84" s="295" t="s">
        <v>56</v>
      </c>
      <c r="G84" s="487"/>
      <c r="I84" s="283"/>
      <c r="K84" s="300"/>
      <c r="L84" s="300"/>
      <c r="M84" s="300"/>
    </row>
    <row r="85" spans="1:13" s="352" customFormat="1" ht="12.75">
      <c r="A85" s="353">
        <f t="shared" si="2" ref="A85">A84+1</f>
        <v>72</v>
      </c>
      <c r="B85" s="352" t="s">
        <v>442</v>
      </c>
      <c r="C85" s="15">
        <v>-8914694</v>
      </c>
      <c r="D85" s="259" t="s">
        <v>54</v>
      </c>
      <c r="E85" s="15">
        <f>+'II-E-3.16'!F59</f>
        <v>-8914694</v>
      </c>
      <c r="F85" s="295" t="s">
        <v>56</v>
      </c>
      <c r="G85" s="487"/>
      <c r="I85" s="283"/>
      <c r="K85" s="300"/>
      <c r="L85" s="300"/>
      <c r="M85" s="300"/>
    </row>
    <row r="86" spans="1:13" s="352" customFormat="1" ht="12.75">
      <c r="A86" s="353">
        <f t="shared" si="3" ref="A86:A122">A85+1</f>
        <v>73</v>
      </c>
      <c r="B86" s="660" t="s">
        <v>1205</v>
      </c>
      <c r="C86" s="15">
        <v>-20686978</v>
      </c>
      <c r="D86" s="259" t="s">
        <v>54</v>
      </c>
      <c r="E86" s="15">
        <f>+'II-E-3.16'!F60</f>
        <v>-20686978</v>
      </c>
      <c r="F86" s="295" t="s">
        <v>56</v>
      </c>
      <c r="G86" s="487"/>
      <c r="I86" s="283"/>
      <c r="K86" s="300"/>
      <c r="L86" s="300"/>
      <c r="M86" s="300"/>
    </row>
    <row r="87" spans="1:13" s="352" customFormat="1" ht="12.75">
      <c r="A87" s="353">
        <f t="shared" si="3"/>
        <v>74</v>
      </c>
      <c r="B87" s="374" t="s">
        <v>680</v>
      </c>
      <c r="C87" s="15">
        <v>-200823</v>
      </c>
      <c r="D87" s="259" t="s">
        <v>54</v>
      </c>
      <c r="E87" s="15">
        <f>+'II-E-3.16'!F61</f>
        <v>-200823</v>
      </c>
      <c r="F87" s="295" t="s">
        <v>56</v>
      </c>
      <c r="G87" s="487"/>
      <c r="I87" s="283"/>
      <c r="K87" s="300"/>
      <c r="L87" s="300"/>
      <c r="M87" s="300"/>
    </row>
    <row r="88" spans="1:13" s="352" customFormat="1" ht="12.75">
      <c r="A88" s="353">
        <f t="shared" si="3"/>
        <v>75</v>
      </c>
      <c r="B88" s="374" t="s">
        <v>670</v>
      </c>
      <c r="C88" s="15">
        <v>-3283145</v>
      </c>
      <c r="D88" s="259" t="s">
        <v>54</v>
      </c>
      <c r="E88" s="15">
        <f>+'II-E-3.16'!F62</f>
        <v>-3283145</v>
      </c>
      <c r="F88" s="295" t="s">
        <v>56</v>
      </c>
      <c r="G88" s="487"/>
      <c r="I88" s="283"/>
      <c r="K88" s="300"/>
      <c r="L88" s="300"/>
      <c r="M88" s="300"/>
    </row>
    <row r="89" spans="1:13" s="352" customFormat="1" ht="12.75">
      <c r="A89" s="353">
        <f t="shared" si="3"/>
        <v>76</v>
      </c>
      <c r="B89" s="374" t="s">
        <v>672</v>
      </c>
      <c r="C89" s="15">
        <v>-13300367</v>
      </c>
      <c r="D89" s="259" t="s">
        <v>54</v>
      </c>
      <c r="E89" s="15">
        <f>+'II-E-3.16'!F63</f>
        <v>-13300367</v>
      </c>
      <c r="F89" s="295" t="s">
        <v>56</v>
      </c>
      <c r="G89" s="487"/>
      <c r="I89" s="283"/>
      <c r="K89" s="300"/>
      <c r="L89" s="300"/>
      <c r="M89" s="300"/>
    </row>
    <row r="90" spans="1:13" s="352" customFormat="1" ht="12.75">
      <c r="A90" s="353">
        <f t="shared" si="3"/>
        <v>77</v>
      </c>
      <c r="B90" s="352" t="s">
        <v>1009</v>
      </c>
      <c r="C90" s="15">
        <v>2912142</v>
      </c>
      <c r="D90" s="259" t="s">
        <v>54</v>
      </c>
      <c r="E90" s="15">
        <f>+'II-E-3.16'!F64</f>
        <v>11010854</v>
      </c>
      <c r="F90" s="295" t="s">
        <v>56</v>
      </c>
      <c r="G90" s="487"/>
      <c r="I90" s="283"/>
      <c r="K90" s="309"/>
      <c r="L90" s="300"/>
      <c r="M90" s="300"/>
    </row>
    <row r="91" spans="1:13" s="352" customFormat="1" ht="12.75">
      <c r="A91" s="353">
        <f t="shared" si="3"/>
        <v>78</v>
      </c>
      <c r="B91" s="197" t="s">
        <v>425</v>
      </c>
      <c r="C91" s="486">
        <v>290400</v>
      </c>
      <c r="D91" s="259" t="s">
        <v>54</v>
      </c>
      <c r="E91" s="486">
        <f>+'II-E-3.16'!F65</f>
        <v>0</v>
      </c>
      <c r="F91" s="295" t="s">
        <v>56</v>
      </c>
      <c r="G91" s="487"/>
      <c r="I91" s="283"/>
      <c r="K91" s="309"/>
      <c r="L91" s="300"/>
      <c r="M91" s="300"/>
    </row>
    <row r="92" spans="1:13" s="352" customFormat="1" ht="12.75">
      <c r="A92" s="353">
        <f t="shared" si="3"/>
        <v>79</v>
      </c>
      <c r="B92" s="197"/>
      <c r="C92" s="149"/>
      <c r="D92" s="259"/>
      <c r="E92" s="149"/>
      <c r="F92" s="197"/>
      <c r="I92" s="283"/>
      <c r="K92" s="309"/>
      <c r="L92" s="300"/>
      <c r="M92" s="300"/>
    </row>
    <row r="93" spans="1:13" s="352" customFormat="1" ht="12.75">
      <c r="A93" s="353">
        <f t="shared" si="3"/>
        <v>80</v>
      </c>
      <c r="B93" s="352" t="str">
        <f>'II-E-3.16'!B66</f>
        <v xml:space="preserve">  Subtotal</v>
      </c>
      <c r="C93" s="504">
        <f>SUM(C41:C92)</f>
        <v>-607285929</v>
      </c>
      <c r="D93" s="504"/>
      <c r="E93" s="504">
        <f>SUM(E41:E92)</f>
        <v>-580387928</v>
      </c>
      <c r="F93" s="296">
        <f>+'II-E-3.16'!D66</f>
        <v>-607285929</v>
      </c>
      <c r="G93" s="263" t="s">
        <v>56</v>
      </c>
      <c r="I93" s="283"/>
      <c r="K93" s="309"/>
      <c r="L93" s="300"/>
      <c r="M93" s="300"/>
    </row>
    <row r="94" spans="1:13" s="352" customFormat="1" ht="12.75">
      <c r="A94" s="353">
        <f t="shared" si="3"/>
        <v>81</v>
      </c>
      <c r="C94" s="196"/>
      <c r="D94" s="259"/>
      <c r="E94" s="149"/>
      <c r="F94" s="296">
        <f>+'II-E-3.16'!F66</f>
        <v>-580387928</v>
      </c>
      <c r="G94" s="263" t="s">
        <v>56</v>
      </c>
      <c r="I94" s="283"/>
      <c r="K94" s="309"/>
      <c r="L94" s="300"/>
      <c r="M94" s="300"/>
    </row>
    <row r="95" spans="1:13" s="352" customFormat="1" ht="12.75">
      <c r="A95" s="353">
        <f t="shared" si="3"/>
        <v>82</v>
      </c>
      <c r="B95" s="352" t="s">
        <v>430</v>
      </c>
      <c r="C95" s="15">
        <f>C25+C36+C93</f>
        <v>321122768.43999994</v>
      </c>
      <c r="D95" s="15"/>
      <c r="E95" s="15">
        <f>E25+E36+E93</f>
        <v>456799873.15000093</v>
      </c>
      <c r="F95" s="297">
        <f>+'II-E-3.1'!D91</f>
        <v>321122768.43999994</v>
      </c>
      <c r="G95" s="263" t="s">
        <v>54</v>
      </c>
      <c r="I95" s="283"/>
      <c r="K95" s="309"/>
      <c r="L95" s="300"/>
      <c r="M95" s="300"/>
    </row>
    <row r="96" spans="1:13" s="352" customFormat="1" ht="12.75">
      <c r="A96" s="353">
        <f t="shared" si="3"/>
        <v>83</v>
      </c>
      <c r="B96" s="352" t="s">
        <v>268</v>
      </c>
      <c r="C96" s="310">
        <v>0.20999999999999999</v>
      </c>
      <c r="D96" s="149"/>
      <c r="E96" s="310">
        <v>0.20999999999999999</v>
      </c>
      <c r="F96" s="295"/>
      <c r="I96" s="283"/>
      <c r="K96" s="309"/>
      <c r="L96" s="300"/>
      <c r="M96" s="300"/>
    </row>
    <row r="97" spans="1:13" s="352" customFormat="1" ht="12.75">
      <c r="A97" s="353">
        <f t="shared" si="3"/>
        <v>84</v>
      </c>
      <c r="B97" s="352" t="s">
        <v>269</v>
      </c>
      <c r="C97" s="15">
        <f>ROUND(C95*C96,2)</f>
        <v>67435781.370000005</v>
      </c>
      <c r="D97" s="15"/>
      <c r="E97" s="779">
        <f>ROUND(E95*E96,2)</f>
        <v>95927973.359999999</v>
      </c>
      <c r="F97" s="295"/>
      <c r="I97" s="283"/>
      <c r="K97" s="300"/>
      <c r="L97" s="300"/>
      <c r="M97" s="300"/>
    </row>
    <row r="98" spans="1:9" s="352" customFormat="1" ht="12.75">
      <c r="A98" s="353">
        <f t="shared" si="3"/>
        <v>85</v>
      </c>
      <c r="B98" s="352" t="s">
        <v>38</v>
      </c>
      <c r="C98" s="144"/>
      <c r="D98" s="149"/>
      <c r="E98" s="149">
        <f>+C98</f>
        <v>0</v>
      </c>
      <c r="F98" s="295"/>
      <c r="I98" s="283"/>
    </row>
    <row r="99" spans="1:9" s="352" customFormat="1" ht="12.75">
      <c r="A99" s="353">
        <f t="shared" si="3"/>
        <v>86</v>
      </c>
      <c r="B99" s="352" t="s">
        <v>1212</v>
      </c>
      <c r="C99" s="504">
        <f>+'II-E-3'!E49</f>
        <v>352219</v>
      </c>
      <c r="D99" s="259" t="s">
        <v>232</v>
      </c>
      <c r="E99" s="504">
        <f>+'II-E-3'!I49</f>
        <v>503170</v>
      </c>
      <c r="F99" s="295"/>
      <c r="I99" s="283"/>
    </row>
    <row r="100" spans="1:9" s="352" customFormat="1" ht="12.75">
      <c r="A100" s="353">
        <f t="shared" si="3"/>
        <v>87</v>
      </c>
      <c r="B100" s="352" t="s">
        <v>39</v>
      </c>
      <c r="C100" s="15">
        <f>+C97-C99</f>
        <v>67083562.370000005</v>
      </c>
      <c r="D100" s="149"/>
      <c r="E100" s="15">
        <f>+E97-E99</f>
        <v>95424803.359999999</v>
      </c>
      <c r="F100" s="295"/>
      <c r="I100" s="283"/>
    </row>
    <row r="101" spans="1:9" s="352" customFormat="1" ht="12.75">
      <c r="A101" s="353">
        <f t="shared" si="3"/>
        <v>88</v>
      </c>
      <c r="B101" s="352" t="s">
        <v>1012</v>
      </c>
      <c r="C101" s="726">
        <f>ROUND((205790-63550)*0.21,2)</f>
        <v>29870.400000000001</v>
      </c>
      <c r="D101" s="149"/>
      <c r="E101" s="15">
        <v>0</v>
      </c>
      <c r="F101" s="295"/>
      <c r="I101" s="283"/>
    </row>
    <row r="102" spans="1:9" s="352" customFormat="1" ht="12.75">
      <c r="A102" s="353">
        <f t="shared" si="3"/>
        <v>89</v>
      </c>
      <c r="B102" s="352" t="s">
        <v>701</v>
      </c>
      <c r="C102" s="15">
        <v>7265245</v>
      </c>
      <c r="D102" s="259" t="s">
        <v>232</v>
      </c>
      <c r="E102" s="15">
        <f>+'II-E-3'!I54</f>
        <v>0</v>
      </c>
      <c r="F102" s="297"/>
      <c r="I102" s="283"/>
    </row>
    <row r="103" spans="1:9" s="352" customFormat="1" ht="12.75">
      <c r="A103" s="353">
        <f t="shared" si="3"/>
        <v>90</v>
      </c>
      <c r="B103" s="352" t="s">
        <v>1011</v>
      </c>
      <c r="C103" s="15">
        <f>+'II-E-3'!E53</f>
        <v>13309</v>
      </c>
      <c r="D103" s="259" t="s">
        <v>232</v>
      </c>
      <c r="E103" s="15">
        <v>0</v>
      </c>
      <c r="F103" s="297"/>
      <c r="I103" s="283"/>
    </row>
    <row r="104" spans="1:9" s="352" customFormat="1" ht="13.5" thickBot="1">
      <c r="A104" s="353">
        <f t="shared" si="3"/>
        <v>91</v>
      </c>
      <c r="B104" s="352" t="s">
        <v>270</v>
      </c>
      <c r="C104" s="509">
        <f>SUM(C100:C103)</f>
        <v>74391986.770000011</v>
      </c>
      <c r="D104" s="487"/>
      <c r="E104" s="509">
        <f>SUM(E100:E103)</f>
        <v>95424803.359999999</v>
      </c>
      <c r="F104" s="297"/>
      <c r="I104" s="283"/>
    </row>
    <row r="105" spans="1:13" s="352" customFormat="1" ht="13.5" thickTop="1">
      <c r="A105" s="353">
        <f t="shared" si="3"/>
        <v>92</v>
      </c>
      <c r="C105" s="297"/>
      <c r="F105" s="295"/>
      <c r="I105" s="283"/>
      <c r="K105" s="144"/>
      <c r="M105" s="114"/>
    </row>
    <row r="106" spans="1:13" s="352" customFormat="1" ht="12.75">
      <c r="A106" s="353">
        <f t="shared" si="3"/>
        <v>93</v>
      </c>
      <c r="B106" s="352" t="s">
        <v>431</v>
      </c>
      <c r="C106" s="504">
        <f>ROUND(-C93*21%,2)</f>
        <v>127530045.09</v>
      </c>
      <c r="D106" s="504"/>
      <c r="E106" s="504">
        <f>ROUND(-E93*21%,2)</f>
        <v>121881464.88</v>
      </c>
      <c r="F106" s="296">
        <f>+'II-E-3.16'!E66</f>
        <v>127530045.09000003</v>
      </c>
      <c r="G106" s="263" t="s">
        <v>56</v>
      </c>
      <c r="I106" s="283"/>
      <c r="K106" s="144"/>
      <c r="M106" s="198"/>
    </row>
    <row r="107" spans="1:13" s="352" customFormat="1" ht="12.75">
      <c r="A107" s="353">
        <f t="shared" si="3"/>
        <v>94</v>
      </c>
      <c r="C107" s="144"/>
      <c r="E107" s="300"/>
      <c r="F107" s="296">
        <f>+'II-E-3.16'!G66</f>
        <v>121881464.88000001</v>
      </c>
      <c r="G107" s="263" t="s">
        <v>56</v>
      </c>
      <c r="I107" s="283"/>
      <c r="K107" s="144"/>
      <c r="M107" s="198"/>
    </row>
    <row r="108" spans="1:13" s="352" customFormat="1" ht="12.75">
      <c r="A108" s="353">
        <f t="shared" si="3"/>
        <v>95</v>
      </c>
      <c r="B108" s="352" t="s">
        <v>59</v>
      </c>
      <c r="C108" s="197"/>
      <c r="F108" s="297"/>
      <c r="I108" s="283"/>
      <c r="K108" s="384"/>
      <c r="M108" s="198"/>
    </row>
    <row r="109" spans="1:13" s="352" customFormat="1" ht="12.75">
      <c r="A109" s="353">
        <f t="shared" si="3"/>
        <v>96</v>
      </c>
      <c r="B109" s="352" t="s">
        <v>702</v>
      </c>
      <c r="C109" s="504">
        <f>+'II-E-3'!E52</f>
        <v>280766.15000000002</v>
      </c>
      <c r="D109" s="259" t="s">
        <v>232</v>
      </c>
      <c r="E109" s="504">
        <f>'II-E-3'!I52</f>
        <v>280766.15000000002</v>
      </c>
      <c r="F109" s="197"/>
      <c r="I109" s="283"/>
      <c r="K109" s="144"/>
      <c r="M109" s="198"/>
    </row>
    <row r="110" spans="1:13" s="352" customFormat="1" ht="12.75">
      <c r="A110" s="353">
        <f t="shared" si="3"/>
        <v>97</v>
      </c>
      <c r="B110" s="352" t="s">
        <v>703</v>
      </c>
      <c r="C110" s="15">
        <f>-'II-E-3'!E46</f>
        <v>-22126156.32</v>
      </c>
      <c r="D110" s="259" t="s">
        <v>232</v>
      </c>
      <c r="E110" s="15">
        <f>-'II-E-3'!I22</f>
        <v>-16233757.32</v>
      </c>
      <c r="F110" s="295"/>
      <c r="I110" s="283"/>
      <c r="J110" s="261"/>
      <c r="K110" s="144"/>
      <c r="M110" s="198"/>
    </row>
    <row r="111" spans="1:13" s="352" customFormat="1" ht="12.75">
      <c r="A111" s="353">
        <f t="shared" si="3"/>
        <v>98</v>
      </c>
      <c r="B111" s="352" t="s">
        <v>704</v>
      </c>
      <c r="C111" s="15">
        <f>-'II-E-3'!E47</f>
        <v>-30159720</v>
      </c>
      <c r="D111" s="259" t="s">
        <v>232</v>
      </c>
      <c r="E111" s="15">
        <f>-'II-E-3'!I23</f>
        <v>-36089806.799999997</v>
      </c>
      <c r="F111" s="295"/>
      <c r="H111" s="297"/>
      <c r="I111" s="283"/>
      <c r="M111" s="198"/>
    </row>
    <row r="112" spans="1:13" s="352" customFormat="1" ht="12.75">
      <c r="A112" s="353">
        <f t="shared" si="3"/>
        <v>99</v>
      </c>
      <c r="B112" s="146" t="s">
        <v>1019</v>
      </c>
      <c r="C112" s="15">
        <v>0</v>
      </c>
      <c r="D112" s="259"/>
      <c r="E112" s="15">
        <f>-'II-E-3'!I24</f>
        <v>1608928.6000000001</v>
      </c>
      <c r="F112" s="295"/>
      <c r="H112" s="297"/>
      <c r="I112" s="283"/>
      <c r="M112" s="198"/>
    </row>
    <row r="113" spans="1:9" s="352" customFormat="1" ht="12.75">
      <c r="A113" s="353">
        <f t="shared" si="3"/>
        <v>100</v>
      </c>
      <c r="B113" s="352" t="s">
        <v>705</v>
      </c>
      <c r="C113" s="15">
        <v>22574</v>
      </c>
      <c r="D113" s="311"/>
      <c r="E113" s="15">
        <v>0</v>
      </c>
      <c r="F113" s="295"/>
      <c r="I113" s="283"/>
    </row>
    <row r="114" spans="1:9" s="352" customFormat="1" ht="12.75">
      <c r="A114" s="353">
        <f t="shared" si="3"/>
        <v>101</v>
      </c>
      <c r="B114" s="352" t="s">
        <v>701</v>
      </c>
      <c r="C114" s="486">
        <v>-7559826</v>
      </c>
      <c r="D114" s="259" t="s">
        <v>232</v>
      </c>
      <c r="E114" s="486">
        <v>0</v>
      </c>
      <c r="F114" s="295"/>
      <c r="I114" s="283"/>
    </row>
    <row r="115" spans="1:9" s="352" customFormat="1" ht="12.75">
      <c r="A115" s="353">
        <f t="shared" si="3"/>
        <v>102</v>
      </c>
      <c r="B115" s="352" t="s">
        <v>271</v>
      </c>
      <c r="C115" s="15">
        <f>SUM(C106:C114)</f>
        <v>67987682.920000017</v>
      </c>
      <c r="D115" s="311"/>
      <c r="E115" s="15">
        <f>SUM(E106:E114)</f>
        <v>71447595.510000005</v>
      </c>
      <c r="F115" s="297">
        <f>+'II-E-3.16'!E76-'II-E-3.16'!E73</f>
        <v>67987682.920000046</v>
      </c>
      <c r="G115" s="263" t="s">
        <v>56</v>
      </c>
      <c r="I115" s="283"/>
    </row>
    <row r="116" spans="1:9" s="352" customFormat="1" ht="12.75">
      <c r="A116" s="353">
        <f t="shared" si="3"/>
        <v>103</v>
      </c>
      <c r="C116" s="235"/>
      <c r="D116" s="311"/>
      <c r="E116" s="309"/>
      <c r="F116" s="297">
        <f>+'II-E-3.16'!G76-'II-E-3.16'!G73</f>
        <v>71447595.510000005</v>
      </c>
      <c r="G116" s="263" t="s">
        <v>56</v>
      </c>
      <c r="I116" s="283"/>
    </row>
    <row r="117" spans="1:9" s="352" customFormat="1" ht="13.5" thickBot="1">
      <c r="A117" s="353">
        <f t="shared" si="3"/>
        <v>104</v>
      </c>
      <c r="B117" s="352" t="s">
        <v>40</v>
      </c>
      <c r="C117" s="510">
        <f>-'II-E-3'!E45</f>
        <v>-1174249.98</v>
      </c>
      <c r="D117" s="259" t="s">
        <v>232</v>
      </c>
      <c r="E117" s="501">
        <f>-'II-E-3'!I45</f>
        <v>-771634.71999999997</v>
      </c>
      <c r="F117" s="295"/>
      <c r="I117" s="283"/>
    </row>
    <row r="118" spans="1:9" s="352" customFormat="1" ht="13.5" thickTop="1">
      <c r="A118" s="353">
        <f t="shared" si="3"/>
        <v>105</v>
      </c>
      <c r="C118" s="235"/>
      <c r="D118" s="197"/>
      <c r="F118" s="295"/>
      <c r="I118" s="283"/>
    </row>
    <row r="119" spans="1:9" s="352" customFormat="1" ht="13.5" thickBot="1">
      <c r="A119" s="353">
        <f t="shared" si="3"/>
        <v>106</v>
      </c>
      <c r="B119" s="352" t="s">
        <v>272</v>
      </c>
      <c r="C119" s="510">
        <f>+C115+C104+C117</f>
        <v>141205419.71000004</v>
      </c>
      <c r="D119" s="197"/>
      <c r="E119" s="510">
        <f>+E115+E104+E117</f>
        <v>166100764.15000001</v>
      </c>
      <c r="F119" s="295"/>
      <c r="I119" s="283"/>
    </row>
    <row r="120" spans="1:9" s="352" customFormat="1" ht="13.5" thickTop="1">
      <c r="A120" s="353">
        <f t="shared" si="3"/>
        <v>107</v>
      </c>
      <c r="C120" s="197"/>
      <c r="D120" s="197"/>
      <c r="F120" s="295"/>
      <c r="G120" s="484"/>
      <c r="I120" s="283"/>
    </row>
    <row r="121" spans="1:9" s="352" customFormat="1" ht="12.75">
      <c r="A121" s="353">
        <f t="shared" si="3"/>
        <v>108</v>
      </c>
      <c r="B121" s="352" t="s">
        <v>432</v>
      </c>
      <c r="C121" s="197"/>
      <c r="F121" s="295"/>
      <c r="G121" s="484"/>
      <c r="I121" s="283"/>
    </row>
    <row r="122" spans="1:9" s="352" customFormat="1" ht="12.75">
      <c r="A122" s="353">
        <f t="shared" si="3"/>
        <v>109</v>
      </c>
      <c r="B122" s="352" t="s">
        <v>433</v>
      </c>
      <c r="C122" s="197"/>
      <c r="F122" s="295"/>
      <c r="I122" s="283"/>
    </row>
    <row r="123" spans="1:9" s="352" customFormat="1" ht="12.75">
      <c r="A123" s="353"/>
      <c r="C123" s="197"/>
      <c r="F123" s="302"/>
      <c r="G123" s="484"/>
      <c r="H123" s="283"/>
      <c r="I123" s="283"/>
    </row>
    <row r="124" spans="1:9" s="352" customFormat="1" ht="12.75">
      <c r="A124" s="353"/>
      <c r="B124" s="263" t="s">
        <v>1020</v>
      </c>
      <c r="C124" s="203">
        <v>141205420.41999999</v>
      </c>
      <c r="D124" s="638"/>
      <c r="E124" s="203">
        <f>+'II-E-3'!I55</f>
        <v>166100764.15000001</v>
      </c>
      <c r="F124" s="295" t="s">
        <v>232</v>
      </c>
      <c r="I124" s="283"/>
    </row>
    <row r="125" spans="1:9" s="352" customFormat="1" ht="12.75">
      <c r="A125" s="353"/>
      <c r="B125" s="263" t="s">
        <v>1021</v>
      </c>
      <c r="C125" s="203">
        <f>+C119</f>
        <v>141205419.71000004</v>
      </c>
      <c r="D125" s="638"/>
      <c r="E125" s="203">
        <f>+E119</f>
        <v>166100764.15000001</v>
      </c>
      <c r="F125" s="295"/>
      <c r="I125" s="283"/>
    </row>
    <row r="126" spans="1:9" s="352" customFormat="1" ht="13.5" thickBot="1">
      <c r="A126" s="353"/>
      <c r="B126" s="263" t="s">
        <v>41</v>
      </c>
      <c r="C126" s="639">
        <f>C124-C125</f>
        <v>0.70999994874000549</v>
      </c>
      <c r="D126" s="638"/>
      <c r="E126" s="639">
        <f>E124-E125</f>
        <v>0</v>
      </c>
      <c r="F126" s="302"/>
      <c r="G126" s="410"/>
      <c r="I126" s="283"/>
    </row>
    <row r="127" spans="1:9" s="352" customFormat="1" ht="13.5" thickTop="1">
      <c r="A127" s="353"/>
      <c r="B127" s="263"/>
      <c r="C127" s="203"/>
      <c r="D127" s="638"/>
      <c r="E127" s="203"/>
      <c r="F127" s="295"/>
      <c r="I127" s="283"/>
    </row>
    <row r="128" spans="1:9" s="352" customFormat="1" ht="12.75">
      <c r="A128" s="353"/>
      <c r="B128" s="263" t="s">
        <v>1022</v>
      </c>
      <c r="C128" s="203">
        <f>62303619.89-ROUND(C50*0.21,2)</f>
        <v>66813433.100000001</v>
      </c>
      <c r="D128" s="638"/>
      <c r="E128" s="203">
        <f>+'II-E-3.16'!G76</f>
        <v>70675960.790000007</v>
      </c>
      <c r="F128" s="295" t="s">
        <v>56</v>
      </c>
      <c r="I128" s="283"/>
    </row>
    <row r="129" spans="1:9" s="352" customFormat="1" ht="12.75">
      <c r="A129" s="353"/>
      <c r="B129" s="263" t="s">
        <v>1023</v>
      </c>
      <c r="C129" s="203">
        <f>C115+C117</f>
        <v>66813432.94000002</v>
      </c>
      <c r="D129" s="638"/>
      <c r="E129" s="203">
        <f>+E115+E117</f>
        <v>70675960.790000007</v>
      </c>
      <c r="F129" s="295"/>
      <c r="I129" s="283"/>
    </row>
    <row r="130" spans="1:9" s="352" customFormat="1" ht="13.5" thickBot="1">
      <c r="A130" s="353"/>
      <c r="B130" s="263" t="s">
        <v>41</v>
      </c>
      <c r="C130" s="639">
        <f>C128-C129</f>
        <v>0.15999998152256012</v>
      </c>
      <c r="D130" s="638"/>
      <c r="E130" s="639">
        <f>E128-E129</f>
        <v>0</v>
      </c>
      <c r="F130" s="295"/>
      <c r="I130" s="283"/>
    </row>
    <row r="131" spans="1:9" s="352" customFormat="1" ht="13.5" thickTop="1">
      <c r="A131" s="353"/>
      <c r="B131" s="263"/>
      <c r="C131" s="640"/>
      <c r="D131" s="638"/>
      <c r="E131" s="638"/>
      <c r="F131" s="295"/>
      <c r="I131" s="283"/>
    </row>
    <row r="132" spans="1:7" ht="12.75">
      <c r="A132" s="353"/>
      <c r="B132" s="263" t="s">
        <v>1013</v>
      </c>
      <c r="C132" s="203">
        <f>78901800.53+ROUND(C50*0.21,2)</f>
        <v>74391987.320000008</v>
      </c>
      <c r="D132" s="638"/>
      <c r="E132" s="638">
        <f>'II-E-3.2a'!E28</f>
        <v>95424803.359999999</v>
      </c>
      <c r="G132" s="352"/>
    </row>
    <row r="133" spans="1:7" ht="12.75">
      <c r="A133" s="353"/>
      <c r="B133" s="263" t="s">
        <v>1014</v>
      </c>
      <c r="C133" s="203">
        <f>C104</f>
        <v>74391986.770000011</v>
      </c>
      <c r="D133" s="638"/>
      <c r="E133" s="203">
        <f>E104</f>
        <v>95424803.359999999</v>
      </c>
      <c r="G133" s="352"/>
    </row>
    <row r="134" spans="1:7" ht="13.5" thickBot="1">
      <c r="A134" s="353"/>
      <c r="B134" s="263" t="s">
        <v>41</v>
      </c>
      <c r="C134" s="639">
        <f>C132-C133</f>
        <v>0.54999999701976776</v>
      </c>
      <c r="D134" s="638"/>
      <c r="E134" s="639">
        <f>E132-E133</f>
        <v>0</v>
      </c>
      <c r="G134" s="352"/>
    </row>
    <row r="135" spans="3:5" ht="13.5" thickTop="1">
      <c r="C135" s="198"/>
      <c r="D135" s="114"/>
      <c r="E135" s="114"/>
    </row>
    <row r="136" spans="2:5" ht="12.75">
      <c r="B136" s="263" t="s">
        <v>1015</v>
      </c>
      <c r="C136" s="203">
        <f>342598068.5+C50</f>
        <v>321122767.5</v>
      </c>
      <c r="D136" s="638"/>
      <c r="E136" s="640"/>
    </row>
    <row r="137" spans="2:5" ht="12.75">
      <c r="B137" s="263" t="s">
        <v>1016</v>
      </c>
      <c r="C137" s="203">
        <f>+C95</f>
        <v>321122768.43999994</v>
      </c>
      <c r="D137" s="638"/>
      <c r="E137" s="640"/>
    </row>
    <row r="138" spans="2:5" ht="13.5" thickBot="1">
      <c r="B138" s="263" t="s">
        <v>41</v>
      </c>
      <c r="C138" s="639">
        <f>C136-C137</f>
        <v>-0.93999993801116943</v>
      </c>
      <c r="D138" s="638"/>
      <c r="E138" s="640"/>
    </row>
    <row r="139" ht="13.5" thickTop="1"/>
    <row r="141" spans="3:6" ht="12.75">
      <c r="C141" s="115"/>
      <c r="F141" s="115"/>
    </row>
    <row r="142" spans="3:6" ht="12.75">
      <c r="C142" s="115"/>
      <c r="F142" s="115"/>
    </row>
    <row r="143" spans="3:6" ht="12.75">
      <c r="C143" s="115"/>
      <c r="F143" s="115"/>
    </row>
    <row r="144" spans="3:6" ht="12.75">
      <c r="C144" s="115"/>
      <c r="F144" s="115"/>
    </row>
    <row r="145" spans="3:6" ht="12.75">
      <c r="C145" s="115"/>
      <c r="F145" s="115"/>
    </row>
    <row r="146" spans="3:6" ht="12.75">
      <c r="C146" s="115"/>
      <c r="F146" s="115"/>
    </row>
    <row r="147" spans="3:6" ht="12.75">
      <c r="C147" s="115"/>
      <c r="F147" s="115"/>
    </row>
    <row r="148" spans="3:6" ht="12.75">
      <c r="C148" s="115"/>
      <c r="F148" s="115"/>
    </row>
    <row r="149" spans="3:6" ht="12.75">
      <c r="C149" s="115"/>
      <c r="F149" s="115"/>
    </row>
    <row r="150" spans="3:6" ht="12.75">
      <c r="C150" s="115"/>
      <c r="F150" s="115"/>
    </row>
    <row r="151" spans="3:6" ht="12.75">
      <c r="C151" s="115"/>
      <c r="F151" s="115"/>
    </row>
    <row r="152" spans="3:6" ht="12.75">
      <c r="C152" s="115"/>
      <c r="F152" s="115"/>
    </row>
    <row r="153" spans="3:6" ht="12.75">
      <c r="C153" s="115"/>
      <c r="F153" s="115"/>
    </row>
    <row r="154" spans="3:6" ht="12.75">
      <c r="C154" s="115"/>
      <c r="F154" s="115"/>
    </row>
    <row r="155" spans="3:6" ht="12.75">
      <c r="C155" s="115"/>
      <c r="F155" s="115"/>
    </row>
  </sheetData>
  <pageMargins left="1.5" right="0.5" top="2.5" bottom="0.5" header="1" footer="0.5"/>
  <pageSetup fitToHeight="2" orientation="portrait" pageOrder="overThenDown" scale="66" r:id="rId1"/>
  <headerFooter alignWithMargins="0">
    <oddHeader>&amp;C&amp;B
2022 RATE CASE
ONCOR ELECTRIC DELIVERY COMPANY LLC
II-E-3.15  ANALYSIS OF TEST YEAR FIT &amp;&amp; REQUESTED FIT-TAX METHOD 2
TEST YEAR ENDING DECEMBER 31, 2021
SPONSOR: B. L. CLUTTER&amp;R&amp;"Arial,Bold"Schedule &amp;A
Page &amp;P of &amp;N</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5">
    <tabColor rgb="FF92D050"/>
    <pageSetUpPr fitToPage="1"/>
  </sheetPr>
  <dimension ref="A1:M91"/>
  <sheetViews>
    <sheetView zoomScale="85" zoomScaleNormal="85" workbookViewId="0" topLeftCell="A1">
      <selection pane="topLeft" activeCell="B92" sqref="B92"/>
    </sheetView>
  </sheetViews>
  <sheetFormatPr defaultColWidth="9.14428571428571" defaultRowHeight="12.75"/>
  <cols>
    <col min="1" max="1" width="5" style="197" bestFit="1" customWidth="1"/>
    <col min="2" max="2" width="51.8571428571429" style="197" customWidth="1"/>
    <col min="3" max="3" width="3.14285714285714" style="197" customWidth="1"/>
    <col min="4" max="7" width="17.7142857142857" style="197" customWidth="1"/>
    <col min="8" max="8" width="8.28571428571429" style="197" customWidth="1"/>
    <col min="9" max="9" width="12.8571428571429" style="197" bestFit="1" customWidth="1"/>
    <col min="10" max="10" width="15.4285714285714" style="362" bestFit="1" customWidth="1"/>
    <col min="11" max="11" width="14.5714285714286" style="197" bestFit="1" customWidth="1"/>
    <col min="12" max="12" width="18.1428571428571" style="198" bestFit="1" customWidth="1"/>
    <col min="13" max="16384" width="9.14285714285714" style="197"/>
  </cols>
  <sheetData>
    <row r="1" spans="1:12" ht="12.75">
      <c r="A1" s="199" t="str">
        <f>+'[3]Input Data'!$A$9</f>
        <v>2022 RATE CASE</v>
      </c>
      <c r="L1" s="197"/>
    </row>
    <row r="2" spans="1:12" ht="12.75">
      <c r="A2" s="167" t="str">
        <f>+'[3]Input Data'!$A$2</f>
        <v>ONCOR ELECTRIC DELIVERY COMPANY LLC</v>
      </c>
      <c r="H2" s="288"/>
      <c r="L2" s="197"/>
    </row>
    <row r="3" spans="1:12" ht="12.75">
      <c r="A3" s="168" t="str">
        <f>CONCATENATE('[3]Schedule Sponsors'!$A$101,'[3]Schedule Sponsors'!$B$101)</f>
        <v>II-E-3.16  ANALYSIS OF DEFERRED FIT</v>
      </c>
      <c r="L3" s="197"/>
    </row>
    <row r="4" spans="1:12" ht="12.75">
      <c r="A4" s="168" t="str">
        <f>+'[3]Input Data'!$A$4</f>
        <v>TEST YEAR ENDING DECEMBER 31, 2021</v>
      </c>
      <c r="C4" s="289"/>
      <c r="D4" s="289"/>
      <c r="E4" s="289"/>
      <c r="F4" s="289"/>
      <c r="L4" s="197"/>
    </row>
    <row r="5" spans="1:12" ht="12.75">
      <c r="A5" s="166" t="str">
        <f>CONCATENATE("SPONSOR: ",'[3]Schedule Sponsors'!$D$103)</f>
        <v>SPONSOR: B. L. CLUTTER</v>
      </c>
      <c r="C5" s="289"/>
      <c r="D5" s="289"/>
      <c r="E5" s="289"/>
      <c r="F5" s="289"/>
      <c r="L5" s="197"/>
    </row>
    <row r="6" spans="3:12" ht="12.75">
      <c r="C6" s="289"/>
      <c r="D6" s="289"/>
      <c r="E6" s="289"/>
      <c r="F6" s="289"/>
      <c r="L6" s="197"/>
    </row>
    <row r="8" spans="2:12" ht="12.75">
      <c r="B8" s="143"/>
      <c r="C8" s="143"/>
      <c r="D8" s="143"/>
      <c r="E8" s="143"/>
      <c r="F8" s="143"/>
      <c r="L8" s="197"/>
    </row>
    <row r="9" spans="12:12" ht="13.5" thickBot="1">
      <c r="L9" s="197"/>
    </row>
    <row r="10" spans="1:12" ht="13.5" thickBot="1">
      <c r="A10" s="217" t="s">
        <v>252</v>
      </c>
      <c r="B10" s="436"/>
      <c r="C10" s="433"/>
      <c r="D10" s="831" t="s">
        <v>273</v>
      </c>
      <c r="E10" s="831"/>
      <c r="F10" s="831" t="s">
        <v>274</v>
      </c>
      <c r="G10" s="831"/>
      <c r="K10" s="369"/>
      <c r="L10" s="370"/>
    </row>
    <row r="11" spans="1:12" ht="12.75">
      <c r="A11" s="169" t="s">
        <v>147</v>
      </c>
      <c r="B11" s="437" t="s">
        <v>65</v>
      </c>
      <c r="C11" s="434"/>
      <c r="D11" s="169" t="s">
        <v>275</v>
      </c>
      <c r="E11" s="169" t="s">
        <v>682</v>
      </c>
      <c r="F11" s="169" t="s">
        <v>429</v>
      </c>
      <c r="G11" s="169" t="s">
        <v>683</v>
      </c>
      <c r="K11" s="369"/>
      <c r="L11" s="197"/>
    </row>
    <row r="12" spans="1:12" ht="13.5" thickBot="1">
      <c r="A12" s="220"/>
      <c r="B12" s="438" t="s">
        <v>237</v>
      </c>
      <c r="C12" s="435"/>
      <c r="D12" s="220" t="s">
        <v>238</v>
      </c>
      <c r="E12" s="220" t="s">
        <v>239</v>
      </c>
      <c r="F12" s="220" t="s">
        <v>360</v>
      </c>
      <c r="G12" s="220" t="s">
        <v>241</v>
      </c>
      <c r="H12" s="290"/>
      <c r="I12" s="226"/>
      <c r="K12" s="369"/>
      <c r="L12" s="370"/>
    </row>
    <row r="13" spans="11:13" ht="12.75">
      <c r="K13" s="369"/>
      <c r="L13" s="197"/>
      <c r="M13" s="198"/>
    </row>
    <row r="14" spans="1:12" ht="12.75">
      <c r="A14" s="195">
        <v>1</v>
      </c>
      <c r="B14" s="197" t="s">
        <v>301</v>
      </c>
      <c r="K14" s="369"/>
      <c r="L14" s="197"/>
    </row>
    <row r="15" spans="1:12" ht="12.75">
      <c r="A15" s="195">
        <f>A14+1</f>
        <v>2</v>
      </c>
      <c r="B15" s="197" t="s">
        <v>174</v>
      </c>
      <c r="D15" s="512">
        <v>-140027423</v>
      </c>
      <c r="E15" s="512">
        <f>-ROUND(D15*0.21,2)</f>
        <v>29405758.829999998</v>
      </c>
      <c r="F15" s="511">
        <f>+D15</f>
        <v>-140027423</v>
      </c>
      <c r="G15" s="511">
        <f>-ROUND(F15*0.21,2)</f>
        <v>29405758.829999998</v>
      </c>
      <c r="H15" s="202"/>
      <c r="I15" s="512"/>
      <c r="K15" s="369"/>
      <c r="L15" s="197"/>
    </row>
    <row r="16" spans="1:12" ht="12.75">
      <c r="A16" s="195">
        <f>A15+1</f>
        <v>3</v>
      </c>
      <c r="B16" s="197" t="s">
        <v>363</v>
      </c>
      <c r="D16" s="474">
        <v>-135840689</v>
      </c>
      <c r="E16" s="474">
        <f>-ROUND(D16*0.21,2)</f>
        <v>28526544.690000001</v>
      </c>
      <c r="F16" s="485">
        <f t="shared" si="0" ref="F16:F63">+D16</f>
        <v>-135840689</v>
      </c>
      <c r="G16" s="485">
        <f t="shared" si="1" ref="G16:G65">-ROUND(F16*0.21,2)</f>
        <v>28526544.690000001</v>
      </c>
      <c r="H16" s="202"/>
      <c r="I16" s="512"/>
      <c r="K16" s="369"/>
      <c r="L16" s="197"/>
    </row>
    <row r="17" spans="1:13" ht="12.75">
      <c r="A17" s="195">
        <f t="shared" si="2" ref="A17:A79">A16+1</f>
        <v>4</v>
      </c>
      <c r="B17" s="197" t="s">
        <v>418</v>
      </c>
      <c r="D17" s="474">
        <v>-151262484</v>
      </c>
      <c r="E17" s="474">
        <f t="shared" si="3" ref="E17:E65">-ROUND(D17*0.21,2)</f>
        <v>31765121.640000001</v>
      </c>
      <c r="F17" s="485">
        <f t="shared" si="0"/>
        <v>-151262484</v>
      </c>
      <c r="G17" s="485">
        <f t="shared" si="1"/>
        <v>31765121.640000001</v>
      </c>
      <c r="H17" s="202"/>
      <c r="I17" s="512"/>
      <c r="K17" s="369"/>
      <c r="L17" s="197"/>
      <c r="M17" s="198"/>
    </row>
    <row r="18" spans="1:13" ht="12.75">
      <c r="A18" s="195">
        <f t="shared" si="2"/>
        <v>5</v>
      </c>
      <c r="B18" s="197" t="s">
        <v>336</v>
      </c>
      <c r="D18" s="474">
        <v>-129340536</v>
      </c>
      <c r="E18" s="474">
        <f t="shared" si="3"/>
        <v>27161512.559999999</v>
      </c>
      <c r="F18" s="485">
        <f t="shared" si="0"/>
        <v>-129340536</v>
      </c>
      <c r="G18" s="485">
        <f t="shared" si="1"/>
        <v>27161512.559999999</v>
      </c>
      <c r="H18" s="202"/>
      <c r="I18" s="512"/>
      <c r="K18" s="369"/>
      <c r="L18" s="197"/>
      <c r="M18" s="198"/>
    </row>
    <row r="19" spans="1:13" ht="12.75">
      <c r="A19" s="195">
        <f t="shared" si="2"/>
        <v>6</v>
      </c>
      <c r="B19" s="660" t="s">
        <v>437</v>
      </c>
      <c r="D19" s="474">
        <v>-36210732</v>
      </c>
      <c r="E19" s="474">
        <f t="shared" si="3"/>
        <v>7604253.7199999997</v>
      </c>
      <c r="F19" s="485">
        <f t="shared" si="0"/>
        <v>-36210732</v>
      </c>
      <c r="G19" s="485">
        <f t="shared" si="1"/>
        <v>7604253.7199999997</v>
      </c>
      <c r="H19" s="202"/>
      <c r="I19" s="512"/>
      <c r="K19" s="369"/>
      <c r="L19" s="197"/>
      <c r="M19" s="198"/>
    </row>
    <row r="20" spans="1:13" ht="12.75">
      <c r="A20" s="195">
        <f t="shared" si="2"/>
        <v>7</v>
      </c>
      <c r="B20" s="197" t="s">
        <v>29</v>
      </c>
      <c r="D20" s="474">
        <v>48861823</v>
      </c>
      <c r="E20" s="474">
        <f t="shared" si="3"/>
        <v>-10260982.83</v>
      </c>
      <c r="F20" s="485">
        <f t="shared" si="0"/>
        <v>48861823</v>
      </c>
      <c r="G20" s="485">
        <f t="shared" si="1"/>
        <v>-10260982.83</v>
      </c>
      <c r="H20" s="202"/>
      <c r="I20" s="512"/>
      <c r="K20" s="369"/>
      <c r="L20" s="197"/>
      <c r="M20" s="198"/>
    </row>
    <row r="21" spans="1:13" ht="12.75">
      <c r="A21" s="195">
        <f t="shared" si="2"/>
        <v>8</v>
      </c>
      <c r="B21" s="197" t="s">
        <v>362</v>
      </c>
      <c r="D21" s="474">
        <v>17913000</v>
      </c>
      <c r="E21" s="474">
        <f t="shared" si="3"/>
        <v>-3761730</v>
      </c>
      <c r="F21" s="485">
        <f t="shared" si="0"/>
        <v>17913000</v>
      </c>
      <c r="G21" s="485">
        <f t="shared" si="1"/>
        <v>-3761730</v>
      </c>
      <c r="H21" s="202"/>
      <c r="I21" s="512"/>
      <c r="K21" s="369"/>
      <c r="L21" s="197"/>
      <c r="M21" s="198"/>
    </row>
    <row r="22" spans="1:13" ht="12.75">
      <c r="A22" s="195">
        <f t="shared" si="2"/>
        <v>9</v>
      </c>
      <c r="B22" s="197" t="s">
        <v>28</v>
      </c>
      <c r="D22" s="474">
        <v>-14204809</v>
      </c>
      <c r="E22" s="474">
        <f t="shared" si="3"/>
        <v>2983009.8900000001</v>
      </c>
      <c r="F22" s="485">
        <f t="shared" si="0"/>
        <v>-14204809</v>
      </c>
      <c r="G22" s="485">
        <f t="shared" si="1"/>
        <v>2983009.8900000001</v>
      </c>
      <c r="H22" s="202"/>
      <c r="I22" s="512"/>
      <c r="K22" s="369"/>
      <c r="L22" s="197"/>
      <c r="M22" s="198"/>
    </row>
    <row r="23" spans="1:13" ht="12.75">
      <c r="A23" s="195">
        <f t="shared" si="2"/>
        <v>10</v>
      </c>
      <c r="B23" s="197" t="s">
        <v>27</v>
      </c>
      <c r="D23" s="474">
        <v>-12047944</v>
      </c>
      <c r="E23" s="474">
        <f t="shared" si="3"/>
        <v>2530068.2400000002</v>
      </c>
      <c r="F23" s="485">
        <f t="shared" si="0"/>
        <v>-12047944</v>
      </c>
      <c r="G23" s="485">
        <f t="shared" si="1"/>
        <v>2530068.2400000002</v>
      </c>
      <c r="H23" s="202"/>
      <c r="I23" s="512"/>
      <c r="K23" s="369"/>
      <c r="L23" s="197"/>
      <c r="M23" s="198"/>
    </row>
    <row r="24" spans="1:13" ht="12.75">
      <c r="A24" s="195">
        <f t="shared" si="2"/>
        <v>11</v>
      </c>
      <c r="B24" s="197" t="s">
        <v>664</v>
      </c>
      <c r="D24" s="474">
        <v>-21475301</v>
      </c>
      <c r="E24" s="474">
        <f t="shared" si="3"/>
        <v>4509813.21</v>
      </c>
      <c r="F24" s="485">
        <f t="shared" si="0"/>
        <v>-21475301</v>
      </c>
      <c r="G24" s="485">
        <f t="shared" si="1"/>
        <v>4509813.21</v>
      </c>
      <c r="H24" s="202"/>
      <c r="I24" s="512"/>
      <c r="K24" s="369"/>
      <c r="L24" s="197"/>
      <c r="M24" s="198"/>
    </row>
    <row r="25" spans="1:13" ht="12.75">
      <c r="A25" s="195">
        <f t="shared" si="2"/>
        <v>12</v>
      </c>
      <c r="B25" s="197" t="s">
        <v>361</v>
      </c>
      <c r="D25" s="474">
        <v>1214871</v>
      </c>
      <c r="E25" s="474">
        <f t="shared" si="3"/>
        <v>-255122.91</v>
      </c>
      <c r="F25" s="485">
        <f t="shared" si="0"/>
        <v>1214871</v>
      </c>
      <c r="G25" s="485">
        <f t="shared" si="1"/>
        <v>-255122.91</v>
      </c>
      <c r="H25" s="202"/>
      <c r="I25" s="512"/>
      <c r="K25" s="369"/>
      <c r="L25" s="197"/>
      <c r="M25" s="198"/>
    </row>
    <row r="26" spans="1:13" ht="12.75">
      <c r="A26" s="195">
        <f t="shared" si="2"/>
        <v>13</v>
      </c>
      <c r="B26" s="197" t="s">
        <v>420</v>
      </c>
      <c r="D26" s="474">
        <v>3635365</v>
      </c>
      <c r="E26" s="474">
        <f t="shared" si="3"/>
        <v>-763426.65000000002</v>
      </c>
      <c r="F26" s="485">
        <f t="shared" si="0"/>
        <v>3635365</v>
      </c>
      <c r="G26" s="485">
        <f t="shared" si="1"/>
        <v>-763426.65000000002</v>
      </c>
      <c r="H26" s="202"/>
      <c r="I26" s="512"/>
      <c r="K26" s="369"/>
      <c r="L26" s="197"/>
      <c r="M26" s="198"/>
    </row>
    <row r="27" spans="1:13" ht="12.75">
      <c r="A27" s="195">
        <f t="shared" si="2"/>
        <v>14</v>
      </c>
      <c r="B27" s="660" t="s">
        <v>447</v>
      </c>
      <c r="D27" s="474">
        <v>-10463199</v>
      </c>
      <c r="E27" s="474">
        <f t="shared" si="3"/>
        <v>2197271.79</v>
      </c>
      <c r="F27" s="485">
        <f t="shared" si="0"/>
        <v>-10463199</v>
      </c>
      <c r="G27" s="485">
        <f t="shared" si="1"/>
        <v>2197271.79</v>
      </c>
      <c r="H27" s="202"/>
      <c r="I27" s="512"/>
      <c r="K27" s="369"/>
      <c r="L27" s="320"/>
      <c r="M27" s="198"/>
    </row>
    <row r="28" spans="1:13" ht="12.75">
      <c r="A28" s="195">
        <f t="shared" si="2"/>
        <v>15</v>
      </c>
      <c r="B28" s="660" t="s">
        <v>448</v>
      </c>
      <c r="D28" s="474">
        <v>51678</v>
      </c>
      <c r="E28" s="474">
        <f t="shared" si="3"/>
        <v>-10852.379999999999</v>
      </c>
      <c r="F28" s="485">
        <f>+D28+D65</f>
        <v>342078</v>
      </c>
      <c r="G28" s="485">
        <f t="shared" si="1"/>
        <v>-71836.380000000005</v>
      </c>
      <c r="H28" s="202"/>
      <c r="I28" s="512"/>
      <c r="K28" s="369"/>
      <c r="L28" s="197"/>
      <c r="M28" s="198"/>
    </row>
    <row r="29" spans="1:13" ht="12.75">
      <c r="A29" s="195">
        <f t="shared" si="2"/>
        <v>16</v>
      </c>
      <c r="B29" s="197" t="s">
        <v>421</v>
      </c>
      <c r="D29" s="474">
        <v>7788021</v>
      </c>
      <c r="E29" s="474">
        <f t="shared" si="3"/>
        <v>-1635484.4099999999</v>
      </c>
      <c r="F29" s="485">
        <f t="shared" si="0"/>
        <v>7788021</v>
      </c>
      <c r="G29" s="485">
        <f t="shared" si="1"/>
        <v>-1635484.4099999999</v>
      </c>
      <c r="H29" s="202"/>
      <c r="I29" s="512"/>
      <c r="K29" s="369"/>
      <c r="L29" s="320"/>
      <c r="M29" s="198"/>
    </row>
    <row r="30" spans="1:13" ht="12.75">
      <c r="A30" s="195">
        <f t="shared" si="2"/>
        <v>17</v>
      </c>
      <c r="B30" s="197" t="s">
        <v>177</v>
      </c>
      <c r="D30" s="474">
        <v>60560259</v>
      </c>
      <c r="E30" s="474">
        <f t="shared" si="3"/>
        <v>-12717654.390000001</v>
      </c>
      <c r="F30" s="485">
        <f t="shared" si="0"/>
        <v>60560259</v>
      </c>
      <c r="G30" s="485">
        <f t="shared" si="1"/>
        <v>-12717654.390000001</v>
      </c>
      <c r="H30" s="202"/>
      <c r="I30" s="512"/>
      <c r="K30" s="369"/>
      <c r="L30" s="197"/>
      <c r="M30" s="198"/>
    </row>
    <row r="31" spans="1:13" ht="12.75">
      <c r="A31" s="195">
        <f t="shared" si="2"/>
        <v>18</v>
      </c>
      <c r="B31" s="197" t="s">
        <v>26</v>
      </c>
      <c r="D31" s="474">
        <v>4755508</v>
      </c>
      <c r="E31" s="474">
        <f t="shared" si="3"/>
        <v>-998656.68000000005</v>
      </c>
      <c r="F31" s="485">
        <f t="shared" si="0"/>
        <v>4755508</v>
      </c>
      <c r="G31" s="485">
        <f t="shared" si="1"/>
        <v>-998656.68000000005</v>
      </c>
      <c r="H31" s="202"/>
      <c r="I31" s="512"/>
      <c r="K31" s="369"/>
      <c r="L31" s="320"/>
      <c r="M31" s="198"/>
    </row>
    <row r="32" spans="1:13" ht="12.75">
      <c r="A32" s="195">
        <f t="shared" si="2"/>
        <v>19</v>
      </c>
      <c r="B32" s="197" t="s">
        <v>369</v>
      </c>
      <c r="D32" s="474">
        <v>-1923024</v>
      </c>
      <c r="E32" s="474">
        <f t="shared" si="3"/>
        <v>403835.03999999998</v>
      </c>
      <c r="F32" s="485">
        <f t="shared" si="0"/>
        <v>-1923024</v>
      </c>
      <c r="G32" s="485">
        <f t="shared" si="1"/>
        <v>403835.03999999998</v>
      </c>
      <c r="H32" s="202"/>
      <c r="I32" s="512"/>
      <c r="K32" s="369"/>
      <c r="L32" s="197"/>
      <c r="M32" s="198"/>
    </row>
    <row r="33" spans="1:13" ht="12.75">
      <c r="A33" s="195">
        <f t="shared" si="2"/>
        <v>20</v>
      </c>
      <c r="B33" s="197" t="s">
        <v>189</v>
      </c>
      <c r="D33" s="474">
        <v>-332581</v>
      </c>
      <c r="E33" s="474">
        <f t="shared" si="3"/>
        <v>69842.009999999995</v>
      </c>
      <c r="F33" s="485">
        <f t="shared" si="0"/>
        <v>-332581</v>
      </c>
      <c r="G33" s="485">
        <f t="shared" si="1"/>
        <v>69842.009999999995</v>
      </c>
      <c r="H33" s="202"/>
      <c r="I33" s="512"/>
      <c r="K33" s="369"/>
      <c r="L33" s="197"/>
      <c r="M33" s="198"/>
    </row>
    <row r="34" spans="1:13" ht="12.75">
      <c r="A34" s="195">
        <f t="shared" si="2"/>
        <v>21</v>
      </c>
      <c r="B34" s="197" t="s">
        <v>175</v>
      </c>
      <c r="D34" s="474">
        <v>-14185444</v>
      </c>
      <c r="E34" s="474">
        <f t="shared" si="3"/>
        <v>2978943.2400000002</v>
      </c>
      <c r="F34" s="485">
        <f t="shared" si="0"/>
        <v>-14185444</v>
      </c>
      <c r="G34" s="485">
        <f t="shared" si="1"/>
        <v>2978943.2400000002</v>
      </c>
      <c r="H34" s="202"/>
      <c r="I34" s="512"/>
      <c r="K34" s="369"/>
      <c r="L34" s="197"/>
      <c r="M34" s="198"/>
    </row>
    <row r="35" spans="1:13" ht="12.75">
      <c r="A35" s="195">
        <f t="shared" si="2"/>
        <v>22</v>
      </c>
      <c r="B35" s="197" t="s">
        <v>365</v>
      </c>
      <c r="D35" s="474">
        <v>-2990594</v>
      </c>
      <c r="E35" s="474">
        <f t="shared" si="3"/>
        <v>628024.73999999999</v>
      </c>
      <c r="F35" s="485">
        <f>+D35-ROUND(('II-E-3.5'!H41/0.21),0)</f>
        <v>-6245505</v>
      </c>
      <c r="G35" s="485">
        <f t="shared" si="1"/>
        <v>1311556.0500000001</v>
      </c>
      <c r="I35" s="512"/>
      <c r="K35" s="369"/>
      <c r="L35" s="197"/>
      <c r="M35" s="198"/>
    </row>
    <row r="36" spans="1:13" ht="12.75">
      <c r="A36" s="195">
        <f t="shared" si="2"/>
        <v>23</v>
      </c>
      <c r="B36" s="197" t="s">
        <v>673</v>
      </c>
      <c r="D36" s="474">
        <v>-3864232</v>
      </c>
      <c r="E36" s="474">
        <f t="shared" si="3"/>
        <v>811488.71999999997</v>
      </c>
      <c r="F36" s="485">
        <f t="shared" si="0"/>
        <v>-3864232</v>
      </c>
      <c r="G36" s="485">
        <f t="shared" si="1"/>
        <v>811488.71999999997</v>
      </c>
      <c r="H36" s="202"/>
      <c r="I36" s="512"/>
      <c r="K36" s="369"/>
      <c r="L36" s="197"/>
      <c r="M36" s="198"/>
    </row>
    <row r="37" spans="1:13" ht="12.75">
      <c r="A37" s="195">
        <f t="shared" si="2"/>
        <v>24</v>
      </c>
      <c r="B37" s="197" t="s">
        <v>674</v>
      </c>
      <c r="D37" s="474">
        <v>213</v>
      </c>
      <c r="E37" s="474">
        <f t="shared" si="3"/>
        <v>-44.729999999999997</v>
      </c>
      <c r="F37" s="485">
        <f t="shared" si="0"/>
        <v>213</v>
      </c>
      <c r="G37" s="485">
        <f t="shared" si="1"/>
        <v>-44.729999999999997</v>
      </c>
      <c r="H37" s="202"/>
      <c r="I37" s="512"/>
      <c r="K37" s="369"/>
      <c r="L37" s="197"/>
      <c r="M37" s="198"/>
    </row>
    <row r="38" spans="1:13" ht="12.75">
      <c r="A38" s="195">
        <f t="shared" si="2"/>
        <v>25</v>
      </c>
      <c r="B38" s="197" t="s">
        <v>675</v>
      </c>
      <c r="D38" s="474">
        <v>2894</v>
      </c>
      <c r="E38" s="474">
        <f t="shared" si="3"/>
        <v>-607.74000000000001</v>
      </c>
      <c r="F38" s="485">
        <f t="shared" si="0"/>
        <v>2894</v>
      </c>
      <c r="G38" s="485">
        <f t="shared" si="1"/>
        <v>-607.74000000000001</v>
      </c>
      <c r="H38" s="202"/>
      <c r="I38" s="512"/>
      <c r="K38" s="369"/>
      <c r="L38" s="197"/>
      <c r="M38" s="198"/>
    </row>
    <row r="39" spans="1:13" ht="12.75">
      <c r="A39" s="195">
        <f t="shared" si="2"/>
        <v>26</v>
      </c>
      <c r="B39" s="197" t="s">
        <v>676</v>
      </c>
      <c r="D39" s="474">
        <v>107246</v>
      </c>
      <c r="E39" s="474">
        <f t="shared" si="3"/>
        <v>-22521.66</v>
      </c>
      <c r="F39" s="485">
        <v>0</v>
      </c>
      <c r="G39" s="485">
        <f t="shared" si="1"/>
        <v>0</v>
      </c>
      <c r="H39" s="202"/>
      <c r="I39" s="512"/>
      <c r="K39" s="369"/>
      <c r="L39" s="197"/>
      <c r="M39" s="198"/>
    </row>
    <row r="40" spans="1:13" ht="12.75">
      <c r="A40" s="195">
        <f t="shared" si="2"/>
        <v>27</v>
      </c>
      <c r="B40" s="197" t="s">
        <v>677</v>
      </c>
      <c r="D40" s="474">
        <v>-432008</v>
      </c>
      <c r="E40" s="474">
        <f t="shared" si="3"/>
        <v>90721.679999999993</v>
      </c>
      <c r="F40" s="485">
        <v>0</v>
      </c>
      <c r="G40" s="485">
        <f t="shared" si="1"/>
        <v>0</v>
      </c>
      <c r="H40" s="202"/>
      <c r="I40" s="512"/>
      <c r="K40" s="369"/>
      <c r="L40" s="197"/>
      <c r="M40" s="198"/>
    </row>
    <row r="41" spans="1:13" ht="12.75">
      <c r="A41" s="195">
        <f t="shared" si="2"/>
        <v>28</v>
      </c>
      <c r="B41" s="197" t="s">
        <v>1006</v>
      </c>
      <c r="D41" s="474">
        <v>5787313</v>
      </c>
      <c r="E41" s="474">
        <f t="shared" si="3"/>
        <v>-1215335.73</v>
      </c>
      <c r="F41" s="485">
        <f>+D41</f>
        <v>5787313</v>
      </c>
      <c r="G41" s="485">
        <f t="shared" si="1"/>
        <v>-1215335.73</v>
      </c>
      <c r="H41" s="202"/>
      <c r="I41" s="512"/>
      <c r="K41" s="369"/>
      <c r="L41" s="197"/>
      <c r="M41" s="198"/>
    </row>
    <row r="42" spans="1:13" ht="12.75">
      <c r="A42" s="195">
        <f t="shared" si="2"/>
        <v>29</v>
      </c>
      <c r="B42" s="197" t="s">
        <v>1007</v>
      </c>
      <c r="D42" s="474">
        <v>10657230</v>
      </c>
      <c r="E42" s="474">
        <f t="shared" si="3"/>
        <v>-2238018.2999999998</v>
      </c>
      <c r="F42" s="485">
        <f t="shared" si="4" ref="F42:F43">+D42</f>
        <v>10657230</v>
      </c>
      <c r="G42" s="485">
        <f t="shared" si="1"/>
        <v>-2238018.2999999998</v>
      </c>
      <c r="H42" s="202"/>
      <c r="I42" s="512"/>
      <c r="K42" s="369"/>
      <c r="L42" s="197"/>
      <c r="M42" s="198"/>
    </row>
    <row r="43" spans="1:13" ht="12.75">
      <c r="A43" s="195">
        <f t="shared" si="2"/>
        <v>30</v>
      </c>
      <c r="B43" s="197" t="s">
        <v>1008</v>
      </c>
      <c r="D43" s="474">
        <v>13536943</v>
      </c>
      <c r="E43" s="474">
        <f t="shared" si="3"/>
        <v>-2842758.0299999998</v>
      </c>
      <c r="F43" s="485">
        <f t="shared" si="4"/>
        <v>13536943</v>
      </c>
      <c r="G43" s="485">
        <f t="shared" si="1"/>
        <v>-2842758.0299999998</v>
      </c>
      <c r="H43" s="202"/>
      <c r="I43" s="512"/>
      <c r="K43" s="369"/>
      <c r="L43" s="197"/>
      <c r="M43" s="198"/>
    </row>
    <row r="44" spans="1:13" ht="12.75">
      <c r="A44" s="195">
        <f t="shared" si="2"/>
        <v>31</v>
      </c>
      <c r="B44" s="197" t="s">
        <v>423</v>
      </c>
      <c r="D44" s="474">
        <v>-75167030</v>
      </c>
      <c r="E44" s="474">
        <f t="shared" si="3"/>
        <v>15785076.300000001</v>
      </c>
      <c r="F44" s="485">
        <f t="shared" si="0"/>
        <v>-75167030</v>
      </c>
      <c r="G44" s="485">
        <f t="shared" si="1"/>
        <v>15785076.300000001</v>
      </c>
      <c r="H44" s="202"/>
      <c r="I44" s="512"/>
      <c r="K44" s="369"/>
      <c r="L44" s="197"/>
      <c r="M44" s="198"/>
    </row>
    <row r="45" spans="1:13" ht="12.75">
      <c r="A45" s="195">
        <f t="shared" si="2"/>
        <v>32</v>
      </c>
      <c r="B45" s="197" t="s">
        <v>190</v>
      </c>
      <c r="D45" s="474">
        <v>2055700</v>
      </c>
      <c r="E45" s="474">
        <f t="shared" si="3"/>
        <v>-431697</v>
      </c>
      <c r="F45" s="485">
        <f t="shared" si="0"/>
        <v>2055700</v>
      </c>
      <c r="G45" s="485">
        <f t="shared" si="1"/>
        <v>-431697</v>
      </c>
      <c r="H45" s="202"/>
      <c r="I45" s="512"/>
      <c r="K45" s="369"/>
      <c r="L45" s="197"/>
      <c r="M45" s="198"/>
    </row>
    <row r="46" spans="1:13" ht="12.75">
      <c r="A46" s="195">
        <f t="shared" si="2"/>
        <v>33</v>
      </c>
      <c r="B46" s="197" t="s">
        <v>666</v>
      </c>
      <c r="D46" s="474">
        <v>1718757</v>
      </c>
      <c r="E46" s="474">
        <f t="shared" si="3"/>
        <v>-360938.96999999997</v>
      </c>
      <c r="F46" s="485">
        <f t="shared" si="0"/>
        <v>1718757</v>
      </c>
      <c r="G46" s="485">
        <f t="shared" si="1"/>
        <v>-360938.96999999997</v>
      </c>
      <c r="H46" s="202"/>
      <c r="I46" s="512"/>
      <c r="K46" s="369"/>
      <c r="L46" s="197"/>
      <c r="M46" s="198"/>
    </row>
    <row r="47" spans="1:13" ht="12.75">
      <c r="A47" s="195">
        <f t="shared" si="2"/>
        <v>34</v>
      </c>
      <c r="B47" s="197" t="s">
        <v>386</v>
      </c>
      <c r="D47" s="474">
        <v>-28983</v>
      </c>
      <c r="E47" s="474">
        <f t="shared" si="3"/>
        <v>6086.4300000000003</v>
      </c>
      <c r="F47" s="485">
        <f t="shared" si="0"/>
        <v>-28983</v>
      </c>
      <c r="G47" s="485">
        <f t="shared" si="1"/>
        <v>6086.4300000000003</v>
      </c>
      <c r="H47" s="202"/>
      <c r="I47" s="512"/>
      <c r="K47" s="369"/>
      <c r="L47" s="197"/>
      <c r="M47" s="198"/>
    </row>
    <row r="48" spans="1:13" ht="12.75">
      <c r="A48" s="195">
        <f t="shared" si="2"/>
        <v>35</v>
      </c>
      <c r="B48" s="197" t="s">
        <v>678</v>
      </c>
      <c r="D48" s="474">
        <v>-9956282</v>
      </c>
      <c r="E48" s="474">
        <f t="shared" si="3"/>
        <v>2090819.22</v>
      </c>
      <c r="F48" s="485">
        <f t="shared" si="0"/>
        <v>-9956282</v>
      </c>
      <c r="G48" s="485">
        <f t="shared" si="1"/>
        <v>2090819.22</v>
      </c>
      <c r="H48" s="202"/>
      <c r="I48" s="512"/>
      <c r="K48" s="369"/>
      <c r="L48" s="197"/>
      <c r="M48" s="198"/>
    </row>
    <row r="49" spans="1:13" ht="12.75">
      <c r="A49" s="195">
        <f t="shared" si="2"/>
        <v>36</v>
      </c>
      <c r="B49" s="197" t="s">
        <v>387</v>
      </c>
      <c r="D49" s="474">
        <v>20475726</v>
      </c>
      <c r="E49" s="474">
        <f t="shared" si="3"/>
        <v>-4299902.46</v>
      </c>
      <c r="F49" s="485">
        <f t="shared" si="0"/>
        <v>20475726</v>
      </c>
      <c r="G49" s="485">
        <f t="shared" si="1"/>
        <v>-4299902.46</v>
      </c>
      <c r="H49" s="202"/>
      <c r="I49" s="512"/>
      <c r="K49" s="369"/>
      <c r="L49" s="197"/>
      <c r="M49" s="198"/>
    </row>
    <row r="50" spans="1:13" ht="12.75">
      <c r="A50" s="195">
        <f t="shared" si="2"/>
        <v>37</v>
      </c>
      <c r="B50" s="660" t="s">
        <v>1202</v>
      </c>
      <c r="D50" s="474">
        <v>53575328</v>
      </c>
      <c r="E50" s="474">
        <f t="shared" si="3"/>
        <v>-11250818.880000001</v>
      </c>
      <c r="F50" s="485">
        <f t="shared" si="0"/>
        <v>53575328</v>
      </c>
      <c r="G50" s="485">
        <f t="shared" si="1"/>
        <v>-11250818.880000001</v>
      </c>
      <c r="H50" s="202"/>
      <c r="I50" s="512"/>
      <c r="K50" s="369"/>
      <c r="L50" s="197"/>
      <c r="M50" s="198"/>
    </row>
    <row r="51" spans="1:13" ht="12.75">
      <c r="A51" s="195">
        <f t="shared" si="2"/>
        <v>38</v>
      </c>
      <c r="B51" s="197" t="s">
        <v>25</v>
      </c>
      <c r="D51" s="474">
        <v>644985</v>
      </c>
      <c r="E51" s="474">
        <f t="shared" si="3"/>
        <v>-135446.85000000001</v>
      </c>
      <c r="F51" s="485">
        <f t="shared" si="0"/>
        <v>644985</v>
      </c>
      <c r="G51" s="485">
        <f t="shared" si="1"/>
        <v>-135446.85000000001</v>
      </c>
      <c r="H51" s="202"/>
      <c r="I51" s="512"/>
      <c r="K51" s="369"/>
      <c r="L51" s="197"/>
      <c r="M51" s="198"/>
    </row>
    <row r="52" spans="1:13" ht="12.75">
      <c r="A52" s="195">
        <f t="shared" si="2"/>
        <v>39</v>
      </c>
      <c r="B52" s="197" t="s">
        <v>1010</v>
      </c>
      <c r="D52" s="474">
        <v>-16546989</v>
      </c>
      <c r="E52" s="474">
        <f t="shared" si="3"/>
        <v>3474867.6899999999</v>
      </c>
      <c r="F52" s="485">
        <v>0</v>
      </c>
      <c r="G52" s="485">
        <f t="shared" si="1"/>
        <v>0</v>
      </c>
      <c r="H52" s="202"/>
      <c r="I52" s="512"/>
      <c r="K52" s="369"/>
      <c r="L52" s="197"/>
      <c r="M52" s="198"/>
    </row>
    <row r="53" spans="1:13" ht="12.75">
      <c r="A53" s="195">
        <f t="shared" si="2"/>
        <v>40</v>
      </c>
      <c r="B53" s="660" t="s">
        <v>1204</v>
      </c>
      <c r="D53" s="474">
        <v>-26088</v>
      </c>
      <c r="E53" s="474">
        <f t="shared" si="3"/>
        <v>5478.4799999999996</v>
      </c>
      <c r="F53" s="485">
        <f>+D53</f>
        <v>-26088</v>
      </c>
      <c r="G53" s="485">
        <f t="shared" si="1"/>
        <v>5478.4799999999996</v>
      </c>
      <c r="H53" s="202"/>
      <c r="I53" s="512"/>
      <c r="K53" s="369"/>
      <c r="L53" s="197"/>
      <c r="M53" s="198"/>
    </row>
    <row r="54" spans="1:13" ht="12.75">
      <c r="A54" s="195">
        <f t="shared" si="2"/>
        <v>41</v>
      </c>
      <c r="B54" s="197" t="s">
        <v>176</v>
      </c>
      <c r="D54" s="474">
        <v>4466185</v>
      </c>
      <c r="E54" s="474">
        <f t="shared" si="3"/>
        <v>-937898.84999999998</v>
      </c>
      <c r="F54" s="485">
        <f t="shared" si="0"/>
        <v>4466185</v>
      </c>
      <c r="G54" s="485">
        <f t="shared" si="1"/>
        <v>-937898.84999999998</v>
      </c>
      <c r="H54" s="202"/>
      <c r="I54" s="512"/>
      <c r="K54" s="369"/>
      <c r="L54" s="197"/>
      <c r="M54" s="198"/>
    </row>
    <row r="55" spans="1:13" ht="12.75">
      <c r="A55" s="195">
        <f t="shared" si="2"/>
        <v>42</v>
      </c>
      <c r="B55" s="197" t="s">
        <v>424</v>
      </c>
      <c r="D55" s="474">
        <v>873132</v>
      </c>
      <c r="E55" s="474">
        <f t="shared" si="3"/>
        <v>-183357.72</v>
      </c>
      <c r="F55" s="485">
        <f t="shared" si="0"/>
        <v>873132</v>
      </c>
      <c r="G55" s="485">
        <f t="shared" si="1"/>
        <v>-183357.72</v>
      </c>
      <c r="H55" s="202"/>
      <c r="I55" s="512"/>
      <c r="K55" s="369"/>
      <c r="L55" s="197"/>
      <c r="M55" s="198"/>
    </row>
    <row r="56" spans="1:13" ht="12.75">
      <c r="A56" s="195">
        <f t="shared" si="2"/>
        <v>43</v>
      </c>
      <c r="B56" s="197" t="s">
        <v>679</v>
      </c>
      <c r="D56" s="474">
        <v>-767374</v>
      </c>
      <c r="E56" s="474">
        <f t="shared" si="3"/>
        <v>161148.54000000001</v>
      </c>
      <c r="F56" s="485">
        <v>0</v>
      </c>
      <c r="G56" s="485">
        <f t="shared" si="1"/>
        <v>0</v>
      </c>
      <c r="H56" s="202"/>
      <c r="I56" s="512"/>
      <c r="K56" s="369"/>
      <c r="L56" s="197"/>
      <c r="M56" s="198"/>
    </row>
    <row r="57" spans="1:13" ht="12.75">
      <c r="A57" s="195">
        <f t="shared" si="2"/>
        <v>44</v>
      </c>
      <c r="B57" s="197" t="s">
        <v>441</v>
      </c>
      <c r="D57" s="474">
        <v>-41275820</v>
      </c>
      <c r="E57" s="474">
        <f t="shared" si="3"/>
        <v>8667922.1999999993</v>
      </c>
      <c r="F57" s="485">
        <f t="shared" si="0"/>
        <v>-41275820</v>
      </c>
      <c r="G57" s="485">
        <f t="shared" si="1"/>
        <v>8667922.1999999993</v>
      </c>
      <c r="H57" s="202"/>
      <c r="I57" s="512"/>
      <c r="K57" s="369"/>
      <c r="L57" s="197"/>
      <c r="M57" s="198"/>
    </row>
    <row r="58" spans="1:13" ht="12.75">
      <c r="A58" s="195">
        <f t="shared" si="2"/>
        <v>45</v>
      </c>
      <c r="B58" s="197" t="s">
        <v>681</v>
      </c>
      <c r="D58" s="474">
        <v>-4415075</v>
      </c>
      <c r="E58" s="474">
        <f t="shared" si="3"/>
        <v>927165.75</v>
      </c>
      <c r="F58" s="485">
        <v>0</v>
      </c>
      <c r="G58" s="485">
        <f t="shared" si="1"/>
        <v>0</v>
      </c>
      <c r="H58" s="202"/>
      <c r="I58" s="512"/>
      <c r="K58" s="369"/>
      <c r="L58" s="197"/>
      <c r="M58" s="198"/>
    </row>
    <row r="59" spans="1:13" ht="12.75">
      <c r="A59" s="195">
        <f t="shared" si="2"/>
        <v>46</v>
      </c>
      <c r="B59" s="197" t="s">
        <v>442</v>
      </c>
      <c r="D59" s="474">
        <v>-8914694</v>
      </c>
      <c r="E59" s="474">
        <f t="shared" si="3"/>
        <v>1872085.74</v>
      </c>
      <c r="F59" s="485">
        <f t="shared" si="0"/>
        <v>-8914694</v>
      </c>
      <c r="G59" s="485">
        <f t="shared" si="1"/>
        <v>1872085.74</v>
      </c>
      <c r="H59" s="202"/>
      <c r="I59" s="512"/>
      <c r="K59" s="369"/>
      <c r="L59" s="197"/>
      <c r="M59" s="198"/>
    </row>
    <row r="60" spans="1:13" ht="12.75">
      <c r="A60" s="195">
        <f t="shared" si="2"/>
        <v>47</v>
      </c>
      <c r="B60" s="660" t="s">
        <v>1205</v>
      </c>
      <c r="D60" s="474">
        <v>-20686978</v>
      </c>
      <c r="E60" s="474">
        <f t="shared" si="3"/>
        <v>4344265.3799999999</v>
      </c>
      <c r="F60" s="485">
        <f t="shared" si="0"/>
        <v>-20686978</v>
      </c>
      <c r="G60" s="485">
        <f t="shared" si="1"/>
        <v>4344265.3799999999</v>
      </c>
      <c r="H60" s="202"/>
      <c r="I60" s="512"/>
      <c r="K60" s="369"/>
      <c r="L60" s="197"/>
      <c r="M60" s="198"/>
    </row>
    <row r="61" spans="1:13" ht="12.75">
      <c r="A61" s="195">
        <f t="shared" si="2"/>
        <v>48</v>
      </c>
      <c r="B61" s="197" t="s">
        <v>680</v>
      </c>
      <c r="D61" s="474">
        <v>-200823</v>
      </c>
      <c r="E61" s="474">
        <f t="shared" si="3"/>
        <v>42172.830000000002</v>
      </c>
      <c r="F61" s="485">
        <f t="shared" si="0"/>
        <v>-200823</v>
      </c>
      <c r="G61" s="485">
        <f t="shared" si="1"/>
        <v>42172.830000000002</v>
      </c>
      <c r="H61" s="202"/>
      <c r="I61" s="512"/>
      <c r="K61" s="369"/>
      <c r="L61" s="197"/>
      <c r="M61" s="198"/>
    </row>
    <row r="62" spans="1:13" ht="12.75">
      <c r="A62" s="195">
        <f t="shared" si="2"/>
        <v>49</v>
      </c>
      <c r="B62" s="197" t="s">
        <v>670</v>
      </c>
      <c r="D62" s="474">
        <v>-3283145</v>
      </c>
      <c r="E62" s="474">
        <f t="shared" si="3"/>
        <v>689460.44999999995</v>
      </c>
      <c r="F62" s="485">
        <f t="shared" si="0"/>
        <v>-3283145</v>
      </c>
      <c r="G62" s="485">
        <f t="shared" si="1"/>
        <v>689460.44999999995</v>
      </c>
      <c r="H62" s="202"/>
      <c r="I62" s="512"/>
      <c r="K62" s="369"/>
      <c r="L62" s="197"/>
      <c r="M62" s="198"/>
    </row>
    <row r="63" spans="1:13" ht="12.75">
      <c r="A63" s="195">
        <f t="shared" si="2"/>
        <v>50</v>
      </c>
      <c r="B63" s="197" t="s">
        <v>672</v>
      </c>
      <c r="D63" s="474">
        <v>-13300367</v>
      </c>
      <c r="E63" s="474">
        <f t="shared" si="3"/>
        <v>2793077.0699999998</v>
      </c>
      <c r="F63" s="485">
        <f t="shared" si="0"/>
        <v>-13300367</v>
      </c>
      <c r="G63" s="485">
        <f t="shared" si="1"/>
        <v>2793077.0699999998</v>
      </c>
      <c r="H63" s="202"/>
      <c r="I63" s="512"/>
      <c r="K63" s="369"/>
      <c r="L63" s="197"/>
      <c r="M63" s="198"/>
    </row>
    <row r="64" spans="1:13" ht="12.75">
      <c r="A64" s="195">
        <f t="shared" si="2"/>
        <v>51</v>
      </c>
      <c r="B64" s="197" t="s">
        <v>1009</v>
      </c>
      <c r="D64" s="474">
        <v>2912142</v>
      </c>
      <c r="E64" s="474">
        <f t="shared" si="3"/>
        <v>-611549.81999999995</v>
      </c>
      <c r="F64" s="485">
        <f>+D64-ROUND(('II-E-3.5'!H58/0.21),0)</f>
        <v>11010854</v>
      </c>
      <c r="G64" s="485">
        <f t="shared" si="1"/>
        <v>-2312279.3399999999</v>
      </c>
      <c r="H64" s="202"/>
      <c r="I64" s="512"/>
      <c r="K64" s="369"/>
      <c r="L64" s="197"/>
      <c r="M64" s="198"/>
    </row>
    <row r="65" spans="1:13" ht="12.75">
      <c r="A65" s="195">
        <f t="shared" si="2"/>
        <v>52</v>
      </c>
      <c r="B65" s="197" t="s">
        <v>425</v>
      </c>
      <c r="D65" s="474">
        <v>290400</v>
      </c>
      <c r="E65" s="474">
        <f t="shared" si="3"/>
        <v>-60984</v>
      </c>
      <c r="F65" s="485">
        <v>0</v>
      </c>
      <c r="G65" s="485">
        <f t="shared" si="1"/>
        <v>0</v>
      </c>
      <c r="H65" s="202"/>
      <c r="I65" s="512"/>
      <c r="K65" s="369"/>
      <c r="L65" s="197"/>
      <c r="M65" s="198"/>
    </row>
    <row r="66" spans="1:13" ht="12.75">
      <c r="A66" s="195">
        <f t="shared" si="2"/>
        <v>53</v>
      </c>
      <c r="B66" s="193" t="s">
        <v>282</v>
      </c>
      <c r="D66" s="513">
        <f>SUM(D15:D65)</f>
        <v>-607285929</v>
      </c>
      <c r="E66" s="513">
        <f>SUM(E15:E65)</f>
        <v>127530045.09000003</v>
      </c>
      <c r="F66" s="513">
        <f>SUM(F15:F65)</f>
        <v>-580387928</v>
      </c>
      <c r="G66" s="513">
        <f>SUM(G15:G65)</f>
        <v>121881464.88000001</v>
      </c>
      <c r="K66" s="369"/>
      <c r="L66" s="197"/>
      <c r="M66" s="198"/>
    </row>
    <row r="67" spans="1:13" ht="12.75">
      <c r="A67" s="195">
        <f t="shared" si="2"/>
        <v>54</v>
      </c>
      <c r="D67" s="198"/>
      <c r="E67" s="198"/>
      <c r="F67" s="198"/>
      <c r="G67" s="198"/>
      <c r="K67" s="369"/>
      <c r="L67" s="197"/>
      <c r="M67" s="198"/>
    </row>
    <row r="68" spans="1:13" ht="12.75">
      <c r="A68" s="195">
        <f t="shared" si="2"/>
        <v>55</v>
      </c>
      <c r="B68" s="146" t="s">
        <v>395</v>
      </c>
      <c r="D68" s="198"/>
      <c r="E68" s="198">
        <f>+'II-E-3.15'!C109</f>
        <v>280766.15000000002</v>
      </c>
      <c r="F68" s="198"/>
      <c r="G68" s="198">
        <f>+'II-E-3.15'!E109</f>
        <v>280766.15000000002</v>
      </c>
      <c r="K68" s="369"/>
      <c r="L68" s="197"/>
      <c r="M68" s="198"/>
    </row>
    <row r="69" spans="1:13" ht="12.75">
      <c r="A69" s="195">
        <f t="shared" si="2"/>
        <v>56</v>
      </c>
      <c r="B69" s="352" t="s">
        <v>191</v>
      </c>
      <c r="D69" s="144"/>
      <c r="E69" s="198">
        <f>+'II-E-3.15'!C110</f>
        <v>-22126156.32</v>
      </c>
      <c r="F69" s="198"/>
      <c r="G69" s="198">
        <f>+'II-E-3.15'!E110</f>
        <v>-16233757.32</v>
      </c>
      <c r="K69" s="362"/>
      <c r="L69" s="197"/>
      <c r="M69" s="198"/>
    </row>
    <row r="70" spans="1:13" ht="12.75">
      <c r="A70" s="195">
        <f t="shared" si="2"/>
        <v>57</v>
      </c>
      <c r="B70" s="352" t="s">
        <v>684</v>
      </c>
      <c r="D70" s="384"/>
      <c r="E70" s="198">
        <f>+'II-E-3.15'!C111</f>
        <v>-30159720</v>
      </c>
      <c r="F70" s="198"/>
      <c r="G70" s="198">
        <f>+'II-E-3.15'!E111</f>
        <v>-36089806.799999997</v>
      </c>
      <c r="K70" s="362"/>
      <c r="L70" s="197"/>
      <c r="M70" s="198"/>
    </row>
    <row r="71" spans="1:13" ht="12.75">
      <c r="A71" s="195">
        <f t="shared" si="2"/>
        <v>58</v>
      </c>
      <c r="B71" s="146" t="s">
        <v>1018</v>
      </c>
      <c r="D71" s="384"/>
      <c r="E71" s="198">
        <f>+'II-E-3.15'!C112</f>
        <v>0</v>
      </c>
      <c r="F71" s="198"/>
      <c r="G71" s="198">
        <f>+'II-E-3.15'!E112</f>
        <v>1608928.6000000001</v>
      </c>
      <c r="K71" s="362"/>
      <c r="L71" s="197"/>
      <c r="M71" s="198"/>
    </row>
    <row r="72" spans="1:13" ht="12.75">
      <c r="A72" s="195">
        <f t="shared" si="2"/>
        <v>59</v>
      </c>
      <c r="B72" s="352" t="s">
        <v>470</v>
      </c>
      <c r="D72" s="144"/>
      <c r="E72" s="198">
        <f>+'II-E-3.15'!C113</f>
        <v>22574</v>
      </c>
      <c r="F72" s="198"/>
      <c r="G72" s="198">
        <f>+'II-E-3.15'!E113</f>
        <v>0</v>
      </c>
      <c r="K72" s="362"/>
      <c r="L72" s="197"/>
      <c r="M72" s="198"/>
    </row>
    <row r="73" spans="1:13" ht="12.75">
      <c r="A73" s="195">
        <f t="shared" si="2"/>
        <v>60</v>
      </c>
      <c r="B73" s="146" t="s">
        <v>37</v>
      </c>
      <c r="D73" s="198"/>
      <c r="E73" s="291">
        <f>+'II-E-3.15'!C117</f>
        <v>-1174249.98</v>
      </c>
      <c r="F73" s="291"/>
      <c r="G73" s="198">
        <f>+'II-E-3.15'!E117</f>
        <v>-771634.71999999997</v>
      </c>
      <c r="K73" s="362"/>
      <c r="L73" s="197"/>
      <c r="M73" s="198"/>
    </row>
    <row r="74" spans="1:13" ht="12.75">
      <c r="A74" s="195">
        <f t="shared" si="2"/>
        <v>61</v>
      </c>
      <c r="B74" s="146" t="s">
        <v>36</v>
      </c>
      <c r="D74" s="198"/>
      <c r="E74" s="291">
        <f>+'II-E-3.15'!C114</f>
        <v>-7559826</v>
      </c>
      <c r="G74" s="198">
        <v>0</v>
      </c>
      <c r="K74" s="362"/>
      <c r="L74" s="197"/>
      <c r="M74" s="198"/>
    </row>
    <row r="75" spans="1:12" ht="12.75">
      <c r="A75" s="195">
        <f t="shared" si="2"/>
        <v>62</v>
      </c>
      <c r="D75" s="198"/>
      <c r="E75" s="198"/>
      <c r="G75" s="291"/>
      <c r="K75" s="362"/>
      <c r="L75" s="197"/>
    </row>
    <row r="76" spans="1:12" ht="13.5" thickBot="1">
      <c r="A76" s="195">
        <f t="shared" si="2"/>
        <v>63</v>
      </c>
      <c r="B76" s="292" t="s">
        <v>337</v>
      </c>
      <c r="C76" s="292"/>
      <c r="D76" s="293" t="s">
        <v>277</v>
      </c>
      <c r="E76" s="293">
        <f>SUM(E66:E75)</f>
        <v>66813432.940000042</v>
      </c>
      <c r="F76" s="294" t="s">
        <v>278</v>
      </c>
      <c r="G76" s="293">
        <f>SUM(G66:G75)</f>
        <v>70675960.790000007</v>
      </c>
      <c r="I76" s="202" t="s">
        <v>471</v>
      </c>
      <c r="K76" s="362"/>
      <c r="L76" s="197"/>
    </row>
    <row r="77" spans="1:12" ht="13.5" thickTop="1">
      <c r="A77" s="195">
        <f t="shared" si="2"/>
        <v>64</v>
      </c>
      <c r="D77" s="198"/>
      <c r="E77" s="198"/>
      <c r="F77" s="198"/>
      <c r="G77" s="198"/>
      <c r="K77" s="362"/>
      <c r="L77" s="197"/>
    </row>
    <row r="78" spans="1:12" ht="12.75">
      <c r="A78" s="195">
        <f t="shared" si="2"/>
        <v>65</v>
      </c>
      <c r="B78" s="352" t="s">
        <v>1295</v>
      </c>
      <c r="L78" s="197"/>
    </row>
    <row r="79" spans="1:2" ht="12.75">
      <c r="A79" s="195">
        <f t="shared" si="2"/>
        <v>66</v>
      </c>
      <c r="B79" s="352" t="s">
        <v>1296</v>
      </c>
    </row>
    <row r="80" spans="1:2" ht="12.75">
      <c r="A80" s="195"/>
      <c r="B80" s="374"/>
    </row>
    <row r="81" spans="1:12" ht="12.75">
      <c r="A81" s="195"/>
      <c r="C81" s="198"/>
      <c r="L81" s="197"/>
    </row>
    <row r="82" spans="1:12" ht="12.75">
      <c r="A82" s="195"/>
      <c r="C82" s="198"/>
      <c r="L82" s="197"/>
    </row>
    <row r="83" spans="1:12" ht="12.75">
      <c r="A83" s="195"/>
      <c r="B83" s="295"/>
      <c r="C83" s="296"/>
      <c r="D83" s="296"/>
      <c r="E83" s="296"/>
      <c r="F83" s="296"/>
      <c r="G83" s="202"/>
      <c r="L83" s="197"/>
    </row>
    <row r="84" spans="1:12" ht="12.75">
      <c r="A84" s="195"/>
      <c r="B84" s="295" t="s">
        <v>812</v>
      </c>
      <c r="C84" s="295"/>
      <c r="D84" s="296">
        <f>+'II-E-3.15'!C93</f>
        <v>-607285929</v>
      </c>
      <c r="E84" s="296">
        <f>+'II-E-3.15'!C115+'II-E-3.15'!C117</f>
        <v>66813432.94000002</v>
      </c>
      <c r="F84" s="296">
        <f>+'II-E-3.15'!E93</f>
        <v>-580387928</v>
      </c>
      <c r="G84" s="296">
        <f>+'II-E-3.15'!E115+'II-E-3.15'!E117</f>
        <v>70675960.790000007</v>
      </c>
      <c r="H84" s="202" t="s">
        <v>55</v>
      </c>
      <c r="L84" s="197"/>
    </row>
    <row r="85" spans="1:12" ht="12.75">
      <c r="A85" s="195"/>
      <c r="B85" s="295" t="s">
        <v>30</v>
      </c>
      <c r="C85" s="295"/>
      <c r="D85" s="296">
        <f>D66-D84</f>
        <v>0</v>
      </c>
      <c r="E85" s="296">
        <f>E76-E84</f>
        <v>0</v>
      </c>
      <c r="F85" s="296">
        <f>F66-F84</f>
        <v>0</v>
      </c>
      <c r="G85" s="296">
        <f>G76-G84</f>
        <v>0</v>
      </c>
      <c r="L85" s="197"/>
    </row>
    <row r="86" spans="1:12" ht="12.75">
      <c r="A86" s="195"/>
      <c r="L86" s="197"/>
    </row>
    <row r="87" spans="1:12" ht="12.75">
      <c r="A87" s="195"/>
      <c r="L87" s="197"/>
    </row>
    <row r="88" spans="1:12" ht="12.75">
      <c r="A88" s="195"/>
      <c r="L88" s="197"/>
    </row>
    <row r="89" spans="1:12" ht="12.75">
      <c r="A89" s="195"/>
      <c r="L89" s="197"/>
    </row>
    <row r="90" spans="12:12" ht="12.75">
      <c r="L90" s="197"/>
    </row>
    <row r="91" spans="12:12" ht="12.75">
      <c r="L91" s="197"/>
    </row>
  </sheetData>
  <mergeCells count="2">
    <mergeCell ref="D10:E10"/>
    <mergeCell ref="F10:G10"/>
  </mergeCells>
  <pageMargins left="1.5" right="0.5" top="2.5" bottom="0.5" header="1" footer="0.5"/>
  <pageSetup orientation="portrait" pageOrder="overThenDown" scale="64" r:id="rId1"/>
  <headerFooter alignWithMargins="0">
    <oddHeader>&amp;C&amp;B
2022 RATE CASE
ONCOR ELECTRIC DELIVERY COMPANY LLC
II-E-3.16  ANALYSIS OF DEFERRED FIT
TEST YEAR ENDING DECEMBER 31, 2021
SPONSOR: B. L. CLUTTER&amp;R&amp;"Arial,Bold"Schedule &amp;A
Page &amp;P of &amp;N</oddHead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7">
    <tabColor rgb="FF92D050"/>
    <pageSetUpPr fitToPage="1"/>
  </sheetPr>
  <dimension ref="A1:Q15"/>
  <sheetViews>
    <sheetView workbookViewId="0" topLeftCell="A1">
      <pane ySplit="14" topLeftCell="A15" activePane="bottomLeft" state="frozen"/>
      <selection pane="topLeft" activeCell="H16" sqref="H16"/>
      <selection pane="bottomLeft" activeCell="H16" sqref="H16"/>
    </sheetView>
  </sheetViews>
  <sheetFormatPr defaultRowHeight="12.75"/>
  <cols>
    <col min="1" max="1" width="6" customWidth="1"/>
    <col min="3" max="3" width="12.5714285714286" bestFit="1" customWidth="1"/>
    <col min="4" max="4" width="12" bestFit="1" customWidth="1"/>
    <col min="5" max="5" width="12.7142857142857" customWidth="1"/>
    <col min="6" max="6" width="12" bestFit="1" customWidth="1"/>
    <col min="7" max="8" width="10.2857142857143" bestFit="1" customWidth="1"/>
    <col min="9" max="11" width="10.2857142857143" style="374" customWidth="1"/>
    <col min="12" max="12" width="10.2857142857143" bestFit="1" customWidth="1"/>
    <col min="13" max="14" width="10.2857142857143" style="374" customWidth="1"/>
    <col min="15" max="15" width="8.71428571428571" bestFit="1" customWidth="1"/>
    <col min="16" max="16" width="8.57142857142857" bestFit="1" customWidth="1"/>
    <col min="17" max="17" width="11.2857142857143" bestFit="1" customWidth="1"/>
    <col min="18" max="18" width="5.85714285714286" bestFit="1" customWidth="1"/>
  </cols>
  <sheetData>
    <row r="1" spans="1:1" ht="12.75">
      <c r="A1" s="31" t="str">
        <f>+'[3]Input Data'!$A$9</f>
        <v>2022 RATE CASE</v>
      </c>
    </row>
    <row r="2" spans="1:1" ht="12.75">
      <c r="A2" s="34" t="str">
        <f>+'[3]Input Data'!$A$2</f>
        <v>ONCOR ELECTRIC DELIVERY COMPANY LLC</v>
      </c>
    </row>
    <row r="3" spans="1:11" ht="12.75">
      <c r="A3" s="168" t="str">
        <f>CONCATENATE('[3]Schedule Sponsors'!$A$102,'[3]Schedule Sponsors'!$B$102)</f>
        <v>II-E-3.17  ANALYSIS OF ADDITIONAL DEPRECIATION REQUESTED</v>
      </c>
      <c r="H3" s="148"/>
      <c r="I3" s="352"/>
      <c r="J3" s="352"/>
      <c r="K3" s="352"/>
    </row>
    <row r="4" spans="1:1" ht="12.75">
      <c r="A4" s="92" t="str">
        <f>+'[3]Input Data'!$A$4</f>
        <v>TEST YEAR ENDING DECEMBER 31, 2021</v>
      </c>
    </row>
    <row r="5" spans="1:1" ht="12.75">
      <c r="A5" s="33" t="str">
        <f>CONCATENATE("SPONSOR: ",'[3]Schedule Sponsors'!$D$104)</f>
        <v>SPONSOR: B. L. CLUTTER</v>
      </c>
    </row>
    <row r="10" spans="1:17" s="110" customFormat="1" ht="12.75">
      <c r="A10" s="109"/>
      <c r="B10" s="109"/>
      <c r="C10" s="109" t="s">
        <v>45</v>
      </c>
      <c r="D10" s="109"/>
      <c r="E10" s="109" t="s">
        <v>400</v>
      </c>
      <c r="F10" s="109"/>
      <c r="G10" s="109"/>
      <c r="H10" s="109"/>
      <c r="I10" s="109"/>
      <c r="J10" s="109"/>
      <c r="K10" s="109"/>
      <c r="L10" s="109"/>
      <c r="M10" s="109"/>
      <c r="N10" s="109"/>
      <c r="O10" s="109"/>
      <c r="P10" s="109"/>
      <c r="Q10" s="109"/>
    </row>
    <row r="11" spans="1:17" s="110" customFormat="1" ht="12.75">
      <c r="A11" s="113" t="s">
        <v>252</v>
      </c>
      <c r="B11" s="113" t="s">
        <v>74</v>
      </c>
      <c r="C11" s="113" t="s">
        <v>276</v>
      </c>
      <c r="D11" s="113" t="s">
        <v>66</v>
      </c>
      <c r="E11" s="113" t="s">
        <v>401</v>
      </c>
      <c r="F11" s="113" t="s">
        <v>67</v>
      </c>
      <c r="G11" s="113" t="s">
        <v>73</v>
      </c>
      <c r="H11" s="113"/>
      <c r="I11" s="530" t="s">
        <v>628</v>
      </c>
      <c r="J11" s="530" t="s">
        <v>629</v>
      </c>
      <c r="K11" s="530" t="s">
        <v>631</v>
      </c>
      <c r="L11" s="113"/>
      <c r="M11" s="530" t="s">
        <v>628</v>
      </c>
      <c r="N11" s="530" t="s">
        <v>631</v>
      </c>
      <c r="O11" s="113"/>
      <c r="P11" s="113"/>
      <c r="Q11" s="113"/>
    </row>
    <row r="12" spans="1:17" s="110" customFormat="1" ht="12.75">
      <c r="A12" s="113" t="s">
        <v>147</v>
      </c>
      <c r="B12" s="113" t="s">
        <v>213</v>
      </c>
      <c r="C12" s="113" t="s">
        <v>46</v>
      </c>
      <c r="D12" s="113" t="s">
        <v>384</v>
      </c>
      <c r="E12" s="113" t="s">
        <v>402</v>
      </c>
      <c r="F12" s="113" t="s">
        <v>384</v>
      </c>
      <c r="G12" s="113" t="s">
        <v>71</v>
      </c>
      <c r="H12" s="113" t="s">
        <v>208</v>
      </c>
      <c r="I12" s="530" t="s">
        <v>208</v>
      </c>
      <c r="J12" s="530" t="s">
        <v>630</v>
      </c>
      <c r="K12" s="530" t="s">
        <v>208</v>
      </c>
      <c r="L12" s="113" t="s">
        <v>209</v>
      </c>
      <c r="M12" s="530" t="s">
        <v>209</v>
      </c>
      <c r="N12" s="530" t="s">
        <v>209</v>
      </c>
      <c r="O12" s="113" t="s">
        <v>203</v>
      </c>
      <c r="P12" s="113" t="s">
        <v>291</v>
      </c>
      <c r="Q12" s="113" t="s">
        <v>78</v>
      </c>
    </row>
    <row r="13" spans="1:17" s="27" customFormat="1" ht="12.75">
      <c r="A13" s="111"/>
      <c r="B13" s="111" t="s">
        <v>237</v>
      </c>
      <c r="C13" s="111" t="s">
        <v>238</v>
      </c>
      <c r="D13" s="111" t="s">
        <v>239</v>
      </c>
      <c r="E13" s="111" t="s">
        <v>240</v>
      </c>
      <c r="F13" s="111" t="s">
        <v>241</v>
      </c>
      <c r="G13" s="111" t="s">
        <v>242</v>
      </c>
      <c r="H13" s="111" t="s">
        <v>243</v>
      </c>
      <c r="I13" s="358" t="s">
        <v>244</v>
      </c>
      <c r="J13" s="358" t="s">
        <v>245</v>
      </c>
      <c r="K13" s="358" t="s">
        <v>246</v>
      </c>
      <c r="L13" s="358" t="s">
        <v>247</v>
      </c>
      <c r="M13" s="358" t="s">
        <v>248</v>
      </c>
      <c r="N13" s="358" t="s">
        <v>249</v>
      </c>
      <c r="O13" s="358" t="s">
        <v>250</v>
      </c>
      <c r="P13" s="358" t="s">
        <v>251</v>
      </c>
      <c r="Q13" s="358" t="s">
        <v>148</v>
      </c>
    </row>
    <row r="15" spans="1:2" ht="12.75">
      <c r="A15" s="27">
        <v>1</v>
      </c>
      <c r="B15" s="194" t="s">
        <v>455</v>
      </c>
    </row>
  </sheetData>
  <printOptions horizontalCentered="1"/>
  <pageMargins left="0.5" right="0.5" top="3" bottom="0.5" header="1.5" footer="0.5"/>
  <pageSetup orientation="landscape" pageOrder="overThenDown" scale="74" r:id="rId1"/>
  <headerFooter alignWithMargins="0">
    <oddHeader>&amp;C&amp;B
2022 RATE CASE
ONCOR ELECTRIC DELIVERY COMPANY LLC
II-E-3.17  ANALYSIS OF ADDITIONAL DEPRECIATION REQUESTED
TEST YEAR ENDING DECEMBER 31, 2021
SPONSOR: B. L. CLUTTER&amp;R&amp;"Arial,Bold"Schedule &amp;A
Page &amp;P of &amp;N</oddHead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1">
    <tabColor rgb="FFFF0000"/>
  </sheetPr>
  <dimension ref="A1:Y69"/>
  <sheetViews>
    <sheetView zoomScale="80" zoomScaleNormal="80" workbookViewId="0" topLeftCell="A1">
      <pane ySplit="14" topLeftCell="A15" activePane="bottomLeft" state="frozen"/>
      <selection pane="topLeft" activeCell="U22" sqref="U22:V24"/>
      <selection pane="bottomLeft" activeCell="W33" sqref="W33"/>
    </sheetView>
  </sheetViews>
  <sheetFormatPr defaultColWidth="9.14428571428571" defaultRowHeight="12.75"/>
  <cols>
    <col min="1" max="1" width="7.14285714285714" style="256" customWidth="1"/>
    <col min="2" max="2" width="38.1428571428571" style="256" bestFit="1" customWidth="1"/>
    <col min="3" max="3" width="13.4285714285714" style="256" bestFit="1" customWidth="1"/>
    <col min="4" max="4" width="14.5714285714286" style="256" bestFit="1" customWidth="1"/>
    <col min="5" max="5" width="13.4285714285714" style="256" bestFit="1" customWidth="1"/>
    <col min="6" max="6" width="14.2857142857143" style="256" bestFit="1" customWidth="1"/>
    <col min="7" max="7" width="13.4285714285714" style="256" bestFit="1" customWidth="1"/>
    <col min="8" max="8" width="9.57142857142857" style="256" bestFit="1" customWidth="1"/>
    <col min="9" max="9" width="13.4285714285714" style="256" bestFit="1" customWidth="1"/>
    <col min="10" max="10" width="3.28571428571429" style="256" bestFit="1" customWidth="1"/>
    <col min="11" max="11" width="14" style="256" bestFit="1" customWidth="1"/>
    <col min="12" max="12" width="11.5714285714286" style="256" bestFit="1" customWidth="1"/>
    <col min="13" max="13" width="13.4285714285714" style="256" bestFit="1" customWidth="1"/>
    <col min="14" max="14" width="12.2857142857143" style="528" bestFit="1" customWidth="1"/>
    <col min="15" max="15" width="9.57142857142857" style="528" bestFit="1" customWidth="1"/>
    <col min="16" max="16" width="13.4285714285714" style="528" bestFit="1" customWidth="1"/>
    <col min="17" max="17" width="13.4285714285714" style="256" bestFit="1" customWidth="1"/>
    <col min="18" max="18" width="10.7142857142857" style="528" bestFit="1" customWidth="1"/>
    <col min="19" max="19" width="13.4285714285714" style="528" bestFit="1" customWidth="1"/>
    <col min="20" max="20" width="13.4285714285714" style="256" bestFit="1" customWidth="1"/>
    <col min="21" max="21" width="13" style="256" bestFit="1" customWidth="1"/>
    <col min="22" max="22" width="13.4285714285714" style="256" bestFit="1" customWidth="1"/>
    <col min="23" max="23" width="9.57142857142857" style="256" bestFit="1" customWidth="1"/>
    <col min="24" max="24" width="6.85714285714286" style="655" bestFit="1" customWidth="1"/>
    <col min="25" max="25" width="10.4285714285714" style="655" bestFit="1" customWidth="1"/>
    <col min="26" max="16384" width="9.14285714285714" style="256"/>
  </cols>
  <sheetData>
    <row r="1" spans="1:1" ht="12.75">
      <c r="A1" s="183" t="str">
        <f>+'[3]Input Data'!$A$9</f>
        <v>2022 RATE CASE</v>
      </c>
    </row>
    <row r="2" spans="1:1" ht="12.75">
      <c r="A2" s="9" t="str">
        <f>+'[3]Input Data'!$A$2</f>
        <v>ONCOR ELECTRIC DELIVERY COMPANY LLC</v>
      </c>
    </row>
    <row r="3" spans="1:1" ht="12.75">
      <c r="A3" s="192" t="str">
        <f>CONCATENATE('[3]Schedule Sponsors'!$A$103,'[3]Schedule Sponsors'!$B$103)</f>
        <v>II-E-3.18  AMORTIZATION OF PROTECTED AND UNPROTECTED EXCESS DEFERRED TAXES</v>
      </c>
    </row>
    <row r="4" spans="1:1" ht="12.75">
      <c r="A4" s="192" t="str">
        <f>+'[3]Input Data'!$A$4</f>
        <v>TEST YEAR ENDING DECEMBER 31, 2021</v>
      </c>
    </row>
    <row r="5" spans="1:1" ht="12.75">
      <c r="A5" s="190" t="str">
        <f>CONCATENATE("SPONSOR: ",'[3]Schedule Sponsors'!$D$105)</f>
        <v>SPONSOR: B. L. CLUTTER</v>
      </c>
    </row>
    <row r="7" spans="11:11" ht="12.75">
      <c r="K7" s="624"/>
    </row>
    <row r="9" ht="13.5" thickBot="1"/>
    <row r="10" spans="1:25" s="170" customFormat="1" ht="12.75">
      <c r="A10" s="217"/>
      <c r="B10" s="550"/>
      <c r="C10" s="436" t="s">
        <v>78</v>
      </c>
      <c r="D10" s="217"/>
      <c r="E10" s="468" t="s">
        <v>66</v>
      </c>
      <c r="F10" s="546" t="s">
        <v>400</v>
      </c>
      <c r="G10" s="551" t="s">
        <v>67</v>
      </c>
      <c r="H10" s="546" t="s">
        <v>84</v>
      </c>
      <c r="I10" s="546" t="s">
        <v>280</v>
      </c>
      <c r="J10" s="217" t="s">
        <v>79</v>
      </c>
      <c r="K10" s="468" t="s">
        <v>357</v>
      </c>
      <c r="L10" s="217"/>
      <c r="M10" s="217"/>
      <c r="N10" s="217"/>
      <c r="O10" s="217"/>
      <c r="P10" s="217"/>
      <c r="Q10" s="217"/>
      <c r="R10" s="217"/>
      <c r="S10" s="217"/>
      <c r="T10" s="217"/>
      <c r="U10" s="217"/>
      <c r="V10" s="468"/>
      <c r="W10" s="217"/>
      <c r="X10" s="656"/>
      <c r="Y10" s="656"/>
    </row>
    <row r="11" spans="1:25" s="170" customFormat="1" ht="12.75">
      <c r="A11" s="169"/>
      <c r="C11" s="437" t="s">
        <v>81</v>
      </c>
      <c r="D11" s="169" t="s">
        <v>62</v>
      </c>
      <c r="E11" s="170" t="s">
        <v>68</v>
      </c>
      <c r="F11" s="169" t="s">
        <v>520</v>
      </c>
      <c r="G11" s="170" t="s">
        <v>521</v>
      </c>
      <c r="H11" s="169" t="s">
        <v>280</v>
      </c>
      <c r="I11" s="169" t="s">
        <v>47</v>
      </c>
      <c r="J11" s="169" t="s">
        <v>85</v>
      </c>
      <c r="K11" s="170" t="s">
        <v>80</v>
      </c>
      <c r="L11" s="169" t="s">
        <v>806</v>
      </c>
      <c r="M11" s="169"/>
      <c r="N11" s="169" t="s">
        <v>628</v>
      </c>
      <c r="O11" s="169" t="s">
        <v>629</v>
      </c>
      <c r="P11" s="169" t="s">
        <v>631</v>
      </c>
      <c r="Q11" s="169"/>
      <c r="R11" s="169" t="s">
        <v>628</v>
      </c>
      <c r="S11" s="169" t="s">
        <v>631</v>
      </c>
      <c r="T11" s="169"/>
      <c r="U11" s="169"/>
      <c r="W11" s="169" t="s">
        <v>809</v>
      </c>
      <c r="X11" s="656"/>
      <c r="Y11" s="656"/>
    </row>
    <row r="12" spans="1:25" s="170" customFormat="1" ht="12.75">
      <c r="A12" s="169" t="s">
        <v>252</v>
      </c>
      <c r="B12" s="552" t="s">
        <v>69</v>
      </c>
      <c r="C12" s="437"/>
      <c r="D12" s="169" t="s">
        <v>353</v>
      </c>
      <c r="E12" s="170" t="s">
        <v>83</v>
      </c>
      <c r="F12" s="169" t="s">
        <v>402</v>
      </c>
      <c r="G12" s="170" t="s">
        <v>83</v>
      </c>
      <c r="H12" s="169" t="s">
        <v>80</v>
      </c>
      <c r="I12" s="169" t="s">
        <v>84</v>
      </c>
      <c r="J12" s="169"/>
      <c r="K12" s="170" t="s">
        <v>86</v>
      </c>
      <c r="L12" s="169" t="s">
        <v>807</v>
      </c>
      <c r="M12" s="169" t="s">
        <v>208</v>
      </c>
      <c r="N12" s="169" t="s">
        <v>208</v>
      </c>
      <c r="O12" s="169" t="s">
        <v>630</v>
      </c>
      <c r="P12" s="169" t="s">
        <v>208</v>
      </c>
      <c r="Q12" s="169" t="s">
        <v>209</v>
      </c>
      <c r="R12" s="169" t="s">
        <v>209</v>
      </c>
      <c r="S12" s="169" t="s">
        <v>209</v>
      </c>
      <c r="T12" s="169" t="s">
        <v>203</v>
      </c>
      <c r="U12" s="169" t="s">
        <v>291</v>
      </c>
      <c r="V12" s="170" t="s">
        <v>78</v>
      </c>
      <c r="W12" s="169" t="s">
        <v>810</v>
      </c>
      <c r="X12" s="656"/>
      <c r="Y12" s="656"/>
    </row>
    <row r="13" spans="1:25" s="226" customFormat="1" ht="13.5" thickBot="1">
      <c r="A13" s="219" t="s">
        <v>147</v>
      </c>
      <c r="B13" s="549" t="s">
        <v>237</v>
      </c>
      <c r="C13" s="220" t="s">
        <v>238</v>
      </c>
      <c r="D13" s="553" t="s">
        <v>239</v>
      </c>
      <c r="E13" s="220" t="s">
        <v>240</v>
      </c>
      <c r="F13" s="554" t="s">
        <v>241</v>
      </c>
      <c r="G13" s="220" t="s">
        <v>242</v>
      </c>
      <c r="H13" s="554" t="s">
        <v>243</v>
      </c>
      <c r="I13" s="220" t="s">
        <v>244</v>
      </c>
      <c r="J13" s="220" t="s">
        <v>245</v>
      </c>
      <c r="K13" s="220" t="s">
        <v>246</v>
      </c>
      <c r="L13" s="554" t="s">
        <v>247</v>
      </c>
      <c r="M13" s="220" t="s">
        <v>248</v>
      </c>
      <c r="N13" s="220" t="s">
        <v>249</v>
      </c>
      <c r="O13" s="220" t="s">
        <v>250</v>
      </c>
      <c r="P13" s="220" t="s">
        <v>251</v>
      </c>
      <c r="Q13" s="220" t="s">
        <v>148</v>
      </c>
      <c r="R13" s="220" t="s">
        <v>281</v>
      </c>
      <c r="S13" s="220" t="s">
        <v>292</v>
      </c>
      <c r="T13" s="220" t="s">
        <v>293</v>
      </c>
      <c r="U13" s="220" t="s">
        <v>509</v>
      </c>
      <c r="V13" s="220" t="s">
        <v>510</v>
      </c>
      <c r="W13" s="220" t="s">
        <v>511</v>
      </c>
      <c r="X13" s="657"/>
      <c r="Y13" s="657"/>
    </row>
    <row r="14" spans="3:25" s="226" customFormat="1" ht="12.75">
      <c r="C14" s="555"/>
      <c r="X14" s="657"/>
      <c r="Y14" s="657"/>
    </row>
    <row r="15" spans="24:25" s="289" customFormat="1" ht="12.75">
      <c r="X15" s="658"/>
      <c r="Y15" s="658"/>
    </row>
    <row r="16" spans="1:25" s="289" customFormat="1" ht="12.75">
      <c r="A16" s="195">
        <v>1</v>
      </c>
      <c r="B16" s="289" t="s">
        <v>48</v>
      </c>
      <c r="C16" s="556"/>
      <c r="D16" s="557"/>
      <c r="E16" s="557"/>
      <c r="F16" s="557"/>
      <c r="G16" s="558"/>
      <c r="H16" s="559"/>
      <c r="I16" s="558"/>
      <c r="J16" s="558"/>
      <c r="K16" s="558"/>
      <c r="L16" s="558"/>
      <c r="M16" s="558"/>
      <c r="N16" s="558"/>
      <c r="O16" s="558"/>
      <c r="P16" s="558"/>
      <c r="Q16" s="558"/>
      <c r="R16" s="558"/>
      <c r="S16" s="558"/>
      <c r="T16" s="558"/>
      <c r="U16" s="558"/>
      <c r="V16" s="558"/>
      <c r="X16" s="658"/>
      <c r="Y16" s="658"/>
    </row>
    <row r="17" spans="1:25" s="289" customFormat="1" ht="12.75">
      <c r="A17" s="195">
        <f t="shared" si="0" ref="A17:A31">A16+1</f>
        <v>2</v>
      </c>
      <c r="B17" s="597" t="s">
        <v>707</v>
      </c>
      <c r="C17" s="560">
        <v>22126156</v>
      </c>
      <c r="D17" s="561">
        <v>0</v>
      </c>
      <c r="E17" s="561">
        <f>SUM(C17:D17)</f>
        <v>22126156</v>
      </c>
      <c r="F17" s="561">
        <f>+G17-E17</f>
        <v>-7956856</v>
      </c>
      <c r="G17" s="562">
        <f>ROUND(+'II-E-3.19'!D15+'II-E-3.19'!D17,2)</f>
        <v>14169300</v>
      </c>
      <c r="H17" s="232">
        <v>1</v>
      </c>
      <c r="I17" s="562">
        <f>G17*H17</f>
        <v>14169300</v>
      </c>
      <c r="J17" s="563"/>
      <c r="K17" s="557" t="s">
        <v>798</v>
      </c>
      <c r="L17" s="195" t="s">
        <v>794</v>
      </c>
      <c r="M17" s="560">
        <f>ROUND(+$I17*'[5]II-F Alloc_Factor'!E$40,2)</f>
        <v>6577848.7800000003</v>
      </c>
      <c r="N17" s="560">
        <f>ROUND(+$I17*'[5]II-F Alloc_Factor'!F$40,2)</f>
        <v>0</v>
      </c>
      <c r="O17" s="560">
        <f>ROUND(+$I17*'[5]II-F Alloc_Factor'!G$40,2)</f>
        <v>8391.8999999999996</v>
      </c>
      <c r="P17" s="560">
        <f>SUM(M17:O17)</f>
        <v>6586240.6800000006</v>
      </c>
      <c r="Q17" s="560">
        <f>ROUND(+$I17*'[5]II-F Alloc_Factor'!I$40,2)</f>
        <v>7133574.9500000002</v>
      </c>
      <c r="R17" s="560">
        <f>ROUND(+$I17*'[5]II-F Alloc_Factor'!J$40,2)</f>
        <v>0</v>
      </c>
      <c r="S17" s="560">
        <f>SUM(Q17:R17)</f>
        <v>7133574.9500000002</v>
      </c>
      <c r="T17" s="560">
        <f>ROUND(+$I17*'[5]II-F Alloc_Factor'!L$40,2)</f>
        <v>242603.98999999999</v>
      </c>
      <c r="U17" s="560">
        <f>+I17-P17-S17-T17</f>
        <v>206880.37999999919</v>
      </c>
      <c r="V17" s="560">
        <f>+P17+S17+T17+U17</f>
        <v>14169300</v>
      </c>
      <c r="W17" s="564" t="s">
        <v>616</v>
      </c>
      <c r="X17" s="658" t="b">
        <f>+V17=I17</f>
        <v>1</v>
      </c>
      <c r="Y17" s="659">
        <f>+I17-V17</f>
        <v>0</v>
      </c>
    </row>
    <row r="18" spans="1:25" s="289" customFormat="1" ht="12.75">
      <c r="A18" s="195">
        <f t="shared" si="0"/>
        <v>3</v>
      </c>
      <c r="B18" s="597" t="s">
        <v>708</v>
      </c>
      <c r="C18" s="556">
        <v>0</v>
      </c>
      <c r="D18" s="10">
        <v>0</v>
      </c>
      <c r="E18" s="10">
        <f>SUM(C18:D18)</f>
        <v>0</v>
      </c>
      <c r="F18" s="557">
        <f>+G18-E18</f>
        <v>2064457</v>
      </c>
      <c r="G18" s="558">
        <f>+'II-E-3.19'!D16+'II-E-3.19'!D18</f>
        <v>2064457</v>
      </c>
      <c r="H18" s="232">
        <v>1</v>
      </c>
      <c r="I18" s="558">
        <f>+G18*H18</f>
        <v>2064457</v>
      </c>
      <c r="J18" s="563"/>
      <c r="K18" s="557" t="s">
        <v>799</v>
      </c>
      <c r="L18" s="195" t="s">
        <v>794</v>
      </c>
      <c r="M18" s="426">
        <f>ROUND(+$I18*'[5]II-F Alloc_Factor'!E$41,2)</f>
        <v>0</v>
      </c>
      <c r="N18" s="426">
        <f>ROUND(+$I18*'[5]II-F Alloc_Factor'!F$41,2)</f>
        <v>1908396.6699999999</v>
      </c>
      <c r="O18" s="426">
        <f>ROUND(+$I18*'[5]II-F Alloc_Factor'!G$41,2)</f>
        <v>0</v>
      </c>
      <c r="P18" s="557">
        <f>SUM(M18:O18)</f>
        <v>1908396.6699999999</v>
      </c>
      <c r="Q18" s="426">
        <f>ROUND(+$I18*'[5]II-F Alloc_Factor'!I$41,2)</f>
        <v>0</v>
      </c>
      <c r="R18" s="426">
        <f>ROUND(+$I18*'[5]II-F Alloc_Factor'!J$41,2)</f>
        <v>156060.32999999999</v>
      </c>
      <c r="S18" s="557">
        <f>SUM(Q18:R18)</f>
        <v>156060.32999999999</v>
      </c>
      <c r="T18" s="426">
        <f>ROUND(+$I18*'[5]II-F Alloc_Factor'!L$41,2)</f>
        <v>0</v>
      </c>
      <c r="U18" s="426">
        <f>ROUND(+$I18*'[5]II-F Alloc_Factor'!M$41,2)</f>
        <v>0</v>
      </c>
      <c r="V18" s="557">
        <f t="shared" si="1" ref="V18">+P18+S18+T18+U18</f>
        <v>2064457</v>
      </c>
      <c r="W18" s="564" t="s">
        <v>616</v>
      </c>
      <c r="X18" s="658" t="b">
        <f>+V18=I18</f>
        <v>1</v>
      </c>
      <c r="Y18" s="659">
        <f>+I18-V18</f>
        <v>0</v>
      </c>
    </row>
    <row r="19" spans="1:25" s="596" customFormat="1" ht="12.75">
      <c r="A19" s="195">
        <f t="shared" si="0"/>
        <v>4</v>
      </c>
      <c r="B19" s="12" t="s">
        <v>617</v>
      </c>
      <c r="C19" s="598">
        <f>SUM(C17:C18)</f>
        <v>22126156</v>
      </c>
      <c r="D19" s="598">
        <f t="shared" si="2" ref="D19:G19">SUM(D17:D18)</f>
        <v>0</v>
      </c>
      <c r="E19" s="598">
        <f t="shared" si="2"/>
        <v>22126156</v>
      </c>
      <c r="F19" s="598">
        <f t="shared" si="2"/>
        <v>-5892399</v>
      </c>
      <c r="G19" s="598">
        <f t="shared" si="2"/>
        <v>16233757</v>
      </c>
      <c r="H19" s="516"/>
      <c r="I19" s="598">
        <f>SUM(I17:I18)</f>
        <v>16233757</v>
      </c>
      <c r="J19" s="517"/>
      <c r="K19" s="517"/>
      <c r="L19" s="517"/>
      <c r="M19" s="598">
        <f>SUM(M17:M18)</f>
        <v>6577848.7800000003</v>
      </c>
      <c r="N19" s="598">
        <f t="shared" si="3" ref="N19:V19">SUM(N17:N18)</f>
        <v>1908396.6699999999</v>
      </c>
      <c r="O19" s="598">
        <f t="shared" si="3"/>
        <v>8391.8999999999996</v>
      </c>
      <c r="P19" s="598">
        <f t="shared" si="3"/>
        <v>8494637.3500000015</v>
      </c>
      <c r="Q19" s="598">
        <f t="shared" si="3"/>
        <v>7133574.9500000002</v>
      </c>
      <c r="R19" s="598">
        <f t="shared" si="3"/>
        <v>156060.32999999999</v>
      </c>
      <c r="S19" s="598">
        <f t="shared" si="3"/>
        <v>7289635.2800000003</v>
      </c>
      <c r="T19" s="598">
        <f t="shared" si="3"/>
        <v>242603.98999999999</v>
      </c>
      <c r="U19" s="598">
        <f t="shared" si="3"/>
        <v>206880.37999999919</v>
      </c>
      <c r="V19" s="598">
        <f t="shared" si="3"/>
        <v>16233757</v>
      </c>
      <c r="W19" s="13"/>
      <c r="X19" s="658" t="b">
        <f>+V19=I19</f>
        <v>1</v>
      </c>
      <c r="Y19" s="659">
        <f>+I19-V19</f>
        <v>0</v>
      </c>
    </row>
    <row r="20" spans="1:25" s="596" customFormat="1" ht="12.75">
      <c r="A20" s="195">
        <f t="shared" si="0"/>
        <v>5</v>
      </c>
      <c r="B20" s="353"/>
      <c r="C20" s="10"/>
      <c r="D20" s="2"/>
      <c r="E20" s="2"/>
      <c r="F20" s="2"/>
      <c r="G20" s="621"/>
      <c r="H20" s="1"/>
      <c r="I20" s="11"/>
      <c r="J20" s="11"/>
      <c r="K20" s="11"/>
      <c r="L20" s="2"/>
      <c r="M20" s="11"/>
      <c r="N20" s="11"/>
      <c r="O20" s="11"/>
      <c r="P20" s="11"/>
      <c r="Q20" s="11"/>
      <c r="R20" s="11"/>
      <c r="S20" s="11"/>
      <c r="T20" s="11"/>
      <c r="U20" s="11"/>
      <c r="V20" s="11"/>
      <c r="W20" s="13"/>
      <c r="X20" s="655"/>
      <c r="Y20" s="655"/>
    </row>
    <row r="21" spans="1:25" s="596" customFormat="1" ht="12.75">
      <c r="A21" s="195">
        <f t="shared" si="0"/>
        <v>6</v>
      </c>
      <c r="B21" s="355" t="s">
        <v>830</v>
      </c>
      <c r="C21" s="10"/>
      <c r="D21" s="2"/>
      <c r="E21" s="2"/>
      <c r="F21" s="2"/>
      <c r="G21" s="621"/>
      <c r="H21" s="1"/>
      <c r="I21" s="11"/>
      <c r="J21" s="11"/>
      <c r="K21" s="11"/>
      <c r="L21" s="2"/>
      <c r="M21" s="11"/>
      <c r="N21" s="11"/>
      <c r="O21" s="11"/>
      <c r="P21" s="11"/>
      <c r="Q21" s="11"/>
      <c r="R21" s="11"/>
      <c r="S21" s="11"/>
      <c r="T21" s="11"/>
      <c r="U21" s="11"/>
      <c r="V21" s="11"/>
      <c r="W21" s="13"/>
      <c r="X21" s="655"/>
      <c r="Y21" s="655"/>
    </row>
    <row r="22" spans="1:25" s="596" customFormat="1" ht="12.75">
      <c r="A22" s="195">
        <f t="shared" si="0"/>
        <v>7</v>
      </c>
      <c r="B22" s="599" t="s">
        <v>709</v>
      </c>
      <c r="C22" s="514">
        <v>30460925</v>
      </c>
      <c r="D22" s="514">
        <v>0</v>
      </c>
      <c r="E22" s="514">
        <f>SUM(C22:D22)</f>
        <v>30460925</v>
      </c>
      <c r="F22" s="514">
        <f t="shared" si="4" ref="F22:F27">+G22-E22</f>
        <v>6073985.200000003</v>
      </c>
      <c r="G22" s="514">
        <f>SUM('II-E-3.19'!D23:D31)</f>
        <v>36534910.200000003</v>
      </c>
      <c r="H22" s="237">
        <v>1</v>
      </c>
      <c r="I22" s="514">
        <f>G22*H22</f>
        <v>36534910.200000003</v>
      </c>
      <c r="J22" s="11"/>
      <c r="K22" s="557" t="s">
        <v>798</v>
      </c>
      <c r="L22" s="195" t="s">
        <v>794</v>
      </c>
      <c r="M22" s="560">
        <f>ROUND(+$I22*'[5]II-F Alloc_Factor'!E$40,2)</f>
        <v>16960690.690000001</v>
      </c>
      <c r="N22" s="560">
        <f>ROUND(+$I22*'[5]II-F Alloc_Factor'!F$40,2)</f>
        <v>0</v>
      </c>
      <c r="O22" s="560">
        <f>ROUND(+$I22*'[5]II-F Alloc_Factor'!G$40,2)</f>
        <v>21638.150000000001</v>
      </c>
      <c r="P22" s="560">
        <f>SUM(M22:O22)</f>
        <v>16982328.84</v>
      </c>
      <c r="Q22" s="560">
        <f>ROUND(+$I22*'[5]II-F Alloc_Factor'!I$40,2)</f>
        <v>18393605.899999999</v>
      </c>
      <c r="R22" s="560">
        <f>ROUND(+$I22*'[5]II-F Alloc_Factor'!J$40,2)</f>
        <v>0</v>
      </c>
      <c r="S22" s="560">
        <f>SUM(Q22:R22)</f>
        <v>18393605.899999999</v>
      </c>
      <c r="T22" s="560">
        <f>ROUND(+$I22*'[5]II-F Alloc_Factor'!L$40,2)</f>
        <v>625543.59999999998</v>
      </c>
      <c r="U22" s="560">
        <f>+I22-P22-S22-T22</f>
        <v>533431.86000000464</v>
      </c>
      <c r="V22" s="560">
        <f>+P22+S22+T22+U22</f>
        <v>36534910.200000003</v>
      </c>
      <c r="W22" s="353" t="str">
        <f>CONCATENATE('II-E-3.19'!$D$73," year SL")</f>
        <v>5 year SL</v>
      </c>
      <c r="X22" s="658" t="b">
        <f t="shared" si="5" ref="X22:X28">+V22=I22</f>
        <v>1</v>
      </c>
      <c r="Y22" s="659">
        <f t="shared" si="6" ref="Y22:Y28">+I22-V22</f>
        <v>0</v>
      </c>
    </row>
    <row r="23" spans="1:25" s="596" customFormat="1" ht="12.75">
      <c r="A23" s="195">
        <f t="shared" si="0"/>
        <v>8</v>
      </c>
      <c r="B23" s="599" t="s">
        <v>710</v>
      </c>
      <c r="C23" s="10">
        <v>-301205</v>
      </c>
      <c r="D23" s="10">
        <v>0</v>
      </c>
      <c r="E23" s="10">
        <f t="shared" si="7" ref="E23:E27">SUM(C23:D23)</f>
        <v>-301205</v>
      </c>
      <c r="F23" s="10">
        <f t="shared" si="4"/>
        <v>-5790.1999999893596</v>
      </c>
      <c r="G23" s="10">
        <f>SUM('II-E-3.19'!D36:D62)</f>
        <v>-306995.19999998936</v>
      </c>
      <c r="H23" s="237">
        <v>1</v>
      </c>
      <c r="I23" s="10">
        <f t="shared" si="8" ref="I23:I27">G23*H23</f>
        <v>-306995.19999998936</v>
      </c>
      <c r="J23" s="11"/>
      <c r="K23" s="558" t="s">
        <v>808</v>
      </c>
      <c r="L23" s="195" t="s">
        <v>794</v>
      </c>
      <c r="M23" s="10">
        <f>-ROUND(SUM('II-E-3.19'!H36:H62)/'II-E-3.19'!$D$73,2)</f>
        <v>-3690613.0299999998</v>
      </c>
      <c r="N23" s="10">
        <f>-ROUND(SUM('II-E-3.19'!I36:I62)/'II-E-3.19'!$D$73,2)</f>
        <v>0</v>
      </c>
      <c r="O23" s="10">
        <f>-ROUND(SUM('II-E-3.19'!J36:J62)/'II-E-3.19'!$D$73,2)</f>
        <v>0</v>
      </c>
      <c r="P23" s="10">
        <f>SUM(M23:O23)</f>
        <v>-3690613.0299999998</v>
      </c>
      <c r="Q23" s="10">
        <f>-ROUND(SUM('II-E-3.19'!L36:L62)/'II-E-3.19'!$D$73,2)</f>
        <v>2210654.1200000001</v>
      </c>
      <c r="R23" s="10">
        <f>-ROUND(SUM('II-E-3.19'!M36:M62)/'II-E-3.19'!$D$73,2)</f>
        <v>0</v>
      </c>
      <c r="S23" s="10">
        <f>SUM(Q23:R23)</f>
        <v>2210654.1200000001</v>
      </c>
      <c r="T23" s="10">
        <f>-ROUND(SUM('II-E-3.19'!O36:O62)/'II-E-3.19'!$D$73,2)</f>
        <v>1923989.5</v>
      </c>
      <c r="U23" s="10">
        <f>+I23-P23-S23-T23</f>
        <v>-751025.78999998979</v>
      </c>
      <c r="V23" s="10">
        <f>+P23+S23+T23+U23</f>
        <v>-306995.19999998948</v>
      </c>
      <c r="W23" s="353" t="str">
        <f>CONCATENATE('II-E-3.19'!$D$73," year SL")</f>
        <v>5 year SL</v>
      </c>
      <c r="X23" s="658" t="b">
        <f t="shared" si="5"/>
        <v>1</v>
      </c>
      <c r="Y23" s="659">
        <f t="shared" si="6"/>
        <v>0</v>
      </c>
    </row>
    <row r="24" spans="1:25" s="596" customFormat="1" ht="12.75">
      <c r="A24" s="195">
        <f t="shared" si="0"/>
        <v>9</v>
      </c>
      <c r="B24" s="599" t="s">
        <v>711</v>
      </c>
      <c r="C24" s="10">
        <v>0</v>
      </c>
      <c r="D24" s="10">
        <v>0</v>
      </c>
      <c r="E24" s="10">
        <f t="shared" si="7"/>
        <v>0</v>
      </c>
      <c r="F24" s="10">
        <f t="shared" si="4"/>
        <v>-3330883.3999999999</v>
      </c>
      <c r="G24" s="10">
        <f>+'II-E-3.19'!D67</f>
        <v>-3330883.3999999999</v>
      </c>
      <c r="H24" s="237">
        <v>1</v>
      </c>
      <c r="I24" s="10">
        <f t="shared" si="8"/>
        <v>-3330883.3999999999</v>
      </c>
      <c r="J24" s="11"/>
      <c r="K24" s="557" t="s">
        <v>798</v>
      </c>
      <c r="L24" s="195" t="s">
        <v>794</v>
      </c>
      <c r="M24" s="556">
        <f>ROUND(+$I24*'[5]II-F Alloc_Factor'!E$40,2)</f>
        <v>-1546304.1399999999</v>
      </c>
      <c r="N24" s="556">
        <f>ROUND(+$I24*'[5]II-F Alloc_Factor'!F$40,2)</f>
        <v>0</v>
      </c>
      <c r="O24" s="556">
        <f>ROUND(+$I24*'[5]II-F Alloc_Factor'!G$40,2)</f>
        <v>-1972.75</v>
      </c>
      <c r="P24" s="556">
        <f>SUM(M24:O24)</f>
        <v>-1548276.8899999999</v>
      </c>
      <c r="Q24" s="556">
        <f>ROUND(+$I24*'[5]II-F Alloc_Factor'!I$40,2)</f>
        <v>-1676942.8500000001</v>
      </c>
      <c r="R24" s="556">
        <f>ROUND(+$I24*'[5]II-F Alloc_Factor'!J$40,2)</f>
        <v>0</v>
      </c>
      <c r="S24" s="556">
        <f>SUM(Q24:R24)</f>
        <v>-1676942.8500000001</v>
      </c>
      <c r="T24" s="556">
        <f>ROUND(+$I24*'[5]II-F Alloc_Factor'!L$40,2)</f>
        <v>-57030.739999999998</v>
      </c>
      <c r="U24" s="10">
        <f>+I24-P24-S24-T24</f>
        <v>-48632.919999999918</v>
      </c>
      <c r="V24" s="556">
        <f>+P24+S24+T24+U24</f>
        <v>-3330883.4000000004</v>
      </c>
      <c r="W24" s="353" t="str">
        <f>CONCATENATE('II-E-3.19'!$D$73," year SL")</f>
        <v>5 year SL</v>
      </c>
      <c r="X24" s="658" t="b">
        <f t="shared" si="5"/>
        <v>1</v>
      </c>
      <c r="Y24" s="659">
        <f t="shared" si="6"/>
        <v>0</v>
      </c>
    </row>
    <row r="25" spans="1:25" s="596" customFormat="1" ht="12.75">
      <c r="A25" s="195">
        <f t="shared" si="0"/>
        <v>10</v>
      </c>
      <c r="B25" s="599" t="s">
        <v>712</v>
      </c>
      <c r="C25" s="10">
        <v>0</v>
      </c>
      <c r="D25" s="10">
        <v>0</v>
      </c>
      <c r="E25" s="10">
        <f t="shared" si="7"/>
        <v>0</v>
      </c>
      <c r="F25" s="10">
        <f t="shared" si="4"/>
        <v>36641.400000000001</v>
      </c>
      <c r="G25" s="10">
        <f>+'II-E-3.19'!D32+'II-E-3.19'!D33</f>
        <v>36641.400000000001</v>
      </c>
      <c r="H25" s="237">
        <v>1</v>
      </c>
      <c r="I25" s="10">
        <f t="shared" si="8"/>
        <v>36641.400000000001</v>
      </c>
      <c r="J25" s="11"/>
      <c r="K25" s="557" t="s">
        <v>799</v>
      </c>
      <c r="L25" s="195" t="s">
        <v>794</v>
      </c>
      <c r="M25" s="426">
        <f>ROUND(+$I25*'[5]II-F Alloc_Factor'!E$41,2)</f>
        <v>0</v>
      </c>
      <c r="N25" s="426">
        <f>ROUND(+$I25*'[5]II-F Alloc_Factor'!F$41,2)</f>
        <v>33871.529999999999</v>
      </c>
      <c r="O25" s="426">
        <f>ROUND(+$I25*'[5]II-F Alloc_Factor'!G$41,2)</f>
        <v>0</v>
      </c>
      <c r="P25" s="557">
        <f>SUM(M25:O25)</f>
        <v>33871.529999999999</v>
      </c>
      <c r="Q25" s="426">
        <f>ROUND(+$I25*'[5]II-F Alloc_Factor'!I$41,2)</f>
        <v>0</v>
      </c>
      <c r="R25" s="426">
        <f>ROUND(+$I25*'[5]II-F Alloc_Factor'!J$41,2)</f>
        <v>2769.8699999999999</v>
      </c>
      <c r="S25" s="557">
        <f>SUM(Q25:R25)</f>
        <v>2769.8699999999999</v>
      </c>
      <c r="T25" s="426">
        <f>ROUND(+$I25*'[5]II-F Alloc_Factor'!L$41,2)</f>
        <v>0</v>
      </c>
      <c r="U25" s="426">
        <f>ROUND(+$I25*'[5]II-F Alloc_Factor'!M$41,2)</f>
        <v>0</v>
      </c>
      <c r="V25" s="557">
        <f t="shared" si="9" ref="V25">+P25+S25+T25+U25</f>
        <v>36641.400000000001</v>
      </c>
      <c r="W25" s="353" t="str">
        <f>CONCATENATE('II-E-3.19'!$D$73," year SL")</f>
        <v>5 year SL</v>
      </c>
      <c r="X25" s="658" t="b">
        <f t="shared" si="5"/>
        <v>1</v>
      </c>
      <c r="Y25" s="659">
        <f t="shared" si="6"/>
        <v>0</v>
      </c>
    </row>
    <row r="26" spans="1:25" s="596" customFormat="1" ht="12.75">
      <c r="A26" s="195">
        <f t="shared" si="0"/>
        <v>11</v>
      </c>
      <c r="B26" s="599" t="s">
        <v>713</v>
      </c>
      <c r="C26" s="10">
        <v>0</v>
      </c>
      <c r="D26" s="10">
        <v>0</v>
      </c>
      <c r="E26" s="10">
        <f t="shared" si="7"/>
        <v>0</v>
      </c>
      <c r="F26" s="10">
        <f t="shared" si="4"/>
        <v>-174749.60000000001</v>
      </c>
      <c r="G26" s="10">
        <f>+'II-E-3.19'!D63+'II-E-3.19'!D64</f>
        <v>-174749.60000000001</v>
      </c>
      <c r="H26" s="237">
        <v>1</v>
      </c>
      <c r="I26" s="10">
        <f t="shared" si="8"/>
        <v>-174749.60000000001</v>
      </c>
      <c r="J26" s="11"/>
      <c r="K26" s="558" t="s">
        <v>808</v>
      </c>
      <c r="L26" s="195" t="s">
        <v>794</v>
      </c>
      <c r="M26" s="10">
        <f>-ROUND(SUM('II-E-3.19'!H63:H64)/'II-E-3.19'!$D$73,2)</f>
        <v>0</v>
      </c>
      <c r="N26" s="10">
        <f>-ROUND(SUM('II-E-3.19'!I63:I64)/'II-E-3.19'!$D$73,2)</f>
        <v>-161539.60000000001</v>
      </c>
      <c r="O26" s="10">
        <f>-ROUND(SUM('II-E-3.19'!J63:J64)/'II-E-3.19'!$D$73,2)</f>
        <v>0</v>
      </c>
      <c r="P26" s="10">
        <f t="shared" si="10" ref="P26">SUM(M26:O26)</f>
        <v>-161539.60000000001</v>
      </c>
      <c r="Q26" s="10">
        <f>-ROUND(SUM('II-E-3.19'!L63:L64)/'II-E-3.19'!$D$73,2)</f>
        <v>0</v>
      </c>
      <c r="R26" s="10">
        <f>-ROUND(SUM('II-E-3.19'!M63:M64)/'II-E-3.19'!$D$73,2)</f>
        <v>-13210</v>
      </c>
      <c r="S26" s="10">
        <f t="shared" si="11" ref="S26">SUM(Q26:R26)</f>
        <v>-13210</v>
      </c>
      <c r="T26" s="10">
        <f>-ROUND(SUM('II-E-3.19'!O63:O64)/'II-E-3.19'!$D$73,2)</f>
        <v>0</v>
      </c>
      <c r="U26" s="10">
        <f>+I26-P26-S26-T26</f>
        <v>0</v>
      </c>
      <c r="V26" s="558">
        <f t="shared" si="12" ref="V26:V27">+P26+S26+T26+U26</f>
        <v>-174749.60000000001</v>
      </c>
      <c r="W26" s="353" t="str">
        <f>CONCATENATE('II-E-3.19'!$D$73," year SL")</f>
        <v>5 year SL</v>
      </c>
      <c r="X26" s="658" t="b">
        <f t="shared" si="5"/>
        <v>1</v>
      </c>
      <c r="Y26" s="659">
        <f t="shared" si="6"/>
        <v>0</v>
      </c>
    </row>
    <row r="27" spans="1:25" s="596" customFormat="1" ht="12.75">
      <c r="A27" s="195">
        <f t="shared" si="0"/>
        <v>12</v>
      </c>
      <c r="B27" s="599" t="s">
        <v>714</v>
      </c>
      <c r="C27" s="10">
        <v>0</v>
      </c>
      <c r="D27" s="10">
        <v>0</v>
      </c>
      <c r="E27" s="10">
        <f t="shared" si="7"/>
        <v>0</v>
      </c>
      <c r="F27" s="10">
        <f t="shared" si="4"/>
        <v>1721954.8000000001</v>
      </c>
      <c r="G27" s="10">
        <f>+'II-E-3.19'!D68</f>
        <v>1721954.8000000001</v>
      </c>
      <c r="H27" s="237">
        <v>1</v>
      </c>
      <c r="I27" s="10">
        <f t="shared" si="8"/>
        <v>1721954.8000000001</v>
      </c>
      <c r="J27" s="11"/>
      <c r="K27" s="557" t="s">
        <v>799</v>
      </c>
      <c r="L27" s="195" t="s">
        <v>794</v>
      </c>
      <c r="M27" s="426">
        <f>ROUND(+$I27*'[5]II-F Alloc_Factor'!E$41,2)</f>
        <v>0</v>
      </c>
      <c r="N27" s="426">
        <f>ROUND(+$I27*'[5]II-F Alloc_Factor'!F$41,2)</f>
        <v>1591785.54</v>
      </c>
      <c r="O27" s="426">
        <f>ROUND(+$I27*'[5]II-F Alloc_Factor'!G$41,2)</f>
        <v>0</v>
      </c>
      <c r="P27" s="557">
        <f>SUM(M27:O27)</f>
        <v>1591785.54</v>
      </c>
      <c r="Q27" s="426">
        <f>ROUND(+$I27*'[5]II-F Alloc_Factor'!I$41,2)</f>
        <v>0</v>
      </c>
      <c r="R27" s="426">
        <f>ROUND(+$I27*'[5]II-F Alloc_Factor'!J$41,2)</f>
        <v>130169.26</v>
      </c>
      <c r="S27" s="557">
        <f>SUM(Q27:R27)</f>
        <v>130169.26</v>
      </c>
      <c r="T27" s="426">
        <f>ROUND(+$I27*'[5]II-F Alloc_Factor'!L$41,2)</f>
        <v>0</v>
      </c>
      <c r="U27" s="426">
        <f>ROUND(+$I27*'[5]II-F Alloc_Factor'!M$41,2)</f>
        <v>0</v>
      </c>
      <c r="V27" s="557">
        <f t="shared" si="12"/>
        <v>1721954.8000000001</v>
      </c>
      <c r="W27" s="353" t="str">
        <f>CONCATENATE('II-E-3.19'!$D$73," year SL")</f>
        <v>5 year SL</v>
      </c>
      <c r="X27" s="658" t="b">
        <f t="shared" si="5"/>
        <v>1</v>
      </c>
      <c r="Y27" s="659">
        <f t="shared" si="6"/>
        <v>0</v>
      </c>
    </row>
    <row r="28" spans="1:25" s="596" customFormat="1" ht="12.75">
      <c r="A28" s="195">
        <f t="shared" si="0"/>
        <v>13</v>
      </c>
      <c r="B28" s="12" t="s">
        <v>831</v>
      </c>
      <c r="C28" s="598">
        <f>SUM(C22:C27)</f>
        <v>30159720</v>
      </c>
      <c r="D28" s="598">
        <f t="shared" si="13" ref="D28:G28">SUM(D22:D27)</f>
        <v>0</v>
      </c>
      <c r="E28" s="598">
        <f t="shared" si="13"/>
        <v>30159720</v>
      </c>
      <c r="F28" s="598">
        <f t="shared" si="13"/>
        <v>4321158.2000000142</v>
      </c>
      <c r="G28" s="598">
        <f t="shared" si="13"/>
        <v>34480878.20000001</v>
      </c>
      <c r="H28" s="516"/>
      <c r="I28" s="598">
        <f>SUM(I22:I27)</f>
        <v>34480878.20000001</v>
      </c>
      <c r="J28" s="517"/>
      <c r="K28" s="517"/>
      <c r="L28" s="517"/>
      <c r="M28" s="598">
        <f>SUM(M22:M27)</f>
        <v>11723773.520000001</v>
      </c>
      <c r="N28" s="598">
        <f t="shared" si="14" ref="N28:V28">SUM(N22:N27)</f>
        <v>1464117.47</v>
      </c>
      <c r="O28" s="598">
        <f t="shared" si="14"/>
        <v>19665.400000000001</v>
      </c>
      <c r="P28" s="598">
        <f t="shared" si="14"/>
        <v>13207556.390000001</v>
      </c>
      <c r="Q28" s="598">
        <f t="shared" si="14"/>
        <v>18927317.169999998</v>
      </c>
      <c r="R28" s="598">
        <f t="shared" si="14"/>
        <v>119729.12999999999</v>
      </c>
      <c r="S28" s="598">
        <f t="shared" si="14"/>
        <v>19047046.300000001</v>
      </c>
      <c r="T28" s="598">
        <f t="shared" si="14"/>
        <v>2492502.3599999999</v>
      </c>
      <c r="U28" s="598">
        <f t="shared" si="14"/>
        <v>-266226.84999998508</v>
      </c>
      <c r="V28" s="598">
        <f t="shared" si="14"/>
        <v>34480878.20000001</v>
      </c>
      <c r="X28" s="658" t="b">
        <f t="shared" si="5"/>
        <v>1</v>
      </c>
      <c r="Y28" s="659">
        <f t="shared" si="6"/>
        <v>0</v>
      </c>
    </row>
    <row r="29" spans="1:25" s="596" customFormat="1" ht="12.75">
      <c r="A29" s="195">
        <f t="shared" si="0"/>
        <v>14</v>
      </c>
      <c r="B29" s="355"/>
      <c r="C29" s="353"/>
      <c r="D29" s="353"/>
      <c r="E29" s="353"/>
      <c r="F29" s="353"/>
      <c r="G29" s="622"/>
      <c r="H29" s="1"/>
      <c r="L29" s="353"/>
      <c r="X29" s="655"/>
      <c r="Y29" s="655"/>
    </row>
    <row r="30" spans="1:25" s="596" customFormat="1" ht="12.75">
      <c r="A30" s="195">
        <f t="shared" si="0"/>
        <v>15</v>
      </c>
      <c r="B30" s="355"/>
      <c r="G30" s="622"/>
      <c r="X30" s="655"/>
      <c r="Y30" s="655"/>
    </row>
    <row r="31" spans="1:25" s="596" customFormat="1" ht="13.5" thickBot="1">
      <c r="A31" s="195">
        <f t="shared" si="0"/>
        <v>16</v>
      </c>
      <c r="B31" s="600" t="s">
        <v>715</v>
      </c>
      <c r="C31" s="515">
        <f>+C19+C28</f>
        <v>52285876</v>
      </c>
      <c r="D31" s="515">
        <f t="shared" si="15" ref="D31:I31">+D19+D28</f>
        <v>0</v>
      </c>
      <c r="E31" s="515">
        <f t="shared" si="15"/>
        <v>52285876</v>
      </c>
      <c r="F31" s="515">
        <f t="shared" si="15"/>
        <v>-1571240.7999999858</v>
      </c>
      <c r="G31" s="515">
        <f t="shared" si="15"/>
        <v>50714635.20000001</v>
      </c>
      <c r="H31" s="14"/>
      <c r="I31" s="515">
        <f t="shared" si="15"/>
        <v>50714635.20000001</v>
      </c>
      <c r="J31" s="746"/>
      <c r="K31" s="467"/>
      <c r="L31" s="467"/>
      <c r="M31" s="515">
        <f t="shared" si="16" ref="M31:V31">+M19+M28</f>
        <v>18301622.300000001</v>
      </c>
      <c r="N31" s="515">
        <f t="shared" si="16"/>
        <v>3372514.1399999997</v>
      </c>
      <c r="O31" s="515">
        <f t="shared" si="16"/>
        <v>28057.300000000003</v>
      </c>
      <c r="P31" s="515">
        <f t="shared" si="16"/>
        <v>21702193.740000002</v>
      </c>
      <c r="Q31" s="515">
        <f t="shared" si="16"/>
        <v>26060892.119999997</v>
      </c>
      <c r="R31" s="515">
        <f t="shared" si="16"/>
        <v>275789.45999999996</v>
      </c>
      <c r="S31" s="515">
        <f t="shared" si="16"/>
        <v>26336681.580000002</v>
      </c>
      <c r="T31" s="515">
        <f t="shared" si="16"/>
        <v>2735106.3499999996</v>
      </c>
      <c r="U31" s="515">
        <f t="shared" si="16"/>
        <v>-59346.469999985886</v>
      </c>
      <c r="V31" s="515">
        <f t="shared" si="16"/>
        <v>50714635.20000001</v>
      </c>
      <c r="X31" s="658" t="b">
        <f>+V31=I31</f>
        <v>1</v>
      </c>
      <c r="Y31" s="655"/>
    </row>
    <row r="32" ht="13.5" thickTop="1"/>
    <row r="34" spans="8:22" ht="12.75">
      <c r="H34" s="602" t="s">
        <v>232</v>
      </c>
      <c r="I34" s="601">
        <f>+'II-E-3'!I22+'II-E-3'!I23+'II-E-3'!I24</f>
        <v>50714635.519999996</v>
      </c>
      <c r="M34" s="601">
        <f>+'II-E-3'!N22+'II-E-3'!N23+'II-E-3'!N24</f>
        <v>18301622.300000001</v>
      </c>
      <c r="N34" s="601">
        <f>+'II-E-3'!O22+'II-E-3'!O23+'II-E-3'!O24</f>
        <v>3372514.1399999997</v>
      </c>
      <c r="O34" s="601">
        <f>+'II-E-3'!P22+'II-E-3'!P23+'II-E-3'!P24</f>
        <v>28057.300000000003</v>
      </c>
      <c r="P34" s="601">
        <f>+'II-E-3'!Q22+'II-E-3'!Q23+'II-E-3'!Q24</f>
        <v>21702193.740000002</v>
      </c>
      <c r="Q34" s="601">
        <f>+'II-E-3'!R22+'II-E-3'!R23+'II-E-3'!R24</f>
        <v>26060892.119999997</v>
      </c>
      <c r="R34" s="601">
        <f>+'II-E-3'!S22+'II-E-3'!S23+'II-E-3'!S24</f>
        <v>275789.45999999996</v>
      </c>
      <c r="S34" s="601">
        <f>+'II-E-3'!T22+'II-E-3'!T23+'II-E-3'!T24</f>
        <v>26336681.580000002</v>
      </c>
      <c r="T34" s="601">
        <f>+'II-E-3'!U22+'II-E-3'!U23+'II-E-3'!U24</f>
        <v>2735106.3499999996</v>
      </c>
      <c r="U34" s="601">
        <f>+'II-E-3'!V22+'II-E-3'!V23+'II-E-3'!V24</f>
        <v>-59346.149999984649</v>
      </c>
      <c r="V34" s="601">
        <f>+'II-E-3'!W22+'II-E-3'!W23+'II-E-3'!W24</f>
        <v>50714635.520000018</v>
      </c>
    </row>
    <row r="35" spans="9:22" ht="12.75">
      <c r="I35" s="601">
        <f>+I34-I31</f>
        <v>0.31999998539686203</v>
      </c>
      <c r="M35" s="601">
        <f t="shared" si="17" ref="M35:V35">+M34-M31</f>
        <v>0</v>
      </c>
      <c r="N35" s="601">
        <f t="shared" si="17"/>
        <v>0</v>
      </c>
      <c r="O35" s="601">
        <f t="shared" si="17"/>
        <v>0</v>
      </c>
      <c r="P35" s="601">
        <f t="shared" si="17"/>
        <v>0</v>
      </c>
      <c r="Q35" s="601">
        <f t="shared" si="17"/>
        <v>0</v>
      </c>
      <c r="R35" s="601">
        <f t="shared" si="17"/>
        <v>0</v>
      </c>
      <c r="S35" s="601">
        <f t="shared" si="17"/>
        <v>0</v>
      </c>
      <c r="T35" s="601">
        <f t="shared" si="17"/>
        <v>0</v>
      </c>
      <c r="U35" s="601">
        <f t="shared" si="17"/>
        <v>0.32000000123662176</v>
      </c>
      <c r="V35" s="601">
        <f t="shared" si="17"/>
        <v>0.32000000774860382</v>
      </c>
    </row>
    <row r="36" spans="7:7" ht="12.75">
      <c r="G36" s="622"/>
    </row>
    <row r="37" spans="7:22" ht="12.75">
      <c r="G37" s="622"/>
      <c r="H37" s="602" t="s">
        <v>1116</v>
      </c>
      <c r="I37" s="601">
        <f>+'II-E-3.19'!D75</f>
        <v>50714635.20000001</v>
      </c>
      <c r="M37" s="601"/>
      <c r="N37" s="601"/>
      <c r="O37" s="601"/>
      <c r="P37" s="601"/>
      <c r="Q37" s="601"/>
      <c r="R37" s="601"/>
      <c r="S37" s="601"/>
      <c r="T37" s="601"/>
      <c r="U37" s="601"/>
      <c r="V37" s="601"/>
    </row>
    <row r="38" spans="7:22" ht="12.75">
      <c r="G38" s="622"/>
      <c r="H38" s="745"/>
      <c r="I38" s="601">
        <f>+I37-I31</f>
        <v>0</v>
      </c>
      <c r="M38" s="560">
        <v>6577848.7800000003</v>
      </c>
      <c r="N38" s="560">
        <v>0</v>
      </c>
      <c r="O38" s="560">
        <v>8391.8999999999996</v>
      </c>
      <c r="P38" s="560">
        <v>6586240.6800000006</v>
      </c>
      <c r="Q38" s="560">
        <v>7133574.9500000002</v>
      </c>
      <c r="R38" s="560">
        <v>0</v>
      </c>
      <c r="S38" s="560">
        <v>7133574.9500000002</v>
      </c>
      <c r="T38" s="560">
        <v>242603.98999999999</v>
      </c>
      <c r="U38" s="560">
        <v>206880.37999999919</v>
      </c>
      <c r="V38" s="560">
        <v>14169300</v>
      </c>
    </row>
    <row r="39" spans="13:22" ht="12.75">
      <c r="M39" s="426">
        <v>0</v>
      </c>
      <c r="N39" s="426">
        <v>1908396.6699999999</v>
      </c>
      <c r="O39" s="426">
        <v>0</v>
      </c>
      <c r="P39" s="557">
        <v>1908396.6699999999</v>
      </c>
      <c r="Q39" s="426">
        <v>0</v>
      </c>
      <c r="R39" s="426">
        <v>156060.32999999999</v>
      </c>
      <c r="S39" s="557">
        <v>156060.32999999999</v>
      </c>
      <c r="T39" s="426">
        <v>0</v>
      </c>
      <c r="U39" s="426">
        <v>0</v>
      </c>
      <c r="V39" s="557">
        <v>2064457</v>
      </c>
    </row>
    <row r="40" spans="13:22" ht="12.75">
      <c r="M40" s="598">
        <v>6577848.7800000003</v>
      </c>
      <c r="N40" s="598">
        <v>1908396.6699999999</v>
      </c>
      <c r="O40" s="598">
        <v>8391.8999999999996</v>
      </c>
      <c r="P40" s="598">
        <v>8494637.3500000015</v>
      </c>
      <c r="Q40" s="598">
        <v>7133574.9500000002</v>
      </c>
      <c r="R40" s="598">
        <v>156060.32999999999</v>
      </c>
      <c r="S40" s="598">
        <v>7289635.2800000003</v>
      </c>
      <c r="T40" s="598">
        <v>242603.98999999999</v>
      </c>
      <c r="U40" s="598">
        <v>206880.37999999919</v>
      </c>
      <c r="V40" s="598">
        <v>16233757</v>
      </c>
    </row>
    <row r="41" spans="13:22" ht="12.75">
      <c r="M41" s="11"/>
      <c r="N41" s="11"/>
      <c r="O41" s="11"/>
      <c r="P41" s="11"/>
      <c r="Q41" s="11"/>
      <c r="R41" s="11"/>
      <c r="S41" s="11"/>
      <c r="T41" s="11"/>
      <c r="U41" s="11"/>
      <c r="V41" s="11"/>
    </row>
    <row r="42" spans="13:22" ht="12.75">
      <c r="M42" s="11"/>
      <c r="N42" s="11"/>
      <c r="O42" s="11"/>
      <c r="P42" s="11"/>
      <c r="Q42" s="11"/>
      <c r="R42" s="11"/>
      <c r="S42" s="11"/>
      <c r="T42" s="11"/>
      <c r="U42" s="11"/>
      <c r="V42" s="11"/>
    </row>
    <row r="43" spans="13:22" ht="12.75">
      <c r="M43" s="560">
        <v>21200863.359999999</v>
      </c>
      <c r="N43" s="560">
        <v>0</v>
      </c>
      <c r="O43" s="560">
        <v>27047.689999999999</v>
      </c>
      <c r="P43" s="560">
        <v>21227911.050000001</v>
      </c>
      <c r="Q43" s="560">
        <v>22992007.379999999</v>
      </c>
      <c r="R43" s="560">
        <v>0</v>
      </c>
      <c r="S43" s="560">
        <v>22992007.379999999</v>
      </c>
      <c r="T43" s="560">
        <v>781929.5</v>
      </c>
      <c r="U43" s="560">
        <v>666789.8200000003</v>
      </c>
      <c r="V43" s="560">
        <v>45668637.75</v>
      </c>
    </row>
    <row r="44" spans="13:22" ht="12.75">
      <c r="M44" s="10">
        <v>-4613260.6399999997</v>
      </c>
      <c r="N44" s="10">
        <v>0</v>
      </c>
      <c r="O44" s="10">
        <v>0</v>
      </c>
      <c r="P44" s="10">
        <v>-4613260.6399999997</v>
      </c>
      <c r="Q44" s="10">
        <v>2763315.4300000002</v>
      </c>
      <c r="R44" s="10">
        <v>0</v>
      </c>
      <c r="S44" s="10">
        <v>2763315.4300000002</v>
      </c>
      <c r="T44" s="10">
        <v>2404983.4199999999</v>
      </c>
      <c r="U44" s="10">
        <v>-938782.21000000043</v>
      </c>
      <c r="V44" s="10">
        <v>-383744</v>
      </c>
    </row>
    <row r="45" spans="13:22" ht="12.75">
      <c r="M45" s="556">
        <v>-1932880.1799999999</v>
      </c>
      <c r="N45" s="556">
        <v>0</v>
      </c>
      <c r="O45" s="556">
        <v>-2465.9299999999998</v>
      </c>
      <c r="P45" s="556">
        <v>-1935346.1099999999</v>
      </c>
      <c r="Q45" s="556">
        <v>-2096178.5700000001</v>
      </c>
      <c r="R45" s="556">
        <v>0</v>
      </c>
      <c r="S45" s="556">
        <v>-2096178.5700000001</v>
      </c>
      <c r="T45" s="556">
        <v>-71288.419999999998</v>
      </c>
      <c r="U45" s="10">
        <v>-60791.150000000067</v>
      </c>
      <c r="V45" s="556">
        <v>-4163604.2499999995</v>
      </c>
    </row>
    <row r="46" spans="13:22" ht="12.75">
      <c r="M46" s="426">
        <v>0</v>
      </c>
      <c r="N46" s="426">
        <v>42339.419999999998</v>
      </c>
      <c r="O46" s="426">
        <v>0</v>
      </c>
      <c r="P46" s="557">
        <v>42339.419999999998</v>
      </c>
      <c r="Q46" s="426">
        <v>0</v>
      </c>
      <c r="R46" s="426">
        <v>3462.3299999999999</v>
      </c>
      <c r="S46" s="557">
        <v>3462.3299999999999</v>
      </c>
      <c r="T46" s="426">
        <v>0</v>
      </c>
      <c r="U46" s="426">
        <v>0</v>
      </c>
      <c r="V46" s="557">
        <v>45801.75</v>
      </c>
    </row>
    <row r="47" spans="13:22" ht="12.75">
      <c r="M47" s="10">
        <v>0</v>
      </c>
      <c r="N47" s="10">
        <v>-201924.5</v>
      </c>
      <c r="O47" s="10">
        <v>0</v>
      </c>
      <c r="P47" s="10">
        <v>-201924.5</v>
      </c>
      <c r="Q47" s="10">
        <v>0</v>
      </c>
      <c r="R47" s="10">
        <v>-16512.5</v>
      </c>
      <c r="S47" s="10">
        <v>-16512.5</v>
      </c>
      <c r="T47" s="10">
        <v>0</v>
      </c>
      <c r="U47" s="10">
        <v>0</v>
      </c>
      <c r="V47" s="558">
        <v>-218437</v>
      </c>
    </row>
    <row r="48" spans="13:22" ht="12.75">
      <c r="M48" s="426">
        <v>0</v>
      </c>
      <c r="N48" s="426">
        <v>1989731.9299999999</v>
      </c>
      <c r="O48" s="426">
        <v>0</v>
      </c>
      <c r="P48" s="557">
        <v>1989731.9299999999</v>
      </c>
      <c r="Q48" s="426">
        <v>0</v>
      </c>
      <c r="R48" s="426">
        <v>162711.57000000001</v>
      </c>
      <c r="S48" s="557">
        <v>162711.57000000001</v>
      </c>
      <c r="T48" s="426">
        <v>0</v>
      </c>
      <c r="U48" s="426">
        <v>0</v>
      </c>
      <c r="V48" s="557">
        <v>2152443.5</v>
      </c>
    </row>
    <row r="49" spans="13:22" ht="12.75">
      <c r="M49" s="598">
        <v>14654722.539999999</v>
      </c>
      <c r="N49" s="598">
        <v>1830146.8499999999</v>
      </c>
      <c r="O49" s="598">
        <v>24581.759999999998</v>
      </c>
      <c r="P49" s="598">
        <v>16509451.15</v>
      </c>
      <c r="Q49" s="598">
        <v>23659144.239999998</v>
      </c>
      <c r="R49" s="598">
        <v>149661.39999999999</v>
      </c>
      <c r="S49" s="598">
        <v>23808805.639999997</v>
      </c>
      <c r="T49" s="598">
        <v>3115624.5</v>
      </c>
      <c r="U49" s="598">
        <v>-332783.54000000021</v>
      </c>
      <c r="V49" s="598">
        <v>43101097.75</v>
      </c>
    </row>
    <row r="50" spans="13:22" ht="12.75">
      <c r="M50" s="818"/>
      <c r="N50" s="818"/>
      <c r="O50" s="818"/>
      <c r="P50" s="818"/>
      <c r="Q50" s="818"/>
      <c r="R50" s="818"/>
      <c r="S50" s="818"/>
      <c r="T50" s="818"/>
      <c r="U50" s="818"/>
      <c r="V50" s="818"/>
    </row>
    <row r="51" spans="13:22" ht="12.75">
      <c r="M51" s="818"/>
      <c r="N51" s="818"/>
      <c r="O51" s="818"/>
      <c r="P51" s="818"/>
      <c r="Q51" s="818"/>
      <c r="R51" s="818"/>
      <c r="S51" s="818"/>
      <c r="T51" s="818"/>
      <c r="U51" s="818"/>
      <c r="V51" s="818"/>
    </row>
    <row r="52" spans="13:22" ht="13.5" thickBot="1">
      <c r="M52" s="515">
        <v>21232571.32</v>
      </c>
      <c r="N52" s="515">
        <v>3738543.5199999996</v>
      </c>
      <c r="O52" s="515">
        <v>32973.659999999996</v>
      </c>
      <c r="P52" s="515">
        <v>25004088.5</v>
      </c>
      <c r="Q52" s="515">
        <v>30792719.189999998</v>
      </c>
      <c r="R52" s="515">
        <v>305721.72999999998</v>
      </c>
      <c r="S52" s="515">
        <v>31098440.919999998</v>
      </c>
      <c r="T52" s="515">
        <v>3358228.4900000002</v>
      </c>
      <c r="U52" s="515">
        <v>-125903.16000000102</v>
      </c>
      <c r="V52" s="515">
        <v>59334854.75</v>
      </c>
    </row>
    <row r="53" ht="13.5" thickTop="1"/>
    <row r="55" spans="13:22" ht="12.75">
      <c r="M55" s="560">
        <f>+M38-M17</f>
        <v>0</v>
      </c>
      <c r="N55" s="560">
        <f t="shared" si="18" ref="N55:V55">+N38-N17</f>
        <v>0</v>
      </c>
      <c r="O55" s="560">
        <f t="shared" si="18"/>
        <v>0</v>
      </c>
      <c r="P55" s="560">
        <f t="shared" si="18"/>
        <v>0</v>
      </c>
      <c r="Q55" s="560">
        <f t="shared" si="18"/>
        <v>0</v>
      </c>
      <c r="R55" s="560">
        <f t="shared" si="18"/>
        <v>0</v>
      </c>
      <c r="S55" s="560">
        <f t="shared" si="18"/>
        <v>0</v>
      </c>
      <c r="T55" s="560">
        <f t="shared" si="18"/>
        <v>0</v>
      </c>
      <c r="U55" s="560">
        <f t="shared" si="18"/>
        <v>0</v>
      </c>
      <c r="V55" s="560">
        <f t="shared" si="18"/>
        <v>0</v>
      </c>
    </row>
    <row r="56" spans="13:22" ht="12.75">
      <c r="M56" s="426">
        <f t="shared" si="19" ref="M56:M57">+M39-M18</f>
        <v>0</v>
      </c>
      <c r="N56" s="426">
        <f t="shared" si="20" ref="N56:V56">+N39-N18</f>
        <v>0</v>
      </c>
      <c r="O56" s="426">
        <f t="shared" si="20"/>
        <v>0</v>
      </c>
      <c r="P56" s="426">
        <f t="shared" si="20"/>
        <v>0</v>
      </c>
      <c r="Q56" s="426">
        <f t="shared" si="20"/>
        <v>0</v>
      </c>
      <c r="R56" s="426">
        <f t="shared" si="20"/>
        <v>0</v>
      </c>
      <c r="S56" s="426">
        <f t="shared" si="20"/>
        <v>0</v>
      </c>
      <c r="T56" s="426">
        <f t="shared" si="20"/>
        <v>0</v>
      </c>
      <c r="U56" s="426">
        <f t="shared" si="20"/>
        <v>0</v>
      </c>
      <c r="V56" s="426">
        <f t="shared" si="20"/>
        <v>0</v>
      </c>
    </row>
    <row r="57" spans="13:22" ht="12.75">
      <c r="M57" s="598">
        <f t="shared" si="19"/>
        <v>0</v>
      </c>
      <c r="N57" s="598">
        <f t="shared" si="21" ref="N57:V57">+N40-N19</f>
        <v>0</v>
      </c>
      <c r="O57" s="598">
        <f t="shared" si="21"/>
        <v>0</v>
      </c>
      <c r="P57" s="598">
        <f t="shared" si="21"/>
        <v>0</v>
      </c>
      <c r="Q57" s="598">
        <f t="shared" si="21"/>
        <v>0</v>
      </c>
      <c r="R57" s="598">
        <f t="shared" si="21"/>
        <v>0</v>
      </c>
      <c r="S57" s="598">
        <f t="shared" si="21"/>
        <v>0</v>
      </c>
      <c r="T57" s="598">
        <f t="shared" si="21"/>
        <v>0</v>
      </c>
      <c r="U57" s="598">
        <f t="shared" si="21"/>
        <v>0</v>
      </c>
      <c r="V57" s="598">
        <f t="shared" si="21"/>
        <v>0</v>
      </c>
    </row>
    <row r="58" spans="13:22" ht="12.75">
      <c r="M58" s="11"/>
      <c r="N58" s="11"/>
      <c r="O58" s="11"/>
      <c r="P58" s="11"/>
      <c r="Q58" s="11"/>
      <c r="R58" s="11"/>
      <c r="S58" s="11"/>
      <c r="T58" s="11"/>
      <c r="U58" s="11"/>
      <c r="V58" s="11"/>
    </row>
    <row r="59" spans="13:22" ht="12.75">
      <c r="M59" s="11"/>
      <c r="N59" s="11"/>
      <c r="O59" s="11"/>
      <c r="P59" s="11"/>
      <c r="Q59" s="11"/>
      <c r="R59" s="11"/>
      <c r="S59" s="11"/>
      <c r="T59" s="11"/>
      <c r="U59" s="11"/>
      <c r="V59" s="11"/>
    </row>
    <row r="60" spans="13:22" ht="12.75">
      <c r="M60" s="560">
        <f t="shared" si="22" ref="M60:V66">+M43-M22</f>
        <v>4240172.6699999981</v>
      </c>
      <c r="N60" s="560">
        <f t="shared" si="22"/>
        <v>0</v>
      </c>
      <c r="O60" s="560">
        <f t="shared" si="22"/>
        <v>5409.5399999999972</v>
      </c>
      <c r="P60" s="560">
        <f t="shared" si="22"/>
        <v>4245582.2100000009</v>
      </c>
      <c r="Q60" s="560">
        <f t="shared" si="22"/>
        <v>4598401.4800000004</v>
      </c>
      <c r="R60" s="560">
        <f t="shared" si="22"/>
        <v>0</v>
      </c>
      <c r="S60" s="560">
        <f t="shared" si="22"/>
        <v>4598401.4800000004</v>
      </c>
      <c r="T60" s="560">
        <f t="shared" si="22"/>
        <v>156385.90000000002</v>
      </c>
      <c r="U60" s="560">
        <f t="shared" si="22"/>
        <v>133357.95999999566</v>
      </c>
      <c r="V60" s="560">
        <f t="shared" si="22"/>
        <v>9133727.549999997</v>
      </c>
    </row>
    <row r="61" spans="13:22" ht="12.75">
      <c r="M61" s="10">
        <f t="shared" si="22"/>
        <v>-922647.60999999987</v>
      </c>
      <c r="N61" s="10">
        <f t="shared" si="22"/>
        <v>0</v>
      </c>
      <c r="O61" s="10">
        <f t="shared" si="22"/>
        <v>0</v>
      </c>
      <c r="P61" s="10">
        <f t="shared" si="22"/>
        <v>-922647.60999999987</v>
      </c>
      <c r="Q61" s="10">
        <f t="shared" si="22"/>
        <v>552661.31000000006</v>
      </c>
      <c r="R61" s="10">
        <f t="shared" si="22"/>
        <v>0</v>
      </c>
      <c r="S61" s="10">
        <f t="shared" si="22"/>
        <v>552661.31000000006</v>
      </c>
      <c r="T61" s="10">
        <f t="shared" si="22"/>
        <v>480993.91999999993</v>
      </c>
      <c r="U61" s="10">
        <f t="shared" si="22"/>
        <v>-187756.42000001064</v>
      </c>
      <c r="V61" s="10">
        <f t="shared" si="22"/>
        <v>-76748.800000010524</v>
      </c>
    </row>
    <row r="62" spans="13:22" ht="12.75">
      <c r="M62" s="556">
        <f t="shared" si="22"/>
        <v>-386576.04000000004</v>
      </c>
      <c r="N62" s="556">
        <f t="shared" si="22"/>
        <v>0</v>
      </c>
      <c r="O62" s="556">
        <f t="shared" si="22"/>
        <v>-493.17999999999984</v>
      </c>
      <c r="P62" s="556">
        <f t="shared" si="22"/>
        <v>-387069.21999999997</v>
      </c>
      <c r="Q62" s="556">
        <f t="shared" si="22"/>
        <v>-419235.71999999997</v>
      </c>
      <c r="R62" s="556">
        <f t="shared" si="22"/>
        <v>0</v>
      </c>
      <c r="S62" s="556">
        <f t="shared" si="22"/>
        <v>-419235.71999999997</v>
      </c>
      <c r="T62" s="556">
        <f t="shared" si="22"/>
        <v>-14257.68</v>
      </c>
      <c r="U62" s="10">
        <f t="shared" si="22"/>
        <v>-12158.230000000149</v>
      </c>
      <c r="V62" s="556">
        <f t="shared" si="22"/>
        <v>-832720.84999999916</v>
      </c>
    </row>
    <row r="63" spans="13:22" ht="12.75">
      <c r="M63" s="426">
        <f t="shared" si="22"/>
        <v>0</v>
      </c>
      <c r="N63" s="426">
        <f t="shared" si="22"/>
        <v>8467.8899999999994</v>
      </c>
      <c r="O63" s="426">
        <f t="shared" si="22"/>
        <v>0</v>
      </c>
      <c r="P63" s="557">
        <f t="shared" si="22"/>
        <v>8467.8899999999994</v>
      </c>
      <c r="Q63" s="426">
        <f t="shared" si="22"/>
        <v>0</v>
      </c>
      <c r="R63" s="426">
        <f t="shared" si="22"/>
        <v>692.46000000000004</v>
      </c>
      <c r="S63" s="557">
        <f t="shared" si="22"/>
        <v>692.46000000000004</v>
      </c>
      <c r="T63" s="426">
        <f t="shared" si="22"/>
        <v>0</v>
      </c>
      <c r="U63" s="426">
        <f t="shared" si="22"/>
        <v>0</v>
      </c>
      <c r="V63" s="557">
        <f t="shared" si="22"/>
        <v>9160.3499999999985</v>
      </c>
    </row>
    <row r="64" spans="13:22" ht="12.75">
      <c r="M64" s="10">
        <f t="shared" si="22"/>
        <v>0</v>
      </c>
      <c r="N64" s="10">
        <f t="shared" si="22"/>
        <v>-40384.899999999994</v>
      </c>
      <c r="O64" s="10">
        <f t="shared" si="22"/>
        <v>0</v>
      </c>
      <c r="P64" s="10">
        <f t="shared" si="22"/>
        <v>-40384.899999999994</v>
      </c>
      <c r="Q64" s="10">
        <f t="shared" si="22"/>
        <v>0</v>
      </c>
      <c r="R64" s="10">
        <f t="shared" si="22"/>
        <v>-3302.5</v>
      </c>
      <c r="S64" s="10">
        <f t="shared" si="22"/>
        <v>-3302.5</v>
      </c>
      <c r="T64" s="10">
        <f t="shared" si="22"/>
        <v>0</v>
      </c>
      <c r="U64" s="10">
        <f t="shared" si="22"/>
        <v>0</v>
      </c>
      <c r="V64" s="558">
        <f t="shared" si="22"/>
        <v>-43687.399999999994</v>
      </c>
    </row>
    <row r="65" spans="13:22" ht="12.75">
      <c r="M65" s="426">
        <f t="shared" si="22"/>
        <v>0</v>
      </c>
      <c r="N65" s="426">
        <f t="shared" si="22"/>
        <v>397946.3899999999</v>
      </c>
      <c r="O65" s="426">
        <f t="shared" si="22"/>
        <v>0</v>
      </c>
      <c r="P65" s="557">
        <f t="shared" si="22"/>
        <v>397946.3899999999</v>
      </c>
      <c r="Q65" s="426">
        <f t="shared" si="22"/>
        <v>0</v>
      </c>
      <c r="R65" s="426">
        <f t="shared" si="22"/>
        <v>32542.310000000012</v>
      </c>
      <c r="S65" s="557">
        <f t="shared" si="22"/>
        <v>32542.310000000012</v>
      </c>
      <c r="T65" s="426">
        <f t="shared" si="22"/>
        <v>0</v>
      </c>
      <c r="U65" s="426">
        <f t="shared" si="22"/>
        <v>0</v>
      </c>
      <c r="V65" s="557">
        <f t="shared" si="22"/>
        <v>430488.69999999995</v>
      </c>
    </row>
    <row r="66" spans="13:22" ht="12.75">
      <c r="M66" s="598">
        <f t="shared" si="22"/>
        <v>2930949.0199999977</v>
      </c>
      <c r="N66" s="598">
        <f t="shared" si="22"/>
        <v>366029.37999999989</v>
      </c>
      <c r="O66" s="598">
        <f t="shared" si="22"/>
        <v>4916.3599999999969</v>
      </c>
      <c r="P66" s="598">
        <f t="shared" si="22"/>
        <v>3301894.7599999998</v>
      </c>
      <c r="Q66" s="598">
        <f t="shared" si="22"/>
        <v>4731827.0700000003</v>
      </c>
      <c r="R66" s="598">
        <f t="shared" si="22"/>
        <v>29932.270000000004</v>
      </c>
      <c r="S66" s="598">
        <f t="shared" si="22"/>
        <v>4761759.3399999961</v>
      </c>
      <c r="T66" s="598">
        <f t="shared" si="22"/>
        <v>623122.14000000013</v>
      </c>
      <c r="U66" s="598">
        <f t="shared" si="22"/>
        <v>-66556.690000015136</v>
      </c>
      <c r="V66" s="598">
        <f t="shared" si="22"/>
        <v>8620219.5499999896</v>
      </c>
    </row>
    <row r="67" spans="13:22" ht="12.75">
      <c r="M67" s="818"/>
      <c r="N67" s="818"/>
      <c r="O67" s="818"/>
      <c r="P67" s="818"/>
      <c r="Q67" s="818"/>
      <c r="R67" s="818"/>
      <c r="S67" s="818"/>
      <c r="T67" s="818"/>
      <c r="U67" s="818"/>
      <c r="V67" s="818"/>
    </row>
    <row r="68" spans="13:22" ht="12.75">
      <c r="M68" s="818"/>
      <c r="N68" s="818"/>
      <c r="O68" s="818"/>
      <c r="P68" s="818"/>
      <c r="Q68" s="818"/>
      <c r="R68" s="818"/>
      <c r="S68" s="818"/>
      <c r="T68" s="818"/>
      <c r="U68" s="818"/>
      <c r="V68" s="818"/>
    </row>
    <row r="69" spans="13:22" ht="13.5" thickBot="1">
      <c r="M69" s="515">
        <f>+M52-M31</f>
        <v>2930949.0199999996</v>
      </c>
      <c r="N69" s="515">
        <f t="shared" si="23" ref="N69:V69">+N52-N31</f>
        <v>366029.37999999989</v>
      </c>
      <c r="O69" s="515">
        <f t="shared" si="23"/>
        <v>4916.3599999999933</v>
      </c>
      <c r="P69" s="515">
        <f t="shared" si="23"/>
        <v>3301894.7599999979</v>
      </c>
      <c r="Q69" s="515">
        <f t="shared" si="23"/>
        <v>4731827.0700000003</v>
      </c>
      <c r="R69" s="515">
        <f t="shared" si="23"/>
        <v>29932.270000000019</v>
      </c>
      <c r="S69" s="515">
        <f t="shared" si="23"/>
        <v>4761759.3399999961</v>
      </c>
      <c r="T69" s="515">
        <f t="shared" si="23"/>
        <v>623122.1400000006</v>
      </c>
      <c r="U69" s="515">
        <f t="shared" si="23"/>
        <v>-66556.690000015136</v>
      </c>
      <c r="V69" s="515">
        <f t="shared" si="23"/>
        <v>8620219.5499999896</v>
      </c>
    </row>
    <row r="70" ht="13.5" thickTop="1"/>
  </sheetData>
  <printOptions horizontalCentered="1"/>
  <pageMargins left="0.5" right="0.5" top="3" bottom="0.5" header="1.5" footer="0.5"/>
  <pageSetup fitToHeight="0" fitToWidth="2" orientation="landscape" pageOrder="overThenDown" scale="62" r:id="rId1"/>
  <headerFooter alignWithMargins="0">
    <oddHeader>&amp;C&amp;B
2022 RATE CASE
ONCOR ELECTRIC DELIVERY COMPANY LLC
II-E-3.18  AMORTIZATION OF PROTECTED AND UNPROTECTED EXCESS DEFERRED TAXES
TEST YEAR ENDING DECEMBER 31, 2021
SPONSOR: B. L. CLUTTER&amp;R&amp;"Arial,Bold"Schedule &amp;A
Page &amp;P of &amp;N</oddHeader>
  </headerFooter>
  <colBreaks count="1" manualBreakCount="1">
    <brk id="9" min="7" max="31" man="1"/>
  </colBreak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08">
    <tabColor rgb="FFFF0000"/>
  </sheetPr>
  <dimension ref="A1:T82"/>
  <sheetViews>
    <sheetView zoomScale="80" zoomScaleNormal="80" workbookViewId="0" topLeftCell="A1">
      <pane xSplit="3" ySplit="11" topLeftCell="D12" activePane="bottomRight" state="frozen"/>
      <selection pane="topLeft" activeCell="U22" sqref="U22:V24"/>
      <selection pane="bottomLeft" activeCell="U22" sqref="U22:V24"/>
      <selection pane="topRight" activeCell="U22" sqref="U22:V24"/>
      <selection pane="bottomRight" activeCell="D12" sqref="D12"/>
    </sheetView>
  </sheetViews>
  <sheetFormatPr defaultColWidth="9.14428571428571" defaultRowHeight="12.75"/>
  <cols>
    <col min="1" max="1" width="5" style="148" customWidth="1"/>
    <col min="2" max="2" width="9.57142857142857" style="148" customWidth="1"/>
    <col min="3" max="3" width="45.1428571428571" style="148" customWidth="1"/>
    <col min="4" max="4" width="15.4285714285714" style="197" bestFit="1" customWidth="1"/>
    <col min="5" max="5" width="18.8571428571429" style="197" bestFit="1" customWidth="1"/>
    <col min="6" max="6" width="17.4285714285714" style="353" customWidth="1"/>
    <col min="7" max="7" width="11.4285714285714" style="148" bestFit="1" customWidth="1"/>
    <col min="8" max="8" width="15.4285714285714" style="148" bestFit="1" customWidth="1"/>
    <col min="9" max="9" width="14.2857142857143" style="352" bestFit="1" customWidth="1"/>
    <col min="10" max="10" width="11.4285714285714" style="352" bestFit="1" customWidth="1"/>
    <col min="11" max="11" width="15.2857142857143" style="352" bestFit="1" customWidth="1"/>
    <col min="12" max="12" width="15.2857142857143" style="148" customWidth="1"/>
    <col min="13" max="13" width="13" style="352" bestFit="1" customWidth="1"/>
    <col min="14" max="14" width="15.2857142857143" style="352" bestFit="1" customWidth="1"/>
    <col min="15" max="16" width="14.2857142857143" style="148" bestFit="1" customWidth="1"/>
    <col min="17" max="17" width="17" style="148" bestFit="1" customWidth="1"/>
    <col min="18" max="18" width="9.28571428571429" style="263" bestFit="1" customWidth="1"/>
    <col min="19" max="19" width="8.28571428571429" style="263" bestFit="1" customWidth="1"/>
    <col min="20"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Sponsors'!$A$104,'[3]Schedule Sponsors'!$B$104)</f>
        <v>II-E-3.19  ANALYSIS OF EXCESS DEFERRED TAXES BY TIMING DIFFERENCE</v>
      </c>
    </row>
    <row r="4" spans="1:1" ht="12.75">
      <c r="A4" s="192" t="str">
        <f>+'[3]Input Data'!$A$4</f>
        <v>TEST YEAR ENDING DECEMBER 31, 2021</v>
      </c>
    </row>
    <row r="5" spans="1:6" ht="12.75">
      <c r="A5" s="190" t="str">
        <f>CONCATENATE("SPONSOR: ",'[3]Schedule Sponsors'!$D$106)</f>
        <v>SPONSOR: B. L. CLUTTER</v>
      </c>
      <c r="F5" s="557"/>
    </row>
    <row r="6" spans="6:6" ht="12.75">
      <c r="F6" s="557"/>
    </row>
    <row r="9" ht="13.5" thickBot="1"/>
    <row r="10" spans="1:19" s="547" customFormat="1" ht="38.25">
      <c r="A10" s="546" t="s">
        <v>376</v>
      </c>
      <c r="B10" s="546" t="s">
        <v>372</v>
      </c>
      <c r="C10" s="546" t="s">
        <v>69</v>
      </c>
      <c r="D10" s="546" t="s">
        <v>375</v>
      </c>
      <c r="E10" s="546" t="s">
        <v>373</v>
      </c>
      <c r="F10" s="546" t="s">
        <v>1289</v>
      </c>
      <c r="G10" s="546" t="s">
        <v>374</v>
      </c>
      <c r="H10" s="546" t="s">
        <v>208</v>
      </c>
      <c r="I10" s="546" t="s">
        <v>633</v>
      </c>
      <c r="J10" s="546" t="s">
        <v>634</v>
      </c>
      <c r="K10" s="546" t="s">
        <v>635</v>
      </c>
      <c r="L10" s="546" t="s">
        <v>209</v>
      </c>
      <c r="M10" s="546" t="s">
        <v>636</v>
      </c>
      <c r="N10" s="546" t="s">
        <v>637</v>
      </c>
      <c r="O10" s="546" t="s">
        <v>203</v>
      </c>
      <c r="P10" s="546" t="s">
        <v>291</v>
      </c>
      <c r="Q10" s="546" t="s">
        <v>78</v>
      </c>
      <c r="R10" s="617"/>
      <c r="S10" s="617"/>
    </row>
    <row r="11" spans="1:19" s="195" customFormat="1" ht="13.5" thickBot="1">
      <c r="A11" s="220"/>
      <c r="B11" s="220" t="s">
        <v>237</v>
      </c>
      <c r="C11" s="220" t="s">
        <v>238</v>
      </c>
      <c r="D11" s="220" t="s">
        <v>240</v>
      </c>
      <c r="E11" s="220" t="s">
        <v>241</v>
      </c>
      <c r="F11" s="220" t="s">
        <v>242</v>
      </c>
      <c r="G11" s="220" t="s">
        <v>243</v>
      </c>
      <c r="H11" s="220" t="s">
        <v>244</v>
      </c>
      <c r="I11" s="220" t="s">
        <v>638</v>
      </c>
      <c r="J11" s="220" t="s">
        <v>246</v>
      </c>
      <c r="K11" s="220" t="s">
        <v>247</v>
      </c>
      <c r="L11" s="220" t="s">
        <v>248</v>
      </c>
      <c r="M11" s="220" t="s">
        <v>249</v>
      </c>
      <c r="N11" s="220" t="s">
        <v>250</v>
      </c>
      <c r="O11" s="220" t="s">
        <v>251</v>
      </c>
      <c r="P11" s="220" t="s">
        <v>281</v>
      </c>
      <c r="Q11" s="220" t="s">
        <v>292</v>
      </c>
      <c r="R11" s="618"/>
      <c r="S11" s="618"/>
    </row>
    <row r="12" spans="6:19" s="197" customFormat="1" ht="12.75">
      <c r="F12" s="195"/>
      <c r="R12" s="202"/>
      <c r="S12" s="202"/>
    </row>
    <row r="13" spans="1:19" s="197" customFormat="1" ht="12.75">
      <c r="A13" s="195">
        <v>1</v>
      </c>
      <c r="B13" s="614" t="s">
        <v>48</v>
      </c>
      <c r="D13" s="556"/>
      <c r="E13" s="557"/>
      <c r="F13" s="557"/>
      <c r="G13" s="485"/>
      <c r="H13" s="485"/>
      <c r="I13" s="485"/>
      <c r="J13" s="485"/>
      <c r="K13" s="485"/>
      <c r="L13" s="485"/>
      <c r="M13" s="485"/>
      <c r="N13" s="485"/>
      <c r="O13" s="485"/>
      <c r="P13" s="485"/>
      <c r="Q13" s="485"/>
      <c r="R13" s="202"/>
      <c r="S13" s="202"/>
    </row>
    <row r="14" spans="1:19" s="197" customFormat="1" ht="12.75">
      <c r="A14" s="195">
        <f>+A13+1</f>
        <v>2</v>
      </c>
      <c r="C14" s="606"/>
      <c r="D14" s="556"/>
      <c r="E14" s="557"/>
      <c r="F14" s="557"/>
      <c r="G14" s="485"/>
      <c r="H14" s="485"/>
      <c r="I14" s="485"/>
      <c r="J14" s="485"/>
      <c r="K14" s="485"/>
      <c r="L14" s="485"/>
      <c r="M14" s="485"/>
      <c r="N14" s="485"/>
      <c r="O14" s="485"/>
      <c r="P14" s="485"/>
      <c r="Q14" s="485"/>
      <c r="R14" s="202"/>
      <c r="S14" s="202"/>
    </row>
    <row r="15" spans="1:19" s="197" customFormat="1" ht="12.75">
      <c r="A15" s="195">
        <f t="shared" si="0" ref="A15:A75">+A14+1</f>
        <v>3</v>
      </c>
      <c r="B15" s="195">
        <v>254</v>
      </c>
      <c r="C15" s="337" t="s">
        <v>776</v>
      </c>
      <c r="D15" s="747">
        <v>16902061</v>
      </c>
      <c r="E15" s="561">
        <v>-937108747</v>
      </c>
      <c r="F15" s="557" t="s">
        <v>798</v>
      </c>
      <c r="G15" s="195" t="s">
        <v>794</v>
      </c>
      <c r="H15" s="560">
        <f>ROUND(+$E15*'[5]II-F Alloc_Factor'!E$40,2)</f>
        <v>-435036284.76999998</v>
      </c>
      <c r="I15" s="560">
        <f>ROUND(+$E15*'[5]II-F Alloc_Factor'!F$40,2)</f>
        <v>0</v>
      </c>
      <c r="J15" s="560">
        <f>ROUND(+$E15*'[5]II-F Alloc_Factor'!G$40,2)</f>
        <v>-555011.60999999999</v>
      </c>
      <c r="K15" s="560">
        <f>SUM(H15:J15)</f>
        <v>-435591296.38</v>
      </c>
      <c r="L15" s="560">
        <f>ROUND(+$E15*'[5]II-F Alloc_Factor'!I$40,2)</f>
        <v>-471790101.24000001</v>
      </c>
      <c r="M15" s="560">
        <f>ROUND(+$E15*'[5]II-F Alloc_Factor'!J$40,2)</f>
        <v>0</v>
      </c>
      <c r="N15" s="560">
        <f>SUM(L15:M15)</f>
        <v>-471790101.24000001</v>
      </c>
      <c r="O15" s="560">
        <f>ROUND(+$E15*'[5]II-F Alloc_Factor'!L$40,2)</f>
        <v>-16044993.029999999</v>
      </c>
      <c r="P15" s="560">
        <f>ROUND(+$E15*'[5]II-F Alloc_Factor'!M$40,2)</f>
        <v>-13682356.35</v>
      </c>
      <c r="Q15" s="560">
        <f>+K15+N15+O15+P15</f>
        <v>-937108747</v>
      </c>
      <c r="R15" s="202" t="b">
        <f>+E15=Q15</f>
        <v>1</v>
      </c>
      <c r="S15" s="688">
        <f>+E15-Q15</f>
        <v>0</v>
      </c>
    </row>
    <row r="16" spans="1:19" s="197" customFormat="1" ht="12.75">
      <c r="A16" s="195">
        <f t="shared" si="0"/>
        <v>4</v>
      </c>
      <c r="B16" s="195">
        <v>254</v>
      </c>
      <c r="C16" s="337" t="s">
        <v>777</v>
      </c>
      <c r="D16" s="611">
        <v>2187851</v>
      </c>
      <c r="E16" s="611">
        <v>-49031358</v>
      </c>
      <c r="F16" s="557" t="s">
        <v>799</v>
      </c>
      <c r="G16" s="195" t="s">
        <v>794</v>
      </c>
      <c r="H16" s="426">
        <f>ROUND(+$E16*'[5]II-F Alloc_Factor'!E$41,2)</f>
        <v>0</v>
      </c>
      <c r="I16" s="426">
        <f>ROUND(+$E16*'[5]II-F Alloc_Factor'!F$41,2)</f>
        <v>-45324887.039999999</v>
      </c>
      <c r="J16" s="426">
        <f>ROUND(+$E16*'[5]II-F Alloc_Factor'!G$41,2)</f>
        <v>0</v>
      </c>
      <c r="K16" s="557">
        <f>SUM(H16:J16)</f>
        <v>-45324887.039999999</v>
      </c>
      <c r="L16" s="426">
        <f>ROUND(+$E16*'[5]II-F Alloc_Factor'!I$41,2)</f>
        <v>0</v>
      </c>
      <c r="M16" s="426">
        <f>ROUND(+$E16*'[5]II-F Alloc_Factor'!J$41,2)</f>
        <v>-3706470.96</v>
      </c>
      <c r="N16" s="557">
        <f>SUM(L16:M16)</f>
        <v>-3706470.96</v>
      </c>
      <c r="O16" s="426">
        <f>ROUND(+$E16*'[5]II-F Alloc_Factor'!L$41,2)</f>
        <v>0</v>
      </c>
      <c r="P16" s="426">
        <f>ROUND(+$E16*'[5]II-F Alloc_Factor'!M$41,2)</f>
        <v>0</v>
      </c>
      <c r="Q16" s="557">
        <f t="shared" si="1" ref="Q16">+K16+N16+O16+P16</f>
        <v>-49031358</v>
      </c>
      <c r="R16" s="202" t="b">
        <f t="shared" si="2" ref="R16:R19">+E16=Q16</f>
        <v>1</v>
      </c>
      <c r="S16" s="688">
        <f>+E16-Q16</f>
        <v>0</v>
      </c>
    </row>
    <row r="17" spans="1:19" s="197" customFormat="1" ht="12.75">
      <c r="A17" s="195">
        <f t="shared" si="0"/>
        <v>5</v>
      </c>
      <c r="B17" s="195">
        <v>254</v>
      </c>
      <c r="C17" s="337" t="s">
        <v>778</v>
      </c>
      <c r="D17" s="611">
        <v>-2732761</v>
      </c>
      <c r="E17" s="611">
        <v>18572015</v>
      </c>
      <c r="F17" s="557" t="s">
        <v>798</v>
      </c>
      <c r="G17" s="195" t="s">
        <v>794</v>
      </c>
      <c r="H17" s="556">
        <f>ROUND(+$E17*'[5]II-F Alloc_Factor'!E$40,2)</f>
        <v>8621731.9299999997</v>
      </c>
      <c r="I17" s="556">
        <f>ROUND(+$E17*'[5]II-F Alloc_Factor'!F$40,2)</f>
        <v>0</v>
      </c>
      <c r="J17" s="556">
        <f>ROUND(+$E17*'[5]II-F Alloc_Factor'!G$40,2)</f>
        <v>10999.450000000001</v>
      </c>
      <c r="K17" s="556">
        <f>SUM(H17:J17)</f>
        <v>8632731.379999999</v>
      </c>
      <c r="L17" s="556">
        <f>ROUND(+$E17*'[5]II-F Alloc_Factor'!I$40,2)</f>
        <v>9350134.5099999998</v>
      </c>
      <c r="M17" s="556">
        <f>ROUND(+$E17*'[5]II-F Alloc_Factor'!J$40,2)</f>
        <v>0</v>
      </c>
      <c r="N17" s="556">
        <f>SUM(L17:M17)</f>
        <v>9350134.5099999998</v>
      </c>
      <c r="O17" s="556">
        <f>ROUND(+$E17*'[5]II-F Alloc_Factor'!L$40,2)</f>
        <v>317986.41999999998</v>
      </c>
      <c r="P17" s="556">
        <f>ROUND(+$E17*'[5]II-F Alloc_Factor'!M$40,2)</f>
        <v>271162.69</v>
      </c>
      <c r="Q17" s="556">
        <f>+K17+N17+O17+P17</f>
        <v>18572015.000000004</v>
      </c>
      <c r="R17" s="202" t="b">
        <f t="shared" si="2"/>
        <v>1</v>
      </c>
      <c r="S17" s="688">
        <f>+E17-Q17</f>
        <v>0</v>
      </c>
    </row>
    <row r="18" spans="1:19" s="197" customFormat="1" ht="12.75">
      <c r="A18" s="195">
        <f t="shared" si="0"/>
        <v>6</v>
      </c>
      <c r="B18" s="195">
        <v>254</v>
      </c>
      <c r="C18" s="337" t="s">
        <v>779</v>
      </c>
      <c r="D18" s="611">
        <v>-123394</v>
      </c>
      <c r="E18" s="611">
        <v>1171713</v>
      </c>
      <c r="F18" s="557" t="s">
        <v>799</v>
      </c>
      <c r="G18" s="226" t="s">
        <v>794</v>
      </c>
      <c r="H18" s="426">
        <f>ROUND(+$E18*'[5]II-F Alloc_Factor'!E$41,2)</f>
        <v>0</v>
      </c>
      <c r="I18" s="426">
        <f>ROUND(+$E18*'[5]II-F Alloc_Factor'!F$41,2)</f>
        <v>1083138.6599999999</v>
      </c>
      <c r="J18" s="426">
        <f>ROUND(+$E18*'[5]II-F Alloc_Factor'!G$41,2)</f>
        <v>0</v>
      </c>
      <c r="K18" s="557">
        <f>SUM(H18:J18)</f>
        <v>1083138.6599999999</v>
      </c>
      <c r="L18" s="426">
        <f>ROUND(+$E18*'[5]II-F Alloc_Factor'!I$41,2)</f>
        <v>0</v>
      </c>
      <c r="M18" s="426">
        <f>ROUND(+$E18*'[5]II-F Alloc_Factor'!J$41,2)</f>
        <v>88574.339999999997</v>
      </c>
      <c r="N18" s="557">
        <f>SUM(L18:M18)</f>
        <v>88574.339999999997</v>
      </c>
      <c r="O18" s="426">
        <f>ROUND(+$E18*'[5]II-F Alloc_Factor'!L$41,2)</f>
        <v>0</v>
      </c>
      <c r="P18" s="426">
        <f>ROUND(+$E18*'[5]II-F Alloc_Factor'!M$41,2)</f>
        <v>0</v>
      </c>
      <c r="Q18" s="557">
        <f t="shared" si="3" ref="Q18">+K18+N18+O18+P18</f>
        <v>1171713</v>
      </c>
      <c r="R18" s="202" t="b">
        <f t="shared" si="2"/>
        <v>1</v>
      </c>
      <c r="S18" s="688">
        <f>+E18-Q18</f>
        <v>0</v>
      </c>
    </row>
    <row r="19" spans="1:19" s="197" customFormat="1" ht="12.75">
      <c r="A19" s="195">
        <f t="shared" si="0"/>
        <v>7</v>
      </c>
      <c r="B19" s="195"/>
      <c r="C19" s="12" t="s">
        <v>49</v>
      </c>
      <c r="D19" s="748">
        <f>SUM(D15:D18)</f>
        <v>16233757</v>
      </c>
      <c r="E19" s="609">
        <f>SUM(E15:E18)</f>
        <v>-966396377</v>
      </c>
      <c r="F19" s="508"/>
      <c r="G19" s="508"/>
      <c r="H19" s="609">
        <f>SUM(H15:H18)</f>
        <v>-426414552.83999997</v>
      </c>
      <c r="I19" s="609">
        <f t="shared" si="4" ref="I19:Q19">SUM(I15:I18)</f>
        <v>-44241748.380000003</v>
      </c>
      <c r="J19" s="609">
        <f t="shared" si="4"/>
        <v>-544012.16000000003</v>
      </c>
      <c r="K19" s="609">
        <f t="shared" si="4"/>
        <v>-471200313.38</v>
      </c>
      <c r="L19" s="609">
        <f t="shared" si="4"/>
        <v>-462439966.73000002</v>
      </c>
      <c r="M19" s="609">
        <f t="shared" si="4"/>
        <v>-3617896.6200000001</v>
      </c>
      <c r="N19" s="609">
        <f t="shared" si="4"/>
        <v>-466057863.35000002</v>
      </c>
      <c r="O19" s="609">
        <f t="shared" si="4"/>
        <v>-15727006.609999999</v>
      </c>
      <c r="P19" s="609">
        <f t="shared" si="4"/>
        <v>-13411193.66</v>
      </c>
      <c r="Q19" s="609">
        <f t="shared" si="4"/>
        <v>-966396377</v>
      </c>
      <c r="R19" s="202" t="b">
        <f t="shared" si="2"/>
        <v>1</v>
      </c>
      <c r="S19" s="688">
        <f>+E19-Q19</f>
        <v>0</v>
      </c>
    </row>
    <row r="20" spans="1:19" s="197" customFormat="1" ht="12.75">
      <c r="A20" s="195">
        <f t="shared" si="0"/>
        <v>8</v>
      </c>
      <c r="B20" s="195"/>
      <c r="C20" s="195"/>
      <c r="D20" s="747"/>
      <c r="E20" s="557"/>
      <c r="F20" s="557"/>
      <c r="G20" s="485"/>
      <c r="H20" s="485"/>
      <c r="I20" s="485"/>
      <c r="J20" s="485"/>
      <c r="K20" s="485"/>
      <c r="L20" s="485"/>
      <c r="M20" s="485"/>
      <c r="N20" s="485"/>
      <c r="O20" s="485"/>
      <c r="P20" s="485"/>
      <c r="Q20" s="485"/>
      <c r="R20" s="202"/>
      <c r="S20" s="202"/>
    </row>
    <row r="21" spans="1:17" ht="12.75">
      <c r="A21" s="195">
        <f t="shared" si="0"/>
        <v>9</v>
      </c>
      <c r="B21" s="615" t="s">
        <v>830</v>
      </c>
      <c r="D21" s="747"/>
      <c r="E21" s="557"/>
      <c r="F21" s="2"/>
      <c r="G21" s="15"/>
      <c r="H21" s="15"/>
      <c r="I21" s="15"/>
      <c r="J21" s="15"/>
      <c r="K21" s="15"/>
      <c r="L21" s="15"/>
      <c r="M21" s="15"/>
      <c r="N21" s="15"/>
      <c r="O21" s="15"/>
      <c r="P21" s="15"/>
      <c r="Q21" s="15"/>
    </row>
    <row r="22" spans="1:19" s="352" customFormat="1" ht="12.75">
      <c r="A22" s="195">
        <f t="shared" si="0"/>
        <v>10</v>
      </c>
      <c r="B22" s="353"/>
      <c r="C22" s="607"/>
      <c r="D22" s="747"/>
      <c r="E22" s="557"/>
      <c r="F22" s="2"/>
      <c r="G22" s="15"/>
      <c r="H22" s="15"/>
      <c r="I22" s="15"/>
      <c r="J22" s="15"/>
      <c r="K22" s="15"/>
      <c r="L22" s="15"/>
      <c r="M22" s="15"/>
      <c r="N22" s="15"/>
      <c r="O22" s="15"/>
      <c r="P22" s="15"/>
      <c r="Q22" s="15"/>
      <c r="R22" s="263"/>
      <c r="S22" s="263"/>
    </row>
    <row r="23" spans="1:20" s="352" customFormat="1" ht="12.75">
      <c r="A23" s="195">
        <f t="shared" si="0"/>
        <v>11</v>
      </c>
      <c r="B23" s="353">
        <v>254</v>
      </c>
      <c r="C23" s="337" t="s">
        <v>780</v>
      </c>
      <c r="D23" s="747">
        <f>ROUND(-E23/$D$73,2)</f>
        <v>3701806</v>
      </c>
      <c r="E23" s="561">
        <v>-18509030</v>
      </c>
      <c r="F23" s="557" t="s">
        <v>798</v>
      </c>
      <c r="G23" s="195" t="s">
        <v>794</v>
      </c>
      <c r="H23" s="560">
        <f>ROUND(+$E23*'[5]II-F Alloc_Factor'!E$40,2)</f>
        <v>-8592492.25</v>
      </c>
      <c r="I23" s="560">
        <f>ROUND(+$E23*'[5]II-F Alloc_Factor'!F$40,2)</f>
        <v>0</v>
      </c>
      <c r="J23" s="560">
        <f>ROUND(+$E23*'[5]II-F Alloc_Factor'!G$40,2)</f>
        <v>-10962.15</v>
      </c>
      <c r="K23" s="560">
        <f>SUM(H23:J23)</f>
        <v>-8603454.4000000004</v>
      </c>
      <c r="L23" s="560">
        <f>ROUND(+$E23*'[5]II-F Alloc_Factor'!I$40,2)</f>
        <v>-9318424.5299999993</v>
      </c>
      <c r="M23" s="560">
        <f>ROUND(+$E23*'[5]II-F Alloc_Factor'!J$40,2)</f>
        <v>0</v>
      </c>
      <c r="N23" s="560">
        <f>SUM(L23:M23)</f>
        <v>-9318424.5299999993</v>
      </c>
      <c r="O23" s="560">
        <f>ROUND(+$E23*'[5]II-F Alloc_Factor'!L$40,2)</f>
        <v>-316908</v>
      </c>
      <c r="P23" s="560">
        <f t="shared" si="5" ref="P23:P31">+E23-K23-N23-O23</f>
        <v>-270243.0700000003</v>
      </c>
      <c r="Q23" s="560">
        <f>+K23+N23+O23+P23</f>
        <v>-18509030</v>
      </c>
      <c r="R23" s="202" t="b">
        <f t="shared" si="6" ref="R23:R24">+E23=Q23</f>
        <v>1</v>
      </c>
      <c r="S23" s="688">
        <f t="shared" si="7" ref="S23:S68">+E23-Q23</f>
        <v>0</v>
      </c>
      <c r="T23" s="654"/>
    </row>
    <row r="24" spans="1:20" s="352" customFormat="1" ht="12.75">
      <c r="A24" s="195">
        <f t="shared" si="0"/>
        <v>12</v>
      </c>
      <c r="B24" s="353">
        <v>254</v>
      </c>
      <c r="C24" s="337" t="s">
        <v>781</v>
      </c>
      <c r="D24" s="557">
        <f t="shared" si="8" ref="D24:D33">ROUND(-E24/$D$73,2)</f>
        <v>1984777.6000000001</v>
      </c>
      <c r="E24" s="557">
        <v>-9923888</v>
      </c>
      <c r="F24" s="557" t="s">
        <v>798</v>
      </c>
      <c r="G24" s="195" t="s">
        <v>794</v>
      </c>
      <c r="H24" s="556">
        <f>ROUND(+$E24*'[5]II-F Alloc_Factor'!E$40,2)</f>
        <v>-4606990.79</v>
      </c>
      <c r="I24" s="556">
        <f>ROUND(+$E24*'[5]II-F Alloc_Factor'!F$40,2)</f>
        <v>0</v>
      </c>
      <c r="J24" s="556">
        <f>ROUND(+$E24*'[5]II-F Alloc_Factor'!G$40,2)</f>
        <v>-5877.5200000000004</v>
      </c>
      <c r="K24" s="556">
        <f t="shared" si="9" ref="K24:K33">SUM(H24:J24)</f>
        <v>-4612868.3099999996</v>
      </c>
      <c r="L24" s="556">
        <f>ROUND(+$E24*'[5]II-F Alloc_Factor'!I$40,2)</f>
        <v>-4996210.0300000003</v>
      </c>
      <c r="M24" s="556">
        <f>ROUND(+$E24*'[5]II-F Alloc_Factor'!J$40,2)</f>
        <v>0</v>
      </c>
      <c r="N24" s="556">
        <f t="shared" si="10" ref="N24:N33">SUM(L24:M24)</f>
        <v>-4996210.0300000003</v>
      </c>
      <c r="O24" s="556">
        <f>ROUND(+$E24*'[5]II-F Alloc_Factor'!L$40,2)</f>
        <v>-169914.87</v>
      </c>
      <c r="P24" s="556">
        <f t="shared" si="5"/>
        <v>-144894.79000000015</v>
      </c>
      <c r="Q24" s="556">
        <f t="shared" si="11" ref="Q24:Q33">+K24+N24+O24+P24</f>
        <v>-9923888</v>
      </c>
      <c r="R24" s="202" t="b">
        <f t="shared" si="6"/>
        <v>1</v>
      </c>
      <c r="S24" s="688">
        <f t="shared" si="7"/>
        <v>0</v>
      </c>
      <c r="T24" s="654"/>
    </row>
    <row r="25" spans="1:20" s="352" customFormat="1" ht="12.75">
      <c r="A25" s="195">
        <f t="shared" si="0"/>
        <v>13</v>
      </c>
      <c r="B25" s="353">
        <v>254</v>
      </c>
      <c r="C25" s="337" t="s">
        <v>28</v>
      </c>
      <c r="D25" s="557">
        <f t="shared" si="8"/>
        <v>2351357.6000000001</v>
      </c>
      <c r="E25" s="557">
        <v>-11756788</v>
      </c>
      <c r="F25" s="557" t="s">
        <v>798</v>
      </c>
      <c r="G25" s="195" t="s">
        <v>794</v>
      </c>
      <c r="H25" s="556">
        <f>ROUND(+$E25*'[5]II-F Alloc_Factor'!E$40,2)</f>
        <v>-5457882.4400000004</v>
      </c>
      <c r="I25" s="556">
        <f>ROUND(+$E25*'[5]II-F Alloc_Factor'!F$40,2)</f>
        <v>0</v>
      </c>
      <c r="J25" s="556">
        <f>ROUND(+$E25*'[5]II-F Alloc_Factor'!G$40,2)</f>
        <v>-6963.0699999999997</v>
      </c>
      <c r="K25" s="556">
        <f t="shared" si="9"/>
        <v>-5464845.5100000007</v>
      </c>
      <c r="L25" s="556">
        <f>ROUND(+$E25*'[5]II-F Alloc_Factor'!I$40,2)</f>
        <v>-5918988.8200000003</v>
      </c>
      <c r="M25" s="556">
        <f>ROUND(+$E25*'[5]II-F Alloc_Factor'!J$40,2)</f>
        <v>0</v>
      </c>
      <c r="N25" s="556">
        <f t="shared" si="10"/>
        <v>-5918988.8200000003</v>
      </c>
      <c r="O25" s="556">
        <f>ROUND(+$E25*'[5]II-F Alloc_Factor'!L$40,2)</f>
        <v>-201297.42999999999</v>
      </c>
      <c r="P25" s="556">
        <f t="shared" si="5"/>
        <v>-171656.239999999</v>
      </c>
      <c r="Q25" s="556">
        <f t="shared" si="11"/>
        <v>-11756788</v>
      </c>
      <c r="R25" s="202" t="b">
        <f t="shared" si="12" ref="R25:R34">+E25=Q25</f>
        <v>1</v>
      </c>
      <c r="S25" s="688">
        <f t="shared" si="7"/>
        <v>0</v>
      </c>
      <c r="T25" s="654"/>
    </row>
    <row r="26" spans="1:20" s="352" customFormat="1" ht="12.75">
      <c r="A26" s="195">
        <f t="shared" si="0"/>
        <v>14</v>
      </c>
      <c r="B26" s="353">
        <v>254</v>
      </c>
      <c r="C26" s="337" t="s">
        <v>370</v>
      </c>
      <c r="D26" s="557">
        <f t="shared" si="8"/>
        <v>1385041.8000000001</v>
      </c>
      <c r="E26" s="557">
        <v>-6925209</v>
      </c>
      <c r="F26" s="557" t="s">
        <v>798</v>
      </c>
      <c r="G26" s="195" t="s">
        <v>794</v>
      </c>
      <c r="H26" s="556">
        <f>ROUND(+$E26*'[5]II-F Alloc_Factor'!E$40,2)</f>
        <v>-3214906.71</v>
      </c>
      <c r="I26" s="556">
        <f>ROUND(+$E26*'[5]II-F Alloc_Factor'!F$40,2)</f>
        <v>0</v>
      </c>
      <c r="J26" s="556">
        <f>ROUND(+$E26*'[5]II-F Alloc_Factor'!G$40,2)</f>
        <v>-4101.5200000000004</v>
      </c>
      <c r="K26" s="556">
        <f t="shared" si="9"/>
        <v>-3219008.23</v>
      </c>
      <c r="L26" s="556">
        <f>ROUND(+$E26*'[5]II-F Alloc_Factor'!I$40,2)</f>
        <v>-3486516.4399999999</v>
      </c>
      <c r="M26" s="556">
        <f>ROUND(+$E26*'[5]II-F Alloc_Factor'!J$40,2)</f>
        <v>0</v>
      </c>
      <c r="N26" s="556">
        <f t="shared" si="10"/>
        <v>-3486516.4399999999</v>
      </c>
      <c r="O26" s="556">
        <f>ROUND(+$E26*'[5]II-F Alloc_Factor'!L$40,2)</f>
        <v>-118572.08</v>
      </c>
      <c r="P26" s="556">
        <f t="shared" si="5"/>
        <v>-101112.25000000007</v>
      </c>
      <c r="Q26" s="556">
        <f t="shared" si="11"/>
        <v>-6925209</v>
      </c>
      <c r="R26" s="202" t="b">
        <f t="shared" si="12"/>
        <v>1</v>
      </c>
      <c r="S26" s="688">
        <f t="shared" si="7"/>
        <v>0</v>
      </c>
      <c r="T26" s="654"/>
    </row>
    <row r="27" spans="1:20" s="352" customFormat="1" ht="12.75">
      <c r="A27" s="195">
        <f t="shared" si="0"/>
        <v>15</v>
      </c>
      <c r="B27" s="353">
        <v>254</v>
      </c>
      <c r="C27" s="337" t="s">
        <v>782</v>
      </c>
      <c r="D27" s="557">
        <f t="shared" si="8"/>
        <v>6074333</v>
      </c>
      <c r="E27" s="557">
        <v>-30371665</v>
      </c>
      <c r="F27" s="557" t="s">
        <v>798</v>
      </c>
      <c r="G27" s="195" t="s">
        <v>794</v>
      </c>
      <c r="H27" s="556">
        <f>ROUND(+$E27*'[5]II-F Alloc_Factor'!E$40,2)</f>
        <v>-14099512.300000001</v>
      </c>
      <c r="I27" s="556">
        <f>ROUND(+$E27*'[5]II-F Alloc_Factor'!F$40,2)</f>
        <v>0</v>
      </c>
      <c r="J27" s="556">
        <f>ROUND(+$E27*'[5]II-F Alloc_Factor'!G$40,2)</f>
        <v>-17987.91</v>
      </c>
      <c r="K27" s="556">
        <f t="shared" si="9"/>
        <v>-14117500.210000001</v>
      </c>
      <c r="L27" s="556">
        <f>ROUND(+$E27*'[5]II-F Alloc_Factor'!I$40,2)</f>
        <v>-15290702.33</v>
      </c>
      <c r="M27" s="556">
        <f>ROUND(+$E27*'[5]II-F Alloc_Factor'!J$40,2)</f>
        <v>0</v>
      </c>
      <c r="N27" s="556">
        <f t="shared" si="10"/>
        <v>-15290702.33</v>
      </c>
      <c r="O27" s="556">
        <f>ROUND(+$E27*'[5]II-F Alloc_Factor'!L$40,2)</f>
        <v>-520017.71999999997</v>
      </c>
      <c r="P27" s="556">
        <f t="shared" si="5"/>
        <v>-443444.73999999906</v>
      </c>
      <c r="Q27" s="556">
        <f t="shared" si="11"/>
        <v>-30371664.999999996</v>
      </c>
      <c r="R27" s="202" t="b">
        <f t="shared" si="12"/>
        <v>1</v>
      </c>
      <c r="S27" s="688">
        <f t="shared" si="7"/>
        <v>0</v>
      </c>
      <c r="T27" s="654"/>
    </row>
    <row r="28" spans="1:20" s="352" customFormat="1" ht="12.75">
      <c r="A28" s="195">
        <f t="shared" si="0"/>
        <v>16</v>
      </c>
      <c r="B28" s="353">
        <v>254</v>
      </c>
      <c r="C28" s="337" t="s">
        <v>418</v>
      </c>
      <c r="D28" s="557">
        <f t="shared" si="8"/>
        <v>16482281.6</v>
      </c>
      <c r="E28" s="557">
        <v>-82411408</v>
      </c>
      <c r="F28" s="557" t="s">
        <v>798</v>
      </c>
      <c r="G28" s="195" t="s">
        <v>794</v>
      </c>
      <c r="H28" s="556">
        <f>ROUND(+$E28*'[5]II-F Alloc_Factor'!E$40,2)</f>
        <v>-38258049.420000002</v>
      </c>
      <c r="I28" s="556">
        <f>ROUND(+$E28*'[5]II-F Alloc_Factor'!F$40,2)</f>
        <v>0</v>
      </c>
      <c r="J28" s="556">
        <f>ROUND(+$E28*'[5]II-F Alloc_Factor'!G$40,2)</f>
        <v>-48808.940000000002</v>
      </c>
      <c r="K28" s="556">
        <f t="shared" si="9"/>
        <v>-38306858.359999999</v>
      </c>
      <c r="L28" s="556">
        <f>ROUND(+$E28*'[5]II-F Alloc_Factor'!I$40,2)</f>
        <v>-41490261.030000001</v>
      </c>
      <c r="M28" s="556">
        <f>ROUND(+$E28*'[5]II-F Alloc_Factor'!J$40,2)</f>
        <v>0</v>
      </c>
      <c r="N28" s="556">
        <f t="shared" si="10"/>
        <v>-41490261.030000001</v>
      </c>
      <c r="O28" s="556">
        <f>ROUND(+$E28*'[5]II-F Alloc_Factor'!L$40,2)</f>
        <v>-1411032.04</v>
      </c>
      <c r="P28" s="556">
        <f t="shared" si="5"/>
        <v>-1203256.5699999994</v>
      </c>
      <c r="Q28" s="556">
        <f t="shared" si="11"/>
        <v>-82411408</v>
      </c>
      <c r="R28" s="202" t="b">
        <f t="shared" si="12"/>
        <v>1</v>
      </c>
      <c r="S28" s="688">
        <f t="shared" si="7"/>
        <v>0</v>
      </c>
      <c r="T28" s="654"/>
    </row>
    <row r="29" spans="1:20" s="352" customFormat="1" ht="12.75">
      <c r="A29" s="195">
        <f t="shared" si="0"/>
        <v>17</v>
      </c>
      <c r="B29" s="353">
        <v>254</v>
      </c>
      <c r="C29" s="337" t="s">
        <v>18</v>
      </c>
      <c r="D29" s="557">
        <f t="shared" si="8"/>
        <v>6865815.4000000004</v>
      </c>
      <c r="E29" s="557">
        <v>-34329077</v>
      </c>
      <c r="F29" s="557" t="s">
        <v>798</v>
      </c>
      <c r="G29" s="195" t="s">
        <v>794</v>
      </c>
      <c r="H29" s="556">
        <f>ROUND(+$E29*'[5]II-F Alloc_Factor'!E$40,2)</f>
        <v>-15936671.35</v>
      </c>
      <c r="I29" s="556">
        <f>ROUND(+$E29*'[5]II-F Alloc_Factor'!F$40,2)</f>
        <v>0</v>
      </c>
      <c r="J29" s="556">
        <f>ROUND(+$E29*'[5]II-F Alloc_Factor'!G$40,2)</f>
        <v>-20331.720000000001</v>
      </c>
      <c r="K29" s="556">
        <f t="shared" si="9"/>
        <v>-15957003.07</v>
      </c>
      <c r="L29" s="556">
        <f>ROUND(+$E29*'[5]II-F Alloc_Factor'!I$40,2)</f>
        <v>-17283072.82</v>
      </c>
      <c r="M29" s="556">
        <f>ROUND(+$E29*'[5]II-F Alloc_Factor'!J$40,2)</f>
        <v>0</v>
      </c>
      <c r="N29" s="556">
        <f t="shared" si="10"/>
        <v>-17283072.82</v>
      </c>
      <c r="O29" s="556">
        <f>ROUND(+$E29*'[5]II-F Alloc_Factor'!L$40,2)</f>
        <v>-587775.75</v>
      </c>
      <c r="P29" s="556">
        <f t="shared" si="5"/>
        <v>-501225.3599999994</v>
      </c>
      <c r="Q29" s="556">
        <f t="shared" si="11"/>
        <v>-34329077</v>
      </c>
      <c r="R29" s="202" t="b">
        <f t="shared" si="12"/>
        <v>1</v>
      </c>
      <c r="S29" s="688">
        <f t="shared" si="7"/>
        <v>0</v>
      </c>
      <c r="T29" s="654"/>
    </row>
    <row r="30" spans="1:20" s="352" customFormat="1" ht="12.75">
      <c r="A30" s="195">
        <f t="shared" si="0"/>
        <v>18</v>
      </c>
      <c r="B30" s="353">
        <v>254</v>
      </c>
      <c r="C30" s="337" t="s">
        <v>783</v>
      </c>
      <c r="D30" s="557">
        <f t="shared" si="8"/>
        <v>-2613994.3999999999</v>
      </c>
      <c r="E30" s="557">
        <v>13069972</v>
      </c>
      <c r="F30" s="557" t="s">
        <v>798</v>
      </c>
      <c r="G30" s="195" t="s">
        <v>794</v>
      </c>
      <c r="H30" s="556">
        <f>ROUND(+$E30*'[5]II-F Alloc_Factor'!E$40,2)</f>
        <v>6067505.0599999996</v>
      </c>
      <c r="I30" s="556">
        <f>ROUND(+$E30*'[5]II-F Alloc_Factor'!F$40,2)</f>
        <v>0</v>
      </c>
      <c r="J30" s="556">
        <f>ROUND(+$E30*'[5]II-F Alloc_Factor'!G$40,2)</f>
        <v>7740.8199999999997</v>
      </c>
      <c r="K30" s="556">
        <f t="shared" si="9"/>
        <v>6075245.8799999999</v>
      </c>
      <c r="L30" s="556">
        <f>ROUND(+$E30*'[5]II-F Alloc_Factor'!I$40,2)</f>
        <v>6580115.0999999996</v>
      </c>
      <c r="M30" s="556">
        <f>ROUND(+$E30*'[5]II-F Alloc_Factor'!J$40,2)</f>
        <v>0</v>
      </c>
      <c r="N30" s="556">
        <f t="shared" si="10"/>
        <v>6580115.0999999996</v>
      </c>
      <c r="O30" s="556">
        <f>ROUND(+$E30*'[5]II-F Alloc_Factor'!L$40,2)</f>
        <v>223781.51000000001</v>
      </c>
      <c r="P30" s="556">
        <f t="shared" si="5"/>
        <v>190829.51000000048</v>
      </c>
      <c r="Q30" s="556">
        <f t="shared" si="11"/>
        <v>13069972</v>
      </c>
      <c r="R30" s="202" t="b">
        <f t="shared" si="12"/>
        <v>1</v>
      </c>
      <c r="S30" s="688">
        <f t="shared" si="7"/>
        <v>0</v>
      </c>
      <c r="T30" s="654"/>
    </row>
    <row r="31" spans="1:20" s="352" customFormat="1" ht="12.75">
      <c r="A31" s="195">
        <f t="shared" si="0"/>
        <v>19</v>
      </c>
      <c r="B31" s="353">
        <v>254</v>
      </c>
      <c r="C31" s="337" t="s">
        <v>784</v>
      </c>
      <c r="D31" s="557">
        <f t="shared" si="8"/>
        <v>303491.59999999998</v>
      </c>
      <c r="E31" s="557">
        <v>-1517458</v>
      </c>
      <c r="F31" s="557" t="s">
        <v>798</v>
      </c>
      <c r="G31" s="195" t="s">
        <v>794</v>
      </c>
      <c r="H31" s="556">
        <f>ROUND(+$E31*'[5]II-F Alloc_Factor'!E$40,2)</f>
        <v>-704453.23999999999</v>
      </c>
      <c r="I31" s="556">
        <f>ROUND(+$E31*'[5]II-F Alloc_Factor'!F$40,2)</f>
        <v>0</v>
      </c>
      <c r="J31" s="556">
        <f>ROUND(+$E31*'[5]II-F Alloc_Factor'!G$40,2)</f>
        <v>-898.73000000000002</v>
      </c>
      <c r="K31" s="556">
        <f t="shared" si="9"/>
        <v>-705351.96999999997</v>
      </c>
      <c r="L31" s="556">
        <f>ROUND(+$E31*'[5]II-F Alloc_Factor'!I$40,2)</f>
        <v>-763968.60999999999</v>
      </c>
      <c r="M31" s="556">
        <f>ROUND(+$E31*'[5]II-F Alloc_Factor'!J$40,2)</f>
        <v>0</v>
      </c>
      <c r="N31" s="556">
        <f t="shared" si="10"/>
        <v>-763968.60999999999</v>
      </c>
      <c r="O31" s="556">
        <f>ROUND(+$E31*'[5]II-F Alloc_Factor'!L$40,2)</f>
        <v>-25981.619999999999</v>
      </c>
      <c r="P31" s="556">
        <f t="shared" si="5"/>
        <v>-22155.800000000043</v>
      </c>
      <c r="Q31" s="556">
        <f t="shared" si="11"/>
        <v>-1517458.0000000002</v>
      </c>
      <c r="R31" s="202" t="b">
        <f t="shared" si="12"/>
        <v>1</v>
      </c>
      <c r="S31" s="688">
        <f t="shared" si="7"/>
        <v>0</v>
      </c>
      <c r="T31" s="654"/>
    </row>
    <row r="32" spans="1:20" s="352" customFormat="1" ht="12.75">
      <c r="A32" s="195">
        <f t="shared" si="0"/>
        <v>20</v>
      </c>
      <c r="B32" s="353">
        <v>254</v>
      </c>
      <c r="C32" s="337" t="s">
        <v>785</v>
      </c>
      <c r="D32" s="557">
        <f t="shared" si="8"/>
        <v>80939</v>
      </c>
      <c r="E32" s="557">
        <v>-404695</v>
      </c>
      <c r="F32" s="557" t="s">
        <v>799</v>
      </c>
      <c r="G32" s="195" t="s">
        <v>794</v>
      </c>
      <c r="H32" s="426">
        <f>ROUND(+$E32*'[5]II-F Alloc_Factor'!E$41,2)</f>
        <v>0</v>
      </c>
      <c r="I32" s="426">
        <f>ROUND(+$E32*'[5]II-F Alloc_Factor'!F$41,2)</f>
        <v>-374102.53000000003</v>
      </c>
      <c r="J32" s="426">
        <f>ROUND(+$E32*'[5]II-F Alloc_Factor'!G$41,2)</f>
        <v>0</v>
      </c>
      <c r="K32" s="557">
        <f t="shared" si="9"/>
        <v>-374102.53000000003</v>
      </c>
      <c r="L32" s="426">
        <f>ROUND(+$E32*'[5]II-F Alloc_Factor'!I$41,2)</f>
        <v>0</v>
      </c>
      <c r="M32" s="426">
        <f>ROUND(+$E32*'[5]II-F Alloc_Factor'!J$41,2)</f>
        <v>-30592.470000000001</v>
      </c>
      <c r="N32" s="557">
        <f t="shared" si="10"/>
        <v>-30592.470000000001</v>
      </c>
      <c r="O32" s="426">
        <f>ROUND(+$E32*'[5]II-F Alloc_Factor'!L$41,2)</f>
        <v>0</v>
      </c>
      <c r="P32" s="426">
        <f>ROUND(+$E32*'[5]II-F Alloc_Factor'!M$41,2)</f>
        <v>0</v>
      </c>
      <c r="Q32" s="557">
        <f t="shared" si="11"/>
        <v>-404695</v>
      </c>
      <c r="R32" s="202" t="b">
        <f t="shared" si="12"/>
        <v>1</v>
      </c>
      <c r="S32" s="688">
        <f t="shared" si="7"/>
        <v>0</v>
      </c>
      <c r="T32" s="654"/>
    </row>
    <row r="33" spans="1:20" s="352" customFormat="1" ht="12.75">
      <c r="A33" s="195">
        <f t="shared" si="0"/>
        <v>21</v>
      </c>
      <c r="B33" s="353">
        <v>254</v>
      </c>
      <c r="C33" s="337" t="s">
        <v>786</v>
      </c>
      <c r="D33" s="557">
        <f t="shared" si="8"/>
        <v>-44297.599999999999</v>
      </c>
      <c r="E33" s="557">
        <v>221488</v>
      </c>
      <c r="F33" s="557" t="s">
        <v>799</v>
      </c>
      <c r="G33" s="195" t="s">
        <v>794</v>
      </c>
      <c r="H33" s="426">
        <f>ROUND(+$E33*'[5]II-F Alloc_Factor'!E$41,2)</f>
        <v>0</v>
      </c>
      <c r="I33" s="426">
        <f>ROUND(+$E33*'[5]II-F Alloc_Factor'!F$41,2)</f>
        <v>204744.85999999999</v>
      </c>
      <c r="J33" s="426">
        <f>ROUND(+$E33*'[5]II-F Alloc_Factor'!G$41,2)</f>
        <v>0</v>
      </c>
      <c r="K33" s="557">
        <f t="shared" si="9"/>
        <v>204744.85999999999</v>
      </c>
      <c r="L33" s="426">
        <f>ROUND(+$E33*'[5]II-F Alloc_Factor'!I$41,2)</f>
        <v>0</v>
      </c>
      <c r="M33" s="426">
        <f>ROUND(+$E33*'[5]II-F Alloc_Factor'!J$41,2)</f>
        <v>16743.139999999999</v>
      </c>
      <c r="N33" s="557">
        <f t="shared" si="10"/>
        <v>16743.139999999999</v>
      </c>
      <c r="O33" s="426">
        <f>ROUND(+$E33*'[5]II-F Alloc_Factor'!L$41,2)</f>
        <v>0</v>
      </c>
      <c r="P33" s="426">
        <f>ROUND(+$E33*'[5]II-F Alloc_Factor'!M$41,2)</f>
        <v>0</v>
      </c>
      <c r="Q33" s="557">
        <f t="shared" si="11"/>
        <v>221488</v>
      </c>
      <c r="R33" s="202" t="b">
        <f t="shared" si="12"/>
        <v>1</v>
      </c>
      <c r="S33" s="688">
        <f t="shared" si="7"/>
        <v>0</v>
      </c>
      <c r="T33" s="654"/>
    </row>
    <row r="34" spans="1:19" s="352" customFormat="1" ht="12.75">
      <c r="A34" s="195">
        <f t="shared" si="0"/>
        <v>22</v>
      </c>
      <c r="B34" s="353"/>
      <c r="C34" s="12" t="s">
        <v>832</v>
      </c>
      <c r="D34" s="748">
        <f>SUM(D23:D33)</f>
        <v>36571551.600000001</v>
      </c>
      <c r="E34" s="609">
        <f>SUM(E23:E33)</f>
        <v>-182857758</v>
      </c>
      <c r="F34" s="565"/>
      <c r="G34" s="15"/>
      <c r="H34" s="609">
        <f>SUM(H23:H33)</f>
        <v>-84803453.439999983</v>
      </c>
      <c r="I34" s="609">
        <f t="shared" si="13" ref="I34:Q34">SUM(I23:I33)</f>
        <v>-169357.67000000004</v>
      </c>
      <c r="J34" s="609">
        <f t="shared" si="13"/>
        <v>-108190.74000000001</v>
      </c>
      <c r="K34" s="609">
        <f t="shared" si="13"/>
        <v>-85081001.850000009</v>
      </c>
      <c r="L34" s="609">
        <f t="shared" si="13"/>
        <v>-91968029.510000005</v>
      </c>
      <c r="M34" s="609">
        <f t="shared" si="13"/>
        <v>-13849.330000000002</v>
      </c>
      <c r="N34" s="609">
        <f t="shared" si="13"/>
        <v>-91981878.840000004</v>
      </c>
      <c r="O34" s="609">
        <f t="shared" si="13"/>
        <v>-3127718</v>
      </c>
      <c r="P34" s="609">
        <f t="shared" si="13"/>
        <v>-2667159.3099999968</v>
      </c>
      <c r="Q34" s="609">
        <f t="shared" si="13"/>
        <v>-182857758</v>
      </c>
      <c r="R34" s="202" t="b">
        <f t="shared" si="12"/>
        <v>1</v>
      </c>
      <c r="S34" s="688">
        <f t="shared" si="7"/>
        <v>0</v>
      </c>
    </row>
    <row r="35" spans="1:19" s="352" customFormat="1" ht="12.75">
      <c r="A35" s="195">
        <f t="shared" si="0"/>
        <v>23</v>
      </c>
      <c r="B35" s="353"/>
      <c r="C35" s="337"/>
      <c r="D35" s="747"/>
      <c r="E35" s="557"/>
      <c r="F35" s="565"/>
      <c r="G35" s="15"/>
      <c r="H35" s="825"/>
      <c r="I35" s="557"/>
      <c r="J35" s="557"/>
      <c r="K35" s="557"/>
      <c r="L35" s="557"/>
      <c r="M35" s="557"/>
      <c r="N35" s="557"/>
      <c r="O35" s="557"/>
      <c r="P35" s="557"/>
      <c r="Q35" s="557"/>
      <c r="R35" s="263"/>
      <c r="S35" s="263"/>
    </row>
    <row r="36" spans="1:20" s="197" customFormat="1" ht="12.75">
      <c r="A36" s="195">
        <f t="shared" si="0"/>
        <v>24</v>
      </c>
      <c r="B36" s="195">
        <v>254</v>
      </c>
      <c r="C36" s="619" t="s">
        <v>369</v>
      </c>
      <c r="D36" s="747">
        <f t="shared" si="14" ref="D36:D64">ROUND(-E36/$D$73,2)</f>
        <v>114451.8</v>
      </c>
      <c r="E36" s="561">
        <v>-572259</v>
      </c>
      <c r="F36" s="565" t="s">
        <v>406</v>
      </c>
      <c r="G36" s="195" t="s">
        <v>794</v>
      </c>
      <c r="H36" s="557">
        <f>ROUND(+$E36*'[5]II-F Alloc_Factor'!E$32,2)</f>
        <v>-52561.410000000003</v>
      </c>
      <c r="I36" s="557">
        <f>ROUND(+$E36*'[5]II-F Alloc_Factor'!F$32,2)</f>
        <v>0</v>
      </c>
      <c r="J36" s="557">
        <f>ROUND(+$E36*'[5]II-F Alloc_Factor'!G$32,2)</f>
        <v>0</v>
      </c>
      <c r="K36" s="557">
        <f>SUM(H36:J36)</f>
        <v>-52561.410000000003</v>
      </c>
      <c r="L36" s="557">
        <f>ROUND(+$E36*'[5]II-F Alloc_Factor'!I$32,2)</f>
        <v>-497558.29999999999</v>
      </c>
      <c r="M36" s="557">
        <f>ROUND(+$E36*'[5]II-F Alloc_Factor'!J$32,2)</f>
        <v>0</v>
      </c>
      <c r="N36" s="557">
        <f>SUM(L36:M36)</f>
        <v>-497558.29999999999</v>
      </c>
      <c r="O36" s="557">
        <f>ROUND(+$E36*'[5]II-F Alloc_Factor'!L$32,2)</f>
        <v>-17516.669999999998</v>
      </c>
      <c r="P36" s="557">
        <f>ROUND(+$E36*'[5]II-F Alloc_Factor'!M$32,2)</f>
        <v>-4622.6199999999999</v>
      </c>
      <c r="Q36" s="557">
        <f t="shared" si="15" ref="Q36:Q37">+K36+N36+O36+P36</f>
        <v>-572259</v>
      </c>
      <c r="R36" s="202" t="b">
        <f t="shared" si="16" ref="R36:R37">+E36=Q36</f>
        <v>1</v>
      </c>
      <c r="S36" s="688">
        <f t="shared" si="7"/>
        <v>0</v>
      </c>
      <c r="T36" s="654"/>
    </row>
    <row r="37" spans="1:20" s="197" customFormat="1" ht="12.75">
      <c r="A37" s="195">
        <f t="shared" si="0"/>
        <v>25</v>
      </c>
      <c r="B37" s="195">
        <v>254</v>
      </c>
      <c r="C37" s="619" t="s">
        <v>438</v>
      </c>
      <c r="D37" s="557">
        <f t="shared" si="14"/>
        <v>8316330.4000000004</v>
      </c>
      <c r="E37" s="557">
        <v>-41581652</v>
      </c>
      <c r="F37" s="333" t="s">
        <v>408</v>
      </c>
      <c r="G37" s="195" t="s">
        <v>794</v>
      </c>
      <c r="H37" s="557">
        <v>-131326</v>
      </c>
      <c r="I37" s="557">
        <f>ROUND(+$E37*'[5]II-F Alloc_Factor'!F$36,2)</f>
        <v>0</v>
      </c>
      <c r="J37" s="557">
        <f>ROUND(+$E37*'[5]II-F Alloc_Factor'!G$36,2)</f>
        <v>0</v>
      </c>
      <c r="K37" s="557">
        <f>SUM(H37:J37)</f>
        <v>-131326</v>
      </c>
      <c r="L37" s="557">
        <v>-41450326</v>
      </c>
      <c r="M37" s="557">
        <f>ROUND(+$E37*'[5]II-F Alloc_Factor'!J$36,2)</f>
        <v>0</v>
      </c>
      <c r="N37" s="557">
        <f>SUM(L37:M37)</f>
        <v>-41450326</v>
      </c>
      <c r="O37" s="557">
        <v>0</v>
      </c>
      <c r="P37" s="557">
        <f>ROUND(+$E37*'[5]II-F Alloc_Factor'!M$36,2)</f>
        <v>0</v>
      </c>
      <c r="Q37" s="557">
        <f t="shared" si="15"/>
        <v>-41581652</v>
      </c>
      <c r="R37" s="202" t="b">
        <f t="shared" si="16"/>
        <v>1</v>
      </c>
      <c r="S37" s="688">
        <f t="shared" si="17" ref="S37">+E37-Q37</f>
        <v>0</v>
      </c>
      <c r="T37" s="654"/>
    </row>
    <row r="38" spans="1:20" s="197" customFormat="1" ht="12.75">
      <c r="A38" s="195">
        <f t="shared" si="0"/>
        <v>26</v>
      </c>
      <c r="B38" s="195">
        <v>254</v>
      </c>
      <c r="C38" s="619" t="s">
        <v>439</v>
      </c>
      <c r="D38" s="557">
        <f t="shared" si="14"/>
        <v>3965398.7999999998</v>
      </c>
      <c r="E38" s="557">
        <v>-19826994</v>
      </c>
      <c r="F38" s="333" t="s">
        <v>408</v>
      </c>
      <c r="G38" s="195" t="s">
        <v>794</v>
      </c>
      <c r="H38" s="485">
        <v>0</v>
      </c>
      <c r="I38" s="485">
        <v>0</v>
      </c>
      <c r="J38" s="485">
        <v>0</v>
      </c>
      <c r="K38" s="557">
        <f t="shared" si="18" ref="K38:K61">SUM(H38:J38)</f>
        <v>0</v>
      </c>
      <c r="L38" s="485">
        <v>0</v>
      </c>
      <c r="M38" s="485">
        <v>0</v>
      </c>
      <c r="N38" s="557">
        <f t="shared" si="19" ref="N38:N61">SUM(L38:M38)</f>
        <v>0</v>
      </c>
      <c r="O38" s="485">
        <f>+E38</f>
        <v>-19826994</v>
      </c>
      <c r="P38" s="485">
        <v>0</v>
      </c>
      <c r="Q38" s="557">
        <f t="shared" si="20" ref="Q38:Q64">+K38+N38+O38+P38</f>
        <v>-19826994</v>
      </c>
      <c r="R38" s="202" t="b">
        <f t="shared" si="21" ref="R38:R68">+E38=Q38</f>
        <v>1</v>
      </c>
      <c r="S38" s="688">
        <f t="shared" si="7"/>
        <v>0</v>
      </c>
      <c r="T38" s="654"/>
    </row>
    <row r="39" spans="1:20" s="197" customFormat="1" ht="12.75">
      <c r="A39" s="195">
        <f t="shared" si="0"/>
        <v>27</v>
      </c>
      <c r="B39" s="195">
        <v>254</v>
      </c>
      <c r="C39" s="619" t="s">
        <v>8</v>
      </c>
      <c r="D39" s="557">
        <f t="shared" si="14"/>
        <v>6818660.2000000002</v>
      </c>
      <c r="E39" s="557">
        <v>-34093301</v>
      </c>
      <c r="F39" s="557" t="s">
        <v>407</v>
      </c>
      <c r="G39" s="195" t="s">
        <v>794</v>
      </c>
      <c r="H39" s="557">
        <f>ROUND(+$E39*'[5]II-F Alloc_Factor'!E$27,2)</f>
        <v>-9786046.4600000009</v>
      </c>
      <c r="I39" s="557">
        <f>ROUND(+$E39*'[5]II-F Alloc_Factor'!F$27,2)</f>
        <v>0</v>
      </c>
      <c r="J39" s="557">
        <f>ROUND(+$E39*'[5]II-F Alloc_Factor'!G$27,2)</f>
        <v>0</v>
      </c>
      <c r="K39" s="557">
        <f t="shared" si="18"/>
        <v>-9786046.4600000009</v>
      </c>
      <c r="L39" s="557">
        <f>ROUND(+$E39*'[5]II-F Alloc_Factor'!I$27,2)</f>
        <v>-16879449.190000001</v>
      </c>
      <c r="M39" s="557">
        <f>ROUND(+$E39*'[5]II-F Alloc_Factor'!J$27,2)</f>
        <v>0</v>
      </c>
      <c r="N39" s="557">
        <f t="shared" si="19"/>
        <v>-16879449.190000001</v>
      </c>
      <c r="O39" s="557">
        <f>ROUND(+$E39*'[5]II-F Alloc_Factor'!L$27,2)</f>
        <v>-5591214.0099999998</v>
      </c>
      <c r="P39" s="556">
        <f>+E39-K39-N39-O39</f>
        <v>-1836591.339999998</v>
      </c>
      <c r="Q39" s="557">
        <f t="shared" si="20"/>
        <v>-34093301</v>
      </c>
      <c r="R39" s="202" t="b">
        <f t="shared" si="21"/>
        <v>1</v>
      </c>
      <c r="S39" s="688">
        <f t="shared" si="7"/>
        <v>0</v>
      </c>
      <c r="T39" s="654"/>
    </row>
    <row r="40" spans="1:20" s="197" customFormat="1" ht="12.75">
      <c r="A40" s="195">
        <f t="shared" si="0"/>
        <v>28</v>
      </c>
      <c r="B40" s="195">
        <v>254</v>
      </c>
      <c r="C40" s="619" t="s">
        <v>440</v>
      </c>
      <c r="D40" s="557">
        <f t="shared" si="14"/>
        <v>59966.599999999999</v>
      </c>
      <c r="E40" s="557">
        <v>-299833</v>
      </c>
      <c r="F40" s="557" t="s">
        <v>408</v>
      </c>
      <c r="G40" s="195" t="s">
        <v>794</v>
      </c>
      <c r="H40" s="485">
        <v>0</v>
      </c>
      <c r="I40" s="485">
        <v>0</v>
      </c>
      <c r="J40" s="485">
        <v>0</v>
      </c>
      <c r="K40" s="557">
        <f t="shared" si="18"/>
        <v>0</v>
      </c>
      <c r="L40" s="485">
        <v>0</v>
      </c>
      <c r="M40" s="485">
        <v>0</v>
      </c>
      <c r="N40" s="557">
        <f t="shared" si="19"/>
        <v>0</v>
      </c>
      <c r="O40" s="485">
        <f>+E40</f>
        <v>-299833</v>
      </c>
      <c r="P40" s="485">
        <v>0</v>
      </c>
      <c r="Q40" s="557">
        <f t="shared" si="20"/>
        <v>-299833</v>
      </c>
      <c r="R40" s="202" t="b">
        <f t="shared" si="21"/>
        <v>1</v>
      </c>
      <c r="S40" s="688">
        <f t="shared" si="7"/>
        <v>0</v>
      </c>
      <c r="T40" s="654"/>
    </row>
    <row r="41" spans="1:20" s="197" customFormat="1" ht="12.75">
      <c r="A41" s="195">
        <f t="shared" si="0"/>
        <v>29</v>
      </c>
      <c r="B41" s="195">
        <v>254</v>
      </c>
      <c r="C41" s="619" t="s">
        <v>388</v>
      </c>
      <c r="D41" s="557">
        <f t="shared" si="14"/>
        <v>1083141.6000000001</v>
      </c>
      <c r="E41" s="557">
        <v>-5415708</v>
      </c>
      <c r="F41" s="557" t="s">
        <v>408</v>
      </c>
      <c r="G41" s="195" t="s">
        <v>794</v>
      </c>
      <c r="H41" s="485">
        <v>0</v>
      </c>
      <c r="I41" s="485">
        <v>0</v>
      </c>
      <c r="J41" s="485">
        <v>0</v>
      </c>
      <c r="K41" s="557">
        <f t="shared" si="18"/>
        <v>0</v>
      </c>
      <c r="L41" s="485">
        <f>+E41</f>
        <v>-5415708</v>
      </c>
      <c r="M41" s="485">
        <v>0</v>
      </c>
      <c r="N41" s="557">
        <f t="shared" si="19"/>
        <v>-5415708</v>
      </c>
      <c r="O41" s="485">
        <v>0</v>
      </c>
      <c r="P41" s="485">
        <v>0</v>
      </c>
      <c r="Q41" s="557">
        <f t="shared" si="20"/>
        <v>-5415708</v>
      </c>
      <c r="R41" s="202" t="b">
        <f t="shared" si="21"/>
        <v>1</v>
      </c>
      <c r="S41" s="688">
        <f t="shared" si="7"/>
        <v>0</v>
      </c>
      <c r="T41" s="654"/>
    </row>
    <row r="42" spans="1:20" s="197" customFormat="1" ht="12.75">
      <c r="A42" s="195">
        <f t="shared" si="0"/>
        <v>30</v>
      </c>
      <c r="B42" s="195">
        <v>254</v>
      </c>
      <c r="C42" s="619" t="s">
        <v>176</v>
      </c>
      <c r="D42" s="557">
        <f t="shared" si="14"/>
        <v>214993.20000000001</v>
      </c>
      <c r="E42" s="557">
        <v>-1074966</v>
      </c>
      <c r="F42" s="333" t="s">
        <v>775</v>
      </c>
      <c r="G42" s="195" t="s">
        <v>794</v>
      </c>
      <c r="H42" s="557">
        <f>ROUND(+$E42*'[5]II-F Alloc_Factor'!E$35,2)</f>
        <v>-480957.97999999998</v>
      </c>
      <c r="I42" s="557">
        <f>ROUND(+$E42*'[5]II-F Alloc_Factor'!F$35,2)</f>
        <v>0</v>
      </c>
      <c r="J42" s="557">
        <f>ROUND(+$E42*'[5]II-F Alloc_Factor'!G$35,2)</f>
        <v>0</v>
      </c>
      <c r="K42" s="557">
        <f t="shared" si="18"/>
        <v>-480957.97999999998</v>
      </c>
      <c r="L42" s="557">
        <f>ROUND(+$E42*'[5]II-F Alloc_Factor'!I$35,2)</f>
        <v>-561335.69999999995</v>
      </c>
      <c r="M42" s="557">
        <f>ROUND(+$E42*'[5]II-F Alloc_Factor'!J$35,2)</f>
        <v>0</v>
      </c>
      <c r="N42" s="557">
        <f t="shared" si="19"/>
        <v>-561335.69999999995</v>
      </c>
      <c r="O42" s="557">
        <f>ROUND(+$E42*'[5]II-F Alloc_Factor'!L$35,2)</f>
        <v>-26099.490000000002</v>
      </c>
      <c r="P42" s="556">
        <f>+E42-K42-N42-O42</f>
        <v>-6572.8300000000636</v>
      </c>
      <c r="Q42" s="557">
        <f t="shared" si="20"/>
        <v>-1074966</v>
      </c>
      <c r="R42" s="202" t="b">
        <f t="shared" si="21"/>
        <v>1</v>
      </c>
      <c r="S42" s="688">
        <f t="shared" si="7"/>
        <v>0</v>
      </c>
      <c r="T42" s="654"/>
    </row>
    <row r="43" spans="1:20" s="197" customFormat="1" ht="12.75">
      <c r="A43" s="195">
        <f t="shared" si="0"/>
        <v>31</v>
      </c>
      <c r="B43" s="195">
        <v>254</v>
      </c>
      <c r="C43" s="619" t="s">
        <v>442</v>
      </c>
      <c r="D43" s="557">
        <f t="shared" si="14"/>
        <v>14755.799999999999</v>
      </c>
      <c r="E43" s="557">
        <v>-73779</v>
      </c>
      <c r="F43" s="557" t="s">
        <v>408</v>
      </c>
      <c r="G43" s="195" t="s">
        <v>794</v>
      </c>
      <c r="H43" s="485">
        <v>0</v>
      </c>
      <c r="I43" s="485">
        <v>0</v>
      </c>
      <c r="J43" s="485">
        <v>0</v>
      </c>
      <c r="K43" s="557">
        <f t="shared" si="18"/>
        <v>0</v>
      </c>
      <c r="L43" s="485">
        <v>0</v>
      </c>
      <c r="M43" s="485">
        <v>0</v>
      </c>
      <c r="N43" s="557">
        <f t="shared" si="19"/>
        <v>0</v>
      </c>
      <c r="O43" s="485">
        <v>0</v>
      </c>
      <c r="P43" s="485">
        <f>+E43</f>
        <v>-73779</v>
      </c>
      <c r="Q43" s="557">
        <f t="shared" si="20"/>
        <v>-73779</v>
      </c>
      <c r="R43" s="202" t="b">
        <f t="shared" si="21"/>
        <v>1</v>
      </c>
      <c r="S43" s="688">
        <f t="shared" si="7"/>
        <v>0</v>
      </c>
      <c r="T43" s="654"/>
    </row>
    <row r="44" spans="1:20" s="197" customFormat="1" ht="12.75">
      <c r="A44" s="195">
        <f t="shared" si="0"/>
        <v>32</v>
      </c>
      <c r="B44" s="195">
        <v>254</v>
      </c>
      <c r="C44" s="619" t="s">
        <v>788</v>
      </c>
      <c r="D44" s="557">
        <f t="shared" si="14"/>
        <v>373978</v>
      </c>
      <c r="E44" s="557">
        <v>-1869890</v>
      </c>
      <c r="F44" s="557" t="s">
        <v>408</v>
      </c>
      <c r="G44" s="195" t="s">
        <v>794</v>
      </c>
      <c r="H44" s="485">
        <v>0</v>
      </c>
      <c r="I44" s="485">
        <v>0</v>
      </c>
      <c r="J44" s="485">
        <v>0</v>
      </c>
      <c r="K44" s="557">
        <f t="shared" si="18"/>
        <v>0</v>
      </c>
      <c r="L44" s="485">
        <f>+E44</f>
        <v>-1869890</v>
      </c>
      <c r="M44" s="485">
        <v>0</v>
      </c>
      <c r="N44" s="557">
        <f t="shared" si="19"/>
        <v>-1869890</v>
      </c>
      <c r="O44" s="485">
        <v>0</v>
      </c>
      <c r="P44" s="485">
        <v>0</v>
      </c>
      <c r="Q44" s="557">
        <f t="shared" si="20"/>
        <v>-1869890</v>
      </c>
      <c r="R44" s="202" t="b">
        <f t="shared" si="21"/>
        <v>1</v>
      </c>
      <c r="S44" s="688">
        <f t="shared" si="7"/>
        <v>0</v>
      </c>
      <c r="T44" s="654"/>
    </row>
    <row r="45" spans="1:20" s="197" customFormat="1" ht="12.75">
      <c r="A45" s="195">
        <f t="shared" si="0"/>
        <v>33</v>
      </c>
      <c r="B45" s="195">
        <v>254</v>
      </c>
      <c r="C45" s="619" t="s">
        <v>667</v>
      </c>
      <c r="D45" s="557">
        <f t="shared" si="14"/>
        <v>28586</v>
      </c>
      <c r="E45" s="557">
        <v>-142930</v>
      </c>
      <c r="F45" s="557" t="s">
        <v>408</v>
      </c>
      <c r="G45" s="195" t="s">
        <v>794</v>
      </c>
      <c r="H45" s="485">
        <v>0</v>
      </c>
      <c r="I45" s="485">
        <v>0</v>
      </c>
      <c r="J45" s="485">
        <v>0</v>
      </c>
      <c r="K45" s="557">
        <f t="shared" si="18"/>
        <v>0</v>
      </c>
      <c r="L45" s="485">
        <f>+E45</f>
        <v>-142930</v>
      </c>
      <c r="M45" s="485">
        <v>0</v>
      </c>
      <c r="N45" s="557">
        <f t="shared" si="19"/>
        <v>-142930</v>
      </c>
      <c r="O45" s="485">
        <v>0</v>
      </c>
      <c r="P45" s="485">
        <v>0</v>
      </c>
      <c r="Q45" s="557">
        <f t="shared" si="22" ref="Q45:Q46">+K45+N45+O45+P45</f>
        <v>-142930</v>
      </c>
      <c r="R45" s="202" t="b">
        <f t="shared" si="21"/>
        <v>1</v>
      </c>
      <c r="S45" s="688">
        <f t="shared" si="7"/>
        <v>0</v>
      </c>
      <c r="T45" s="654"/>
    </row>
    <row r="46" spans="1:20" s="197" customFormat="1" ht="12.75">
      <c r="A46" s="195">
        <f t="shared" si="0"/>
        <v>34</v>
      </c>
      <c r="B46" s="195">
        <v>254</v>
      </c>
      <c r="C46" s="619" t="s">
        <v>443</v>
      </c>
      <c r="D46" s="557">
        <f t="shared" si="14"/>
        <v>87234.800000000003</v>
      </c>
      <c r="E46" s="557">
        <v>-436174</v>
      </c>
      <c r="F46" s="557" t="s">
        <v>407</v>
      </c>
      <c r="G46" s="195" t="s">
        <v>794</v>
      </c>
      <c r="H46" s="557">
        <f>ROUND(+$E46*'[5]II-F Alloc_Factor'!E$27,2)</f>
        <v>-125198.17</v>
      </c>
      <c r="I46" s="557">
        <f>ROUND(+$E46*'[5]II-F Alloc_Factor'!F$27,2)</f>
        <v>0</v>
      </c>
      <c r="J46" s="557">
        <f>ROUND(+$E46*'[5]II-F Alloc_Factor'!G$27,2)</f>
        <v>0</v>
      </c>
      <c r="K46" s="557">
        <f t="shared" si="23" ref="K46">SUM(H46:J46)</f>
        <v>-125198.17</v>
      </c>
      <c r="L46" s="557">
        <f>ROUND(+$E46*'[5]II-F Alloc_Factor'!I$27,2)</f>
        <v>-215947.89999999999</v>
      </c>
      <c r="M46" s="557">
        <f>ROUND(+$E46*'[5]II-F Alloc_Factor'!J$27,2)</f>
        <v>0</v>
      </c>
      <c r="N46" s="557">
        <f t="shared" si="24" ref="N46">SUM(L46:M46)</f>
        <v>-215947.89999999999</v>
      </c>
      <c r="O46" s="557">
        <f>ROUND(+$E46*'[5]II-F Alloc_Factor'!L$27,2)</f>
        <v>-71531.419999999998</v>
      </c>
      <c r="P46" s="556">
        <f>+E46-K46-N46-O46</f>
        <v>-23496.510000000024</v>
      </c>
      <c r="Q46" s="557">
        <f t="shared" si="22"/>
        <v>-436174</v>
      </c>
      <c r="R46" s="202" t="b">
        <f t="shared" si="21"/>
        <v>1</v>
      </c>
      <c r="S46" s="688">
        <f t="shared" si="7"/>
        <v>0</v>
      </c>
      <c r="T46" s="654"/>
    </row>
    <row r="47" spans="1:20" s="197" customFormat="1" ht="12.75">
      <c r="A47" s="195">
        <f t="shared" si="0"/>
        <v>35</v>
      </c>
      <c r="B47" s="195">
        <v>254</v>
      </c>
      <c r="C47" s="619" t="s">
        <v>445</v>
      </c>
      <c r="D47" s="557">
        <f t="shared" si="14"/>
        <v>96496.800000000003</v>
      </c>
      <c r="E47" s="557">
        <v>-482484</v>
      </c>
      <c r="F47" s="2" t="s">
        <v>408</v>
      </c>
      <c r="G47" s="195" t="s">
        <v>794</v>
      </c>
      <c r="H47" s="557">
        <v>0</v>
      </c>
      <c r="I47" s="557">
        <f>ROUND(+$E47*'[5]II-F Alloc_Factor'!F$42,2)</f>
        <v>0</v>
      </c>
      <c r="J47" s="557">
        <f>ROUND(+$E47*'[5]II-F Alloc_Factor'!G$42,2)</f>
        <v>0</v>
      </c>
      <c r="K47" s="557">
        <f t="shared" si="18"/>
        <v>0</v>
      </c>
      <c r="L47" s="557">
        <f>+E47</f>
        <v>-482484</v>
      </c>
      <c r="M47" s="557">
        <f>ROUND(+$E47*'[5]II-F Alloc_Factor'!J$42,2)</f>
        <v>0</v>
      </c>
      <c r="N47" s="557">
        <f t="shared" si="19"/>
        <v>-482484</v>
      </c>
      <c r="O47" s="557">
        <v>0</v>
      </c>
      <c r="P47" s="556">
        <v>0</v>
      </c>
      <c r="Q47" s="557">
        <f t="shared" si="20"/>
        <v>-482484</v>
      </c>
      <c r="R47" s="202" t="b">
        <f t="shared" si="21"/>
        <v>1</v>
      </c>
      <c r="S47" s="688">
        <f t="shared" si="7"/>
        <v>0</v>
      </c>
      <c r="T47" s="654"/>
    </row>
    <row r="48" spans="1:20" s="352" customFormat="1" ht="12.75">
      <c r="A48" s="195">
        <f t="shared" si="0"/>
        <v>36</v>
      </c>
      <c r="B48" s="353">
        <v>182</v>
      </c>
      <c r="C48" s="608" t="s">
        <v>26</v>
      </c>
      <c r="D48" s="557">
        <f t="shared" si="14"/>
        <v>-65965.399999999994</v>
      </c>
      <c r="E48" s="557">
        <v>329827</v>
      </c>
      <c r="F48" s="2" t="s">
        <v>408</v>
      </c>
      <c r="G48" s="195" t="s">
        <v>794</v>
      </c>
      <c r="H48" s="15">
        <v>0</v>
      </c>
      <c r="I48" s="15">
        <v>0</v>
      </c>
      <c r="J48" s="15">
        <v>0</v>
      </c>
      <c r="K48" s="557">
        <f t="shared" si="18"/>
        <v>0</v>
      </c>
      <c r="L48" s="15">
        <f>+E48</f>
        <v>329827</v>
      </c>
      <c r="M48" s="15">
        <v>0</v>
      </c>
      <c r="N48" s="557">
        <f t="shared" si="19"/>
        <v>329827</v>
      </c>
      <c r="O48" s="15">
        <v>0</v>
      </c>
      <c r="P48" s="15">
        <v>0</v>
      </c>
      <c r="Q48" s="557">
        <f t="shared" si="20"/>
        <v>329827</v>
      </c>
      <c r="R48" s="202" t="b">
        <f t="shared" si="21"/>
        <v>1</v>
      </c>
      <c r="S48" s="688">
        <f t="shared" si="7"/>
        <v>0</v>
      </c>
      <c r="T48" s="654"/>
    </row>
    <row r="49" spans="1:20" s="352" customFormat="1" ht="12.75">
      <c r="A49" s="195">
        <f t="shared" si="0"/>
        <v>37</v>
      </c>
      <c r="B49" s="353">
        <v>182</v>
      </c>
      <c r="C49" s="608" t="s">
        <v>622</v>
      </c>
      <c r="D49" s="557">
        <f t="shared" si="14"/>
        <v>-20818.400000000001</v>
      </c>
      <c r="E49" s="557">
        <v>104092</v>
      </c>
      <c r="F49" s="2" t="s">
        <v>408</v>
      </c>
      <c r="G49" s="195" t="s">
        <v>794</v>
      </c>
      <c r="H49" s="15">
        <v>0</v>
      </c>
      <c r="I49" s="15">
        <v>0</v>
      </c>
      <c r="J49" s="15">
        <v>0</v>
      </c>
      <c r="K49" s="557">
        <f t="shared" si="18"/>
        <v>0</v>
      </c>
      <c r="L49" s="15">
        <v>0</v>
      </c>
      <c r="M49" s="15">
        <v>0</v>
      </c>
      <c r="N49" s="557">
        <f t="shared" si="19"/>
        <v>0</v>
      </c>
      <c r="O49" s="15">
        <f>+E49</f>
        <v>104092</v>
      </c>
      <c r="P49" s="15">
        <v>0</v>
      </c>
      <c r="Q49" s="557">
        <f t="shared" si="25" ref="Q49">+K49+N49+O49+P49</f>
        <v>104092</v>
      </c>
      <c r="R49" s="202" t="b">
        <f t="shared" si="21"/>
        <v>1</v>
      </c>
      <c r="S49" s="688">
        <f t="shared" si="7"/>
        <v>0</v>
      </c>
      <c r="T49" s="654"/>
    </row>
    <row r="50" spans="1:20" s="352" customFormat="1" ht="12.75">
      <c r="A50" s="195">
        <f t="shared" si="0"/>
        <v>38</v>
      </c>
      <c r="B50" s="353">
        <v>182</v>
      </c>
      <c r="C50" s="608" t="s">
        <v>189</v>
      </c>
      <c r="D50" s="557">
        <f t="shared" si="14"/>
        <v>-54707.199999999997</v>
      </c>
      <c r="E50" s="557">
        <v>273536</v>
      </c>
      <c r="F50" s="333" t="s">
        <v>13</v>
      </c>
      <c r="G50" s="195" t="s">
        <v>794</v>
      </c>
      <c r="H50" s="557">
        <f>ROUND(+$E50*'[5]II-F Alloc_Factor'!E$17,2)</f>
        <v>60233.059999999998</v>
      </c>
      <c r="I50" s="557">
        <f>ROUND(+$E50*'[5]II-F Alloc_Factor'!F$17,2)</f>
        <v>0</v>
      </c>
      <c r="J50" s="557">
        <f>ROUND(+$E50*'[5]II-F Alloc_Factor'!G$17,2)</f>
        <v>0</v>
      </c>
      <c r="K50" s="557">
        <f t="shared" si="18"/>
        <v>60233.059999999998</v>
      </c>
      <c r="L50" s="557">
        <f>ROUND(+$E50*'[5]II-F Alloc_Factor'!I$17,2)</f>
        <v>166172.98999999999</v>
      </c>
      <c r="M50" s="557">
        <f>ROUND(+$E50*'[5]II-F Alloc_Factor'!J$17,2)</f>
        <v>0</v>
      </c>
      <c r="N50" s="557">
        <f t="shared" si="19"/>
        <v>166172.98999999999</v>
      </c>
      <c r="O50" s="557">
        <f>ROUND(+$E50*'[5]II-F Alloc_Factor'!L$17,2)</f>
        <v>45306.760000000002</v>
      </c>
      <c r="P50" s="556">
        <f>+E50-K50-N50-O50</f>
        <v>1823.1900000000096</v>
      </c>
      <c r="Q50" s="557">
        <f t="shared" si="20"/>
        <v>273536</v>
      </c>
      <c r="R50" s="202" t="b">
        <f t="shared" si="21"/>
        <v>1</v>
      </c>
      <c r="S50" s="688">
        <f t="shared" si="7"/>
        <v>0</v>
      </c>
      <c r="T50" s="654"/>
    </row>
    <row r="51" spans="1:20" s="352" customFormat="1" ht="12.75">
      <c r="A51" s="195">
        <f t="shared" si="0"/>
        <v>39</v>
      </c>
      <c r="B51" s="353">
        <v>182</v>
      </c>
      <c r="C51" s="608" t="s">
        <v>444</v>
      </c>
      <c r="D51" s="557">
        <f t="shared" si="14"/>
        <v>-587500.40000000002</v>
      </c>
      <c r="E51" s="557">
        <v>2937502</v>
      </c>
      <c r="F51" s="333" t="s">
        <v>13</v>
      </c>
      <c r="G51" s="195" t="s">
        <v>794</v>
      </c>
      <c r="H51" s="557">
        <f>ROUND(+$E51*'[5]II-F Alloc_Factor'!E$17,2)</f>
        <v>646842.54000000004</v>
      </c>
      <c r="I51" s="557">
        <f>ROUND(+$E51*'[5]II-F Alloc_Factor'!F$17,2)</f>
        <v>0</v>
      </c>
      <c r="J51" s="557">
        <f>ROUND(+$E51*'[5]II-F Alloc_Factor'!G$17,2)</f>
        <v>0</v>
      </c>
      <c r="K51" s="557">
        <f t="shared" si="18"/>
        <v>646842.54000000004</v>
      </c>
      <c r="L51" s="557">
        <f>ROUND(+$E51*'[5]II-F Alloc_Factor'!I$17,2)</f>
        <v>1784531.03</v>
      </c>
      <c r="M51" s="557">
        <f>ROUND(+$E51*'[5]II-F Alloc_Factor'!J$17,2)</f>
        <v>0</v>
      </c>
      <c r="N51" s="557">
        <f t="shared" si="19"/>
        <v>1784531.03</v>
      </c>
      <c r="O51" s="557">
        <f>ROUND(+$E51*'[5]II-F Alloc_Factor'!L$17,2)</f>
        <v>486549.06</v>
      </c>
      <c r="P51" s="557">
        <f>ROUND(+$E51*'[5]II-F Alloc_Factor'!M$17,2)</f>
        <v>19579.369999999999</v>
      </c>
      <c r="Q51" s="557">
        <f t="shared" si="20"/>
        <v>2937502.0000000005</v>
      </c>
      <c r="R51" s="202" t="b">
        <f t="shared" si="21"/>
        <v>1</v>
      </c>
      <c r="S51" s="688">
        <f t="shared" si="7"/>
        <v>0</v>
      </c>
      <c r="T51" s="654"/>
    </row>
    <row r="52" spans="1:20" s="352" customFormat="1" ht="12.75">
      <c r="A52" s="195">
        <f t="shared" si="0"/>
        <v>40</v>
      </c>
      <c r="B52" s="353">
        <v>182</v>
      </c>
      <c r="C52" s="608" t="s">
        <v>422</v>
      </c>
      <c r="D52" s="557">
        <f t="shared" si="14"/>
        <v>-1197930.2</v>
      </c>
      <c r="E52" s="557">
        <v>5989651</v>
      </c>
      <c r="F52" s="2" t="s">
        <v>408</v>
      </c>
      <c r="G52" s="195" t="s">
        <v>794</v>
      </c>
      <c r="H52" s="15">
        <v>0</v>
      </c>
      <c r="I52" s="15">
        <v>0</v>
      </c>
      <c r="J52" s="15">
        <v>0</v>
      </c>
      <c r="K52" s="557">
        <f t="shared" si="18"/>
        <v>0</v>
      </c>
      <c r="L52" s="15">
        <f>+E52</f>
        <v>5989651</v>
      </c>
      <c r="M52" s="15">
        <v>0</v>
      </c>
      <c r="N52" s="557">
        <f t="shared" si="19"/>
        <v>5989651</v>
      </c>
      <c r="O52" s="15">
        <v>0</v>
      </c>
      <c r="P52" s="15">
        <v>0</v>
      </c>
      <c r="Q52" s="557">
        <f t="shared" si="20"/>
        <v>5989651</v>
      </c>
      <c r="R52" s="202" t="b">
        <f t="shared" si="21"/>
        <v>1</v>
      </c>
      <c r="S52" s="688">
        <f t="shared" si="7"/>
        <v>0</v>
      </c>
      <c r="T52" s="654"/>
    </row>
    <row r="53" spans="1:20" s="352" customFormat="1" ht="12.75">
      <c r="A53" s="195">
        <f t="shared" si="0"/>
        <v>41</v>
      </c>
      <c r="B53" s="353">
        <v>182</v>
      </c>
      <c r="C53" s="608" t="s">
        <v>441</v>
      </c>
      <c r="D53" s="557">
        <f t="shared" si="14"/>
        <v>148307.60000000001</v>
      </c>
      <c r="E53" s="557">
        <v>-741538</v>
      </c>
      <c r="F53" s="2" t="s">
        <v>408</v>
      </c>
      <c r="G53" s="195" t="s">
        <v>794</v>
      </c>
      <c r="H53" s="15">
        <v>0</v>
      </c>
      <c r="I53" s="15">
        <v>0</v>
      </c>
      <c r="J53" s="15">
        <v>0</v>
      </c>
      <c r="K53" s="557">
        <f t="shared" si="18"/>
        <v>0</v>
      </c>
      <c r="L53" s="15">
        <f>+E53</f>
        <v>-741538</v>
      </c>
      <c r="M53" s="15">
        <v>0</v>
      </c>
      <c r="N53" s="557">
        <f t="shared" si="19"/>
        <v>-741538</v>
      </c>
      <c r="O53" s="15">
        <v>0</v>
      </c>
      <c r="P53" s="15">
        <v>0</v>
      </c>
      <c r="Q53" s="557">
        <f t="shared" si="20"/>
        <v>-741538</v>
      </c>
      <c r="R53" s="202" t="b">
        <f t="shared" si="21"/>
        <v>1</v>
      </c>
      <c r="S53" s="688">
        <f t="shared" si="7"/>
        <v>0</v>
      </c>
      <c r="T53" s="654"/>
    </row>
    <row r="54" spans="1:20" s="352" customFormat="1" ht="12.75">
      <c r="A54" s="195">
        <f t="shared" si="0"/>
        <v>42</v>
      </c>
      <c r="B54" s="353">
        <v>182</v>
      </c>
      <c r="C54" s="608" t="s">
        <v>446</v>
      </c>
      <c r="D54" s="557">
        <f t="shared" si="14"/>
        <v>-102953.2</v>
      </c>
      <c r="E54" s="557">
        <v>514766</v>
      </c>
      <c r="F54" s="2" t="s">
        <v>468</v>
      </c>
      <c r="G54" s="195" t="s">
        <v>794</v>
      </c>
      <c r="H54" s="557">
        <f>ROUND(+$E54*'[5]II-F Alloc_Factor'!E$26,2)</f>
        <v>111273.41</v>
      </c>
      <c r="I54" s="557">
        <f>ROUND(+$E54*'[5]II-F Alloc_Factor'!F$26,2)</f>
        <v>0</v>
      </c>
      <c r="J54" s="557">
        <f>ROUND(+$E54*'[5]II-F Alloc_Factor'!G$26,2)</f>
        <v>0</v>
      </c>
      <c r="K54" s="557">
        <f t="shared" si="18"/>
        <v>111273.41</v>
      </c>
      <c r="L54" s="557">
        <f>ROUND(+$E54*'[5]II-F Alloc_Factor'!I$26,2)</f>
        <v>403492.59000000003</v>
      </c>
      <c r="M54" s="557">
        <f>ROUND(+$E54*'[5]II-F Alloc_Factor'!J$26,2)</f>
        <v>0</v>
      </c>
      <c r="N54" s="557">
        <f t="shared" si="19"/>
        <v>403492.59000000003</v>
      </c>
      <c r="O54" s="557">
        <f>ROUND(+$E54*'[5]II-F Alloc_Factor'!L$26,2)</f>
        <v>0</v>
      </c>
      <c r="P54" s="557">
        <f>ROUND(+$E54*'[5]II-F Alloc_Factor'!M$26,2)</f>
        <v>0</v>
      </c>
      <c r="Q54" s="557">
        <f t="shared" si="20"/>
        <v>514766</v>
      </c>
      <c r="R54" s="202" t="b">
        <f t="shared" si="21"/>
        <v>1</v>
      </c>
      <c r="S54" s="688">
        <f t="shared" si="7"/>
        <v>0</v>
      </c>
      <c r="T54" s="654"/>
    </row>
    <row r="55" spans="1:20" s="352" customFormat="1" ht="12.75">
      <c r="A55" s="195">
        <f t="shared" si="0"/>
        <v>43</v>
      </c>
      <c r="B55" s="353">
        <v>182</v>
      </c>
      <c r="C55" s="608" t="s">
        <v>361</v>
      </c>
      <c r="D55" s="557">
        <f t="shared" si="14"/>
        <v>-777280.59999999998</v>
      </c>
      <c r="E55" s="557">
        <v>3886403</v>
      </c>
      <c r="F55" s="2" t="s">
        <v>407</v>
      </c>
      <c r="G55" s="195" t="s">
        <v>794</v>
      </c>
      <c r="H55" s="557">
        <f>ROUND(+$E55*'[5]II-F Alloc_Factor'!E$27,2)</f>
        <v>1115542.3300000001</v>
      </c>
      <c r="I55" s="557">
        <f>ROUND(+$E55*'[5]II-F Alloc_Factor'!F$27,2)</f>
        <v>0</v>
      </c>
      <c r="J55" s="557">
        <f>ROUND(+$E55*'[5]II-F Alloc_Factor'!G$27,2)</f>
        <v>0</v>
      </c>
      <c r="K55" s="557">
        <f t="shared" si="26" ref="K55:K58">SUM(H55:J55)</f>
        <v>1115542.3300000001</v>
      </c>
      <c r="L55" s="557">
        <f>ROUND(+$E55*'[5]II-F Alloc_Factor'!I$27,2)</f>
        <v>1924141.6899999999</v>
      </c>
      <c r="M55" s="557">
        <f>ROUND(+$E55*'[5]II-F Alloc_Factor'!J$27,2)</f>
        <v>0</v>
      </c>
      <c r="N55" s="557">
        <f t="shared" si="27" ref="N55:N58">SUM(L55:M55)</f>
        <v>1924141.6899999999</v>
      </c>
      <c r="O55" s="557">
        <f>ROUND(+$E55*'[5]II-F Alloc_Factor'!L$27,2)</f>
        <v>637360.13</v>
      </c>
      <c r="P55" s="556">
        <f t="shared" si="28" ref="P55:P62">+E55-K55-N55-O55</f>
        <v>209358.84999999998</v>
      </c>
      <c r="Q55" s="557">
        <f t="shared" si="20"/>
        <v>3886403</v>
      </c>
      <c r="R55" s="202" t="b">
        <f t="shared" si="21"/>
        <v>1</v>
      </c>
      <c r="S55" s="688">
        <f t="shared" si="7"/>
        <v>0</v>
      </c>
      <c r="T55" s="654"/>
    </row>
    <row r="56" spans="1:20" s="352" customFormat="1" ht="12.75">
      <c r="A56" s="195">
        <f t="shared" si="0"/>
        <v>44</v>
      </c>
      <c r="B56" s="353">
        <v>182</v>
      </c>
      <c r="C56" s="608" t="s">
        <v>420</v>
      </c>
      <c r="D56" s="557">
        <f t="shared" si="14"/>
        <v>-521852.79999999999</v>
      </c>
      <c r="E56" s="557">
        <v>2609264</v>
      </c>
      <c r="F56" s="2" t="s">
        <v>407</v>
      </c>
      <c r="G56" s="195" t="s">
        <v>794</v>
      </c>
      <c r="H56" s="557">
        <f>ROUND(+$E56*'[5]II-F Alloc_Factor'!E$27,2)</f>
        <v>748955.89000000001</v>
      </c>
      <c r="I56" s="557">
        <f>ROUND(+$E56*'[5]II-F Alloc_Factor'!F$27,2)</f>
        <v>0</v>
      </c>
      <c r="J56" s="557">
        <f>ROUND(+$E56*'[5]II-F Alloc_Factor'!G$27,2)</f>
        <v>0</v>
      </c>
      <c r="K56" s="557">
        <f t="shared" si="26"/>
        <v>748955.89000000001</v>
      </c>
      <c r="L56" s="557">
        <f>ROUND(+$E56*'[5]II-F Alloc_Factor'!I$27,2)</f>
        <v>1291835.5800000001</v>
      </c>
      <c r="M56" s="557">
        <f>ROUND(+$E56*'[5]II-F Alloc_Factor'!J$27,2)</f>
        <v>0</v>
      </c>
      <c r="N56" s="557">
        <f t="shared" si="27"/>
        <v>1291835.5800000001</v>
      </c>
      <c r="O56" s="557">
        <f>ROUND(+$E56*'[5]II-F Alloc_Factor'!L$27,2)</f>
        <v>427912.60999999999</v>
      </c>
      <c r="P56" s="556">
        <f t="shared" si="28"/>
        <v>140559.91999999981</v>
      </c>
      <c r="Q56" s="557">
        <f t="shared" si="20"/>
        <v>2609264</v>
      </c>
      <c r="R56" s="202" t="b">
        <f t="shared" si="21"/>
        <v>1</v>
      </c>
      <c r="S56" s="688">
        <f t="shared" si="7"/>
        <v>0</v>
      </c>
      <c r="T56" s="654"/>
    </row>
    <row r="57" spans="1:20" s="352" customFormat="1" ht="12.75">
      <c r="A57" s="195">
        <f t="shared" si="0"/>
        <v>45</v>
      </c>
      <c r="B57" s="353">
        <v>182</v>
      </c>
      <c r="C57" s="608" t="s">
        <v>447</v>
      </c>
      <c r="D57" s="557">
        <f t="shared" si="14"/>
        <v>-13631997.199999999</v>
      </c>
      <c r="E57" s="557">
        <v>68159986</v>
      </c>
      <c r="F57" s="2" t="s">
        <v>407</v>
      </c>
      <c r="G57" s="195" t="s">
        <v>794</v>
      </c>
      <c r="H57" s="557">
        <f>ROUND(+$E57*'[5]II-F Alloc_Factor'!E$27,2)</f>
        <v>19564453.129999999</v>
      </c>
      <c r="I57" s="557">
        <f>ROUND(+$E57*'[5]II-F Alloc_Factor'!F$27,2)</f>
        <v>0</v>
      </c>
      <c r="J57" s="557">
        <f>ROUND(+$E57*'[5]II-F Alloc_Factor'!G$27,2)</f>
        <v>0</v>
      </c>
      <c r="K57" s="557">
        <f t="shared" si="26"/>
        <v>19564453.129999999</v>
      </c>
      <c r="L57" s="557">
        <f>ROUND(+$E57*'[5]II-F Alloc_Factor'!I$27,2)</f>
        <v>33745720.909999996</v>
      </c>
      <c r="M57" s="557">
        <f>ROUND(+$E57*'[5]II-F Alloc_Factor'!J$27,2)</f>
        <v>0</v>
      </c>
      <c r="N57" s="557">
        <f t="shared" si="27"/>
        <v>33745720.909999996</v>
      </c>
      <c r="O57" s="557">
        <f>ROUND(+$E57*'[5]II-F Alloc_Factor'!L$27,2)</f>
        <v>11178063.060000001</v>
      </c>
      <c r="P57" s="556">
        <f t="shared" si="28"/>
        <v>3671748.9000000078</v>
      </c>
      <c r="Q57" s="557">
        <f t="shared" si="20"/>
        <v>68159986</v>
      </c>
      <c r="R57" s="202" t="b">
        <f t="shared" si="21"/>
        <v>1</v>
      </c>
      <c r="S57" s="688">
        <f t="shared" si="7"/>
        <v>0</v>
      </c>
      <c r="T57" s="654"/>
    </row>
    <row r="58" spans="1:20" s="352" customFormat="1" ht="12.75">
      <c r="A58" s="195">
        <f t="shared" si="0"/>
        <v>46</v>
      </c>
      <c r="B58" s="353">
        <v>182</v>
      </c>
      <c r="C58" s="608" t="s">
        <v>448</v>
      </c>
      <c r="D58" s="557">
        <f t="shared" si="14"/>
        <v>-355678.40000000002</v>
      </c>
      <c r="E58" s="557">
        <v>1778392</v>
      </c>
      <c r="F58" s="2" t="s">
        <v>407</v>
      </c>
      <c r="G58" s="195" t="s">
        <v>794</v>
      </c>
      <c r="H58" s="557">
        <f>ROUND(+$E58*'[5]II-F Alloc_Factor'!E$27,2)</f>
        <v>510464.70000000001</v>
      </c>
      <c r="I58" s="557">
        <f>ROUND(+$E58*'[5]II-F Alloc_Factor'!F$27,2)</f>
        <v>0</v>
      </c>
      <c r="J58" s="557">
        <f>ROUND(+$E58*'[5]II-F Alloc_Factor'!G$27,2)</f>
        <v>0</v>
      </c>
      <c r="K58" s="557">
        <f t="shared" si="26"/>
        <v>510464.70000000001</v>
      </c>
      <c r="L58" s="557">
        <f>ROUND(+$E58*'[5]II-F Alloc_Factor'!I$27,2)</f>
        <v>880474.35999999999</v>
      </c>
      <c r="M58" s="557">
        <f>ROUND(+$E58*'[5]II-F Alloc_Factor'!J$27,2)</f>
        <v>0</v>
      </c>
      <c r="N58" s="557">
        <f t="shared" si="27"/>
        <v>880474.35999999999</v>
      </c>
      <c r="O58" s="557">
        <f>ROUND(+$E58*'[5]II-F Alloc_Factor'!L$27,2)</f>
        <v>291651.72999999998</v>
      </c>
      <c r="P58" s="556">
        <f t="shared" si="28"/>
        <v>95801.210000000079</v>
      </c>
      <c r="Q58" s="557">
        <f t="shared" si="20"/>
        <v>1778392</v>
      </c>
      <c r="R58" s="202" t="b">
        <f t="shared" si="21"/>
        <v>1</v>
      </c>
      <c r="S58" s="688">
        <f t="shared" si="7"/>
        <v>0</v>
      </c>
      <c r="T58" s="654"/>
    </row>
    <row r="59" spans="1:20" s="352" customFormat="1" ht="12.75">
      <c r="A59" s="195">
        <f t="shared" si="0"/>
        <v>47</v>
      </c>
      <c r="B59" s="353">
        <v>182</v>
      </c>
      <c r="C59" s="608" t="s">
        <v>421</v>
      </c>
      <c r="D59" s="557">
        <f t="shared" si="14"/>
        <v>-743958.40000000002</v>
      </c>
      <c r="E59" s="557">
        <v>3719792</v>
      </c>
      <c r="F59" s="2" t="s">
        <v>464</v>
      </c>
      <c r="G59" s="195" t="s">
        <v>794</v>
      </c>
      <c r="H59" s="557">
        <f>ROUND(+$E59*'[5]II-F Alloc_Factor'!E$30,2)</f>
        <v>733709.22999999998</v>
      </c>
      <c r="I59" s="557">
        <f>ROUND(+$E59*'[5]II-F Alloc_Factor'!F$30,2)</f>
        <v>0</v>
      </c>
      <c r="J59" s="557">
        <f>ROUND(+$E59*'[5]II-F Alloc_Factor'!G$30,2)</f>
        <v>0</v>
      </c>
      <c r="K59" s="557">
        <f t="shared" si="18"/>
        <v>733709.22999999998</v>
      </c>
      <c r="L59" s="557">
        <f>ROUND(+$E59*'[5]II-F Alloc_Factor'!I$30,2)</f>
        <v>1780086.53</v>
      </c>
      <c r="M59" s="557">
        <f>ROUND(+$E59*'[5]II-F Alloc_Factor'!J$30,2)</f>
        <v>0</v>
      </c>
      <c r="N59" s="557">
        <f t="shared" si="19"/>
        <v>1780086.53</v>
      </c>
      <c r="O59" s="557">
        <f>ROUND(+$E59*'[5]II-F Alloc_Factor'!L$30,2)</f>
        <v>481208.09999999998</v>
      </c>
      <c r="P59" s="556">
        <f t="shared" si="28"/>
        <v>724788.14000000001</v>
      </c>
      <c r="Q59" s="557">
        <f t="shared" si="20"/>
        <v>3719792</v>
      </c>
      <c r="R59" s="202" t="b">
        <f t="shared" si="21"/>
        <v>1</v>
      </c>
      <c r="S59" s="688">
        <f t="shared" si="7"/>
        <v>0</v>
      </c>
      <c r="T59" s="654"/>
    </row>
    <row r="60" spans="1:20" s="352" customFormat="1" ht="12.75">
      <c r="A60" s="195">
        <f t="shared" si="0"/>
        <v>48</v>
      </c>
      <c r="B60" s="353">
        <v>182</v>
      </c>
      <c r="C60" s="608" t="s">
        <v>795</v>
      </c>
      <c r="D60" s="557">
        <f t="shared" si="14"/>
        <v>-3045680</v>
      </c>
      <c r="E60" s="557">
        <v>15228400</v>
      </c>
      <c r="F60" s="2" t="s">
        <v>407</v>
      </c>
      <c r="G60" s="195" t="s">
        <v>794</v>
      </c>
      <c r="H60" s="557">
        <f>ROUND(+$E60*'[5]II-F Alloc_Factor'!E$27,2)</f>
        <v>4371117.6500000004</v>
      </c>
      <c r="I60" s="557">
        <f>ROUND(+$E60*'[5]II-F Alloc_Factor'!F$27,2)</f>
        <v>0</v>
      </c>
      <c r="J60" s="557">
        <f>ROUND(+$E60*'[5]II-F Alloc_Factor'!G$27,2)</f>
        <v>0</v>
      </c>
      <c r="K60" s="557">
        <f t="shared" si="29" ref="K60">SUM(H60:J60)</f>
        <v>4371117.6500000004</v>
      </c>
      <c r="L60" s="557">
        <f>ROUND(+$E60*'[5]II-F Alloc_Factor'!I$27,2)</f>
        <v>7539516.46</v>
      </c>
      <c r="M60" s="557">
        <f>ROUND(+$E60*'[5]II-F Alloc_Factor'!J$27,2)</f>
        <v>0</v>
      </c>
      <c r="N60" s="557">
        <f t="shared" si="30" ref="N60">SUM(L60:M60)</f>
        <v>7539516.46</v>
      </c>
      <c r="O60" s="557">
        <f>ROUND(+$E60*'[5]II-F Alloc_Factor'!L$27,2)</f>
        <v>2497418.5800000001</v>
      </c>
      <c r="P60" s="556">
        <f t="shared" si="28"/>
        <v>820347.30999999959</v>
      </c>
      <c r="Q60" s="557">
        <f t="shared" si="20"/>
        <v>15228400</v>
      </c>
      <c r="R60" s="202" t="b">
        <f t="shared" si="21"/>
        <v>1</v>
      </c>
      <c r="S60" s="688">
        <f t="shared" si="7"/>
        <v>0</v>
      </c>
      <c r="T60" s="654"/>
    </row>
    <row r="61" spans="1:20" s="352" customFormat="1" ht="12.75">
      <c r="A61" s="195">
        <f t="shared" si="0"/>
        <v>49</v>
      </c>
      <c r="B61" s="353">
        <v>182</v>
      </c>
      <c r="C61" s="608" t="s">
        <v>787</v>
      </c>
      <c r="D61" s="557">
        <f t="shared" si="14"/>
        <v>-3147.4000000000001</v>
      </c>
      <c r="E61" s="557">
        <v>15737</v>
      </c>
      <c r="F61" s="333" t="s">
        <v>805</v>
      </c>
      <c r="G61" s="195" t="s">
        <v>794</v>
      </c>
      <c r="H61" s="557">
        <f>ROUND(+$E61*'[5]II-F Alloc_Factor'!E$42,2)</f>
        <v>3665.8099999999999</v>
      </c>
      <c r="I61" s="557">
        <f>ROUND(+$E61*'[5]II-F Alloc_Factor'!F$42,2)</f>
        <v>0</v>
      </c>
      <c r="J61" s="557">
        <f>ROUND(+$E61*'[5]II-F Alloc_Factor'!G$42,2)</f>
        <v>0</v>
      </c>
      <c r="K61" s="557">
        <f t="shared" si="18"/>
        <v>3665.8099999999999</v>
      </c>
      <c r="L61" s="557">
        <f>ROUND(+$E61*'[5]II-F Alloc_Factor'!I$42,2)</f>
        <v>11205.43</v>
      </c>
      <c r="M61" s="557">
        <f>ROUND(+$E61*'[5]II-F Alloc_Factor'!J$42,2)</f>
        <v>0</v>
      </c>
      <c r="N61" s="557">
        <f t="shared" si="19"/>
        <v>11205.43</v>
      </c>
      <c r="O61" s="557">
        <f>ROUND(+$E61*'[5]II-F Alloc_Factor'!L$42,2)</f>
        <v>573.70000000000005</v>
      </c>
      <c r="P61" s="556">
        <f t="shared" si="28"/>
        <v>292.06000000000017</v>
      </c>
      <c r="Q61" s="557">
        <f t="shared" si="20"/>
        <v>15737</v>
      </c>
      <c r="R61" s="202" t="b">
        <f t="shared" si="21"/>
        <v>1</v>
      </c>
      <c r="S61" s="688">
        <f t="shared" si="7"/>
        <v>0</v>
      </c>
      <c r="T61" s="654"/>
    </row>
    <row r="62" spans="1:20" s="352" customFormat="1" ht="12.75">
      <c r="A62" s="195">
        <f t="shared" si="0"/>
        <v>50</v>
      </c>
      <c r="B62" s="353">
        <v>182</v>
      </c>
      <c r="C62" s="352" t="s">
        <v>1228</v>
      </c>
      <c r="D62" s="557">
        <f t="shared" si="14"/>
        <v>-519827.20000000001</v>
      </c>
      <c r="E62" s="557">
        <v>2599136</v>
      </c>
      <c r="F62" s="333" t="s">
        <v>775</v>
      </c>
      <c r="G62" s="195" t="s">
        <v>794</v>
      </c>
      <c r="H62" s="557">
        <f>ROUND(+$E62*'[5]II-F Alloc_Factor'!E$35,2)</f>
        <v>1162897.4399999999</v>
      </c>
      <c r="I62" s="557">
        <f>ROUND(+$E62*'[5]II-F Alloc_Factor'!F$35,2)</f>
        <v>0</v>
      </c>
      <c r="J62" s="557">
        <f>ROUND(+$E62*'[5]II-F Alloc_Factor'!G$35,2)</f>
        <v>0</v>
      </c>
      <c r="K62" s="557">
        <f t="shared" si="31" ref="K62">SUM(H62:J62)</f>
        <v>1162897.4399999999</v>
      </c>
      <c r="L62" s="557">
        <f>ROUND(+$E62*'[5]II-F Alloc_Factor'!I$35,2)</f>
        <v>1357240.8999999999</v>
      </c>
      <c r="M62" s="557">
        <f>ROUND(+$E62*'[5]II-F Alloc_Factor'!J$35,2)</f>
        <v>0</v>
      </c>
      <c r="N62" s="557">
        <f t="shared" si="32" ref="N62">SUM(L62:M62)</f>
        <v>1357240.8999999999</v>
      </c>
      <c r="O62" s="557">
        <f>ROUND(+$E62*'[5]II-F Alloc_Factor'!L$35,2)</f>
        <v>63105.370000000003</v>
      </c>
      <c r="P62" s="556">
        <f t="shared" si="28"/>
        <v>15892.290000000146</v>
      </c>
      <c r="Q62" s="557">
        <f t="shared" si="20"/>
        <v>2599136</v>
      </c>
      <c r="R62" s="202" t="b">
        <f t="shared" si="21"/>
        <v>1</v>
      </c>
      <c r="S62" s="688">
        <f t="shared" si="7"/>
        <v>0</v>
      </c>
      <c r="T62" s="654"/>
    </row>
    <row r="63" spans="1:20" s="352" customFormat="1" ht="12.75">
      <c r="A63" s="195">
        <f t="shared" si="0"/>
        <v>51</v>
      </c>
      <c r="B63" s="353">
        <v>182</v>
      </c>
      <c r="C63" s="337" t="s">
        <v>789</v>
      </c>
      <c r="D63" s="557">
        <f t="shared" si="14"/>
        <v>-172424.60000000001</v>
      </c>
      <c r="E63" s="557">
        <v>862123</v>
      </c>
      <c r="F63" s="557" t="s">
        <v>799</v>
      </c>
      <c r="G63" s="195" t="s">
        <v>794</v>
      </c>
      <c r="H63" s="426">
        <f>ROUND(+$E63*'[5]II-F Alloc_Factor'!E$41,2)</f>
        <v>0</v>
      </c>
      <c r="I63" s="426">
        <f>ROUND(+$E63*'[5]II-F Alloc_Factor'!F$41,2)</f>
        <v>796951.77000000002</v>
      </c>
      <c r="J63" s="426">
        <f>ROUND(+$E63*'[5]II-F Alloc_Factor'!G$41,2)</f>
        <v>0</v>
      </c>
      <c r="K63" s="557">
        <f t="shared" si="33" ref="K63:K64">SUM(H63:J63)</f>
        <v>796951.77000000002</v>
      </c>
      <c r="L63" s="426">
        <f>ROUND(+$E63*'[5]II-F Alloc_Factor'!I$41,2)</f>
        <v>0</v>
      </c>
      <c r="M63" s="426">
        <f>ROUND(+$E63*'[5]II-F Alloc_Factor'!J$41,2)</f>
        <v>65171.230000000003</v>
      </c>
      <c r="N63" s="557">
        <f t="shared" si="34" ref="N63:N64">SUM(L63:M63)</f>
        <v>65171.230000000003</v>
      </c>
      <c r="O63" s="426">
        <f>ROUND(+$E63*'[5]II-F Alloc_Factor'!L$41,2)</f>
        <v>0</v>
      </c>
      <c r="P63" s="426">
        <f>ROUND(+$E63*'[5]II-F Alloc_Factor'!M$41,2)</f>
        <v>0</v>
      </c>
      <c r="Q63" s="557">
        <f t="shared" si="20"/>
        <v>862123</v>
      </c>
      <c r="R63" s="202" t="b">
        <f t="shared" si="21"/>
        <v>1</v>
      </c>
      <c r="S63" s="688">
        <f t="shared" si="7"/>
        <v>0</v>
      </c>
      <c r="T63" s="654"/>
    </row>
    <row r="64" spans="1:20" s="352" customFormat="1" ht="12.75">
      <c r="A64" s="195">
        <f t="shared" si="0"/>
        <v>52</v>
      </c>
      <c r="B64" s="353">
        <v>182</v>
      </c>
      <c r="C64" s="337" t="s">
        <v>790</v>
      </c>
      <c r="D64" s="557">
        <f t="shared" si="14"/>
        <v>-2325</v>
      </c>
      <c r="E64" s="557">
        <v>11625</v>
      </c>
      <c r="F64" s="557" t="s">
        <v>799</v>
      </c>
      <c r="G64" s="226" t="s">
        <v>794</v>
      </c>
      <c r="H64" s="426">
        <f>ROUND(+$E64*'[5]II-F Alloc_Factor'!E$41,2)</f>
        <v>0</v>
      </c>
      <c r="I64" s="426">
        <f>ROUND(+$E64*'[5]II-F Alloc_Factor'!F$41,2)</f>
        <v>10746.219999999999</v>
      </c>
      <c r="J64" s="426">
        <f>ROUND(+$E64*'[5]II-F Alloc_Factor'!G$41,2)</f>
        <v>0</v>
      </c>
      <c r="K64" s="557">
        <f t="shared" si="33"/>
        <v>10746.219999999999</v>
      </c>
      <c r="L64" s="426">
        <f>ROUND(+$E64*'[5]II-F Alloc_Factor'!I$41,2)</f>
        <v>0</v>
      </c>
      <c r="M64" s="426">
        <f>ROUND(+$E64*'[5]II-F Alloc_Factor'!J$41,2)</f>
        <v>878.77999999999997</v>
      </c>
      <c r="N64" s="557">
        <f t="shared" si="34"/>
        <v>878.77999999999997</v>
      </c>
      <c r="O64" s="426">
        <f>ROUND(+$E64*'[5]II-F Alloc_Factor'!L$41,2)</f>
        <v>0</v>
      </c>
      <c r="P64" s="426">
        <f>ROUND(+$E64*'[5]II-F Alloc_Factor'!M$41,2)</f>
        <v>0</v>
      </c>
      <c r="Q64" s="557">
        <f t="shared" si="20"/>
        <v>11625</v>
      </c>
      <c r="R64" s="202" t="b">
        <f t="shared" si="21"/>
        <v>1</v>
      </c>
      <c r="S64" s="688">
        <f t="shared" si="7"/>
        <v>0</v>
      </c>
      <c r="T64" s="654"/>
    </row>
    <row r="65" spans="1:19" s="352" customFormat="1" ht="12.75">
      <c r="A65" s="195">
        <f t="shared" si="0"/>
        <v>53</v>
      </c>
      <c r="B65" s="353"/>
      <c r="C65" s="12" t="s">
        <v>833</v>
      </c>
      <c r="D65" s="748">
        <f>SUM(D36:D64)</f>
        <v>-481744.79999998934</v>
      </c>
      <c r="E65" s="609">
        <f>SUM(E36:E64)</f>
        <v>2408724</v>
      </c>
      <c r="F65" s="508"/>
      <c r="G65" s="508"/>
      <c r="H65" s="609">
        <f t="shared" si="35" ref="H65:Q65">SUM(H36:H64)</f>
        <v>18453065.169999994</v>
      </c>
      <c r="I65" s="609">
        <f t="shared" si="35"/>
        <v>807697.98999999999</v>
      </c>
      <c r="J65" s="609">
        <f t="shared" si="35"/>
        <v>0</v>
      </c>
      <c r="K65" s="609">
        <f t="shared" si="35"/>
        <v>19260763.159999993</v>
      </c>
      <c r="L65" s="609">
        <f t="shared" si="35"/>
        <v>-11053270.620000003</v>
      </c>
      <c r="M65" s="609">
        <f t="shared" si="35"/>
        <v>66050.010000000009</v>
      </c>
      <c r="N65" s="609">
        <f t="shared" si="35"/>
        <v>-10987220.610000003</v>
      </c>
      <c r="O65" s="609">
        <f t="shared" si="35"/>
        <v>-9619947.4900000021</v>
      </c>
      <c r="P65" s="609">
        <f t="shared" si="35"/>
        <v>3755128.9400000093</v>
      </c>
      <c r="Q65" s="609">
        <f t="shared" si="35"/>
        <v>2408724</v>
      </c>
      <c r="R65" s="202" t="b">
        <f t="shared" si="21"/>
        <v>1</v>
      </c>
      <c r="S65" s="688">
        <f t="shared" si="7"/>
        <v>0</v>
      </c>
    </row>
    <row r="66" spans="1:19" s="352" customFormat="1" ht="12.75">
      <c r="A66" s="195">
        <f t="shared" si="0"/>
        <v>54</v>
      </c>
      <c r="B66" s="353"/>
      <c r="C66" s="337"/>
      <c r="D66" s="747"/>
      <c r="E66" s="557"/>
      <c r="F66" s="2"/>
      <c r="G66" s="15"/>
      <c r="H66" s="15"/>
      <c r="I66" s="15"/>
      <c r="J66" s="15"/>
      <c r="K66" s="15"/>
      <c r="L66" s="15"/>
      <c r="M66" s="15"/>
      <c r="N66" s="15"/>
      <c r="O66" s="15"/>
      <c r="P66" s="15"/>
      <c r="Q66" s="15"/>
      <c r="R66" s="263"/>
      <c r="S66" s="263"/>
    </row>
    <row r="67" spans="1:20" s="352" customFormat="1" ht="12.75">
      <c r="A67" s="195">
        <f t="shared" si="0"/>
        <v>55</v>
      </c>
      <c r="B67" s="353">
        <v>254</v>
      </c>
      <c r="C67" s="337" t="s">
        <v>791</v>
      </c>
      <c r="D67" s="747">
        <f t="shared" si="36" ref="D67:D68">ROUND(-E67/$D$73,2)</f>
        <v>-3330883.3999999999</v>
      </c>
      <c r="E67" s="747">
        <v>16654417</v>
      </c>
      <c r="F67" s="557" t="s">
        <v>798</v>
      </c>
      <c r="G67" s="226" t="s">
        <v>794</v>
      </c>
      <c r="H67" s="556">
        <f>ROUND(+$E67*'[5]II-F Alloc_Factor'!E$40,2)</f>
        <v>7731520.7199999997</v>
      </c>
      <c r="I67" s="556">
        <f>ROUND(+$E67*'[5]II-F Alloc_Factor'!F$40,2)</f>
        <v>0</v>
      </c>
      <c r="J67" s="556">
        <f>ROUND(+$E67*'[5]II-F Alloc_Factor'!G$40,2)</f>
        <v>9863.7399999999998</v>
      </c>
      <c r="K67" s="556">
        <f>SUM(H67:J67)</f>
        <v>7741384.46</v>
      </c>
      <c r="L67" s="556">
        <f>ROUND(+$E67*'[5]II-F Alloc_Factor'!I$40,2)</f>
        <v>8384714.2699999996</v>
      </c>
      <c r="M67" s="556">
        <f>ROUND(+$E67*'[5]II-F Alloc_Factor'!J$40,2)</f>
        <v>0</v>
      </c>
      <c r="N67" s="556">
        <f>SUM(L67:M67)</f>
        <v>8384714.2699999996</v>
      </c>
      <c r="O67" s="556">
        <f>ROUND(+$E67*'[5]II-F Alloc_Factor'!L$40,2)</f>
        <v>285153.67999999999</v>
      </c>
      <c r="P67" s="556">
        <f>+E67-K67-N67-O67</f>
        <v>243164.58999999956</v>
      </c>
      <c r="Q67" s="556">
        <f>+K67+N67+O67+P67</f>
        <v>16654417</v>
      </c>
      <c r="R67" s="202" t="b">
        <f t="shared" si="21"/>
        <v>1</v>
      </c>
      <c r="S67" s="688">
        <f t="shared" si="7"/>
        <v>0</v>
      </c>
      <c r="T67" s="654"/>
    </row>
    <row r="68" spans="1:20" s="352" customFormat="1" ht="12.75">
      <c r="A68" s="195">
        <f t="shared" si="0"/>
        <v>56</v>
      </c>
      <c r="B68" s="353">
        <v>254</v>
      </c>
      <c r="C68" s="337" t="s">
        <v>792</v>
      </c>
      <c r="D68" s="557">
        <f t="shared" si="36"/>
        <v>1721954.8000000001</v>
      </c>
      <c r="E68" s="557">
        <v>-8609774</v>
      </c>
      <c r="F68" s="557" t="s">
        <v>799</v>
      </c>
      <c r="G68" s="226" t="s">
        <v>794</v>
      </c>
      <c r="H68" s="426">
        <f>ROUND(+$E68*'[5]II-F Alloc_Factor'!E$41,2)</f>
        <v>0</v>
      </c>
      <c r="I68" s="426">
        <f>ROUND(+$E68*'[5]II-F Alloc_Factor'!F$41,2)</f>
        <v>-7958927.71</v>
      </c>
      <c r="J68" s="426">
        <f>ROUND(+$E68*'[5]II-F Alloc_Factor'!G$41,2)</f>
        <v>0</v>
      </c>
      <c r="K68" s="557">
        <f>SUM(H68:J68)</f>
        <v>-7958927.71</v>
      </c>
      <c r="L68" s="426">
        <f>ROUND(+$E68*'[5]II-F Alloc_Factor'!I$41,2)</f>
        <v>0</v>
      </c>
      <c r="M68" s="426">
        <f>ROUND(+$E68*'[5]II-F Alloc_Factor'!J$41,2)</f>
        <v>-650846.29000000004</v>
      </c>
      <c r="N68" s="557">
        <f>SUM(L68:M68)</f>
        <v>-650846.29000000004</v>
      </c>
      <c r="O68" s="426">
        <f>ROUND(+$E68*'[5]II-F Alloc_Factor'!L$41,2)</f>
        <v>0</v>
      </c>
      <c r="P68" s="426">
        <f>ROUND(+$E68*'[5]II-F Alloc_Factor'!M$41,2)</f>
        <v>0</v>
      </c>
      <c r="Q68" s="557">
        <f t="shared" si="37" ref="Q68">+K68+N68+O68+P68</f>
        <v>-8609774</v>
      </c>
      <c r="R68" s="202" t="b">
        <f t="shared" si="21"/>
        <v>1</v>
      </c>
      <c r="S68" s="688">
        <f t="shared" si="7"/>
        <v>0</v>
      </c>
      <c r="T68" s="654"/>
    </row>
    <row r="69" spans="1:19" s="352" customFormat="1" ht="12.75">
      <c r="A69" s="195">
        <f t="shared" si="0"/>
        <v>57</v>
      </c>
      <c r="B69" s="353"/>
      <c r="C69" s="12" t="s">
        <v>834</v>
      </c>
      <c r="D69" s="748">
        <f>SUM(D67:D68)</f>
        <v>-1608928.5999999999</v>
      </c>
      <c r="E69" s="609">
        <f>SUM(E67:E68)</f>
        <v>8044643</v>
      </c>
      <c r="F69" s="508"/>
      <c r="G69" s="508"/>
      <c r="H69" s="609">
        <f t="shared" si="38" ref="H69:Q69">SUM(H67:H68)</f>
        <v>7731520.7199999997</v>
      </c>
      <c r="I69" s="609">
        <f t="shared" si="38"/>
        <v>-7958927.71</v>
      </c>
      <c r="J69" s="609">
        <f t="shared" si="38"/>
        <v>9863.7399999999998</v>
      </c>
      <c r="K69" s="609">
        <f t="shared" si="38"/>
        <v>-217543.25</v>
      </c>
      <c r="L69" s="609">
        <f t="shared" si="38"/>
        <v>8384714.2699999996</v>
      </c>
      <c r="M69" s="609">
        <f t="shared" si="38"/>
        <v>-650846.29000000004</v>
      </c>
      <c r="N69" s="609">
        <f t="shared" si="38"/>
        <v>7733867.9799999995</v>
      </c>
      <c r="O69" s="609">
        <f t="shared" si="38"/>
        <v>285153.67999999999</v>
      </c>
      <c r="P69" s="609">
        <f t="shared" si="38"/>
        <v>243164.58999999956</v>
      </c>
      <c r="Q69" s="609">
        <f t="shared" si="38"/>
        <v>8044643</v>
      </c>
      <c r="R69" s="202" t="b">
        <f t="shared" si="39" ref="R69">+E69=Q69</f>
        <v>1</v>
      </c>
      <c r="S69" s="688">
        <f t="shared" si="40" ref="S69">+E69-Q69</f>
        <v>0</v>
      </c>
    </row>
    <row r="70" spans="1:19" s="352" customFormat="1" ht="12.75">
      <c r="A70" s="195">
        <f t="shared" si="0"/>
        <v>58</v>
      </c>
      <c r="B70" s="353"/>
      <c r="D70" s="749"/>
      <c r="E70" s="610"/>
      <c r="F70" s="508"/>
      <c r="G70" s="508"/>
      <c r="H70" s="610"/>
      <c r="I70" s="610"/>
      <c r="J70" s="610"/>
      <c r="K70" s="610"/>
      <c r="L70" s="610"/>
      <c r="M70" s="610"/>
      <c r="N70" s="610"/>
      <c r="O70" s="610"/>
      <c r="P70" s="610"/>
      <c r="Q70" s="610"/>
      <c r="R70" s="263"/>
      <c r="S70" s="263"/>
    </row>
    <row r="71" spans="1:19" s="352" customFormat="1" ht="13.5" thickBot="1">
      <c r="A71" s="195">
        <f t="shared" si="0"/>
        <v>59</v>
      </c>
      <c r="B71" s="353"/>
      <c r="C71" s="352" t="s">
        <v>835</v>
      </c>
      <c r="D71" s="613">
        <f>+D34+D65+D69</f>
        <v>34480878.20000001</v>
      </c>
      <c r="E71" s="613">
        <f>+E34+E65+E69</f>
        <v>-172404391</v>
      </c>
      <c r="F71" s="2"/>
      <c r="G71" s="15"/>
      <c r="H71" s="613">
        <f>+H34+H65+H69</f>
        <v>-58618867.54999999</v>
      </c>
      <c r="I71" s="613">
        <f t="shared" si="41" ref="I71:Q71">+I34+I65+I69</f>
        <v>-7320587.3899999997</v>
      </c>
      <c r="J71" s="613">
        <f t="shared" si="41"/>
        <v>-98327</v>
      </c>
      <c r="K71" s="613">
        <f t="shared" si="41"/>
        <v>-66037781.940000013</v>
      </c>
      <c r="L71" s="613">
        <f t="shared" si="41"/>
        <v>-94636585.860000014</v>
      </c>
      <c r="M71" s="613">
        <f t="shared" si="41"/>
        <v>-598645.60999999999</v>
      </c>
      <c r="N71" s="613">
        <f t="shared" si="41"/>
        <v>-95235231.469999999</v>
      </c>
      <c r="O71" s="613">
        <f t="shared" si="41"/>
        <v>-12462511.810000002</v>
      </c>
      <c r="P71" s="613">
        <f t="shared" si="41"/>
        <v>1331134.2200000121</v>
      </c>
      <c r="Q71" s="613">
        <f t="shared" si="41"/>
        <v>-172404391</v>
      </c>
      <c r="R71" s="202" t="b">
        <f t="shared" si="42" ref="R71">+E71=Q71</f>
        <v>1</v>
      </c>
      <c r="S71" s="688">
        <f t="shared" si="43" ref="S71">+E71-Q71</f>
        <v>0</v>
      </c>
    </row>
    <row r="72" spans="1:19" s="352" customFormat="1" ht="13.5" thickTop="1">
      <c r="A72" s="195">
        <f t="shared" si="0"/>
        <v>60</v>
      </c>
      <c r="B72" s="353"/>
      <c r="C72" s="608"/>
      <c r="D72" s="747"/>
      <c r="E72" s="557"/>
      <c r="F72" s="2"/>
      <c r="G72" s="15"/>
      <c r="H72" s="15"/>
      <c r="I72" s="15"/>
      <c r="J72" s="15"/>
      <c r="K72" s="15"/>
      <c r="L72" s="15"/>
      <c r="M72" s="15"/>
      <c r="N72" s="15"/>
      <c r="O72" s="15"/>
      <c r="P72" s="15"/>
      <c r="Q72" s="15"/>
      <c r="R72" s="263"/>
      <c r="S72" s="263"/>
    </row>
    <row r="73" spans="1:19" s="352" customFormat="1" ht="12.75">
      <c r="A73" s="195">
        <f t="shared" si="0"/>
        <v>61</v>
      </c>
      <c r="B73" s="353"/>
      <c r="C73" s="608" t="s">
        <v>1291</v>
      </c>
      <c r="D73" s="824">
        <v>5</v>
      </c>
      <c r="E73" s="557"/>
      <c r="F73" s="2"/>
      <c r="G73" s="15"/>
      <c r="H73" s="15"/>
      <c r="I73" s="15"/>
      <c r="J73" s="15"/>
      <c r="K73" s="15"/>
      <c r="L73" s="15"/>
      <c r="M73" s="15"/>
      <c r="N73" s="15"/>
      <c r="O73" s="15"/>
      <c r="P73" s="15"/>
      <c r="Q73" s="15"/>
      <c r="R73" s="263"/>
      <c r="S73" s="263"/>
    </row>
    <row r="74" spans="1:19" s="352" customFormat="1" ht="12.75">
      <c r="A74" s="195">
        <f t="shared" si="0"/>
        <v>62</v>
      </c>
      <c r="B74" s="353"/>
      <c r="C74" s="608"/>
      <c r="D74" s="747"/>
      <c r="E74" s="557"/>
      <c r="F74" s="2"/>
      <c r="G74" s="15"/>
      <c r="H74" s="15"/>
      <c r="I74" s="15"/>
      <c r="J74" s="15"/>
      <c r="K74" s="15"/>
      <c r="L74" s="15"/>
      <c r="M74" s="15"/>
      <c r="N74" s="15"/>
      <c r="O74" s="15"/>
      <c r="P74" s="15"/>
      <c r="Q74" s="15"/>
      <c r="R74" s="263"/>
      <c r="S74" s="263"/>
    </row>
    <row r="75" spans="1:19" s="194" customFormat="1" ht="13.5" thickBot="1">
      <c r="A75" s="195">
        <f t="shared" si="0"/>
        <v>63</v>
      </c>
      <c r="B75" s="177"/>
      <c r="C75" s="194" t="s">
        <v>793</v>
      </c>
      <c r="D75" s="612">
        <f>+D19+D71</f>
        <v>50714635.20000001</v>
      </c>
      <c r="E75" s="612">
        <f>+E19+E71</f>
        <v>-1138800768</v>
      </c>
      <c r="F75" s="616"/>
      <c r="G75" s="478"/>
      <c r="H75" s="612">
        <f t="shared" si="44" ref="H75:Q75">+H19+H71</f>
        <v>-485033420.38999999</v>
      </c>
      <c r="I75" s="612">
        <f t="shared" si="44"/>
        <v>-51562335.770000003</v>
      </c>
      <c r="J75" s="612">
        <f t="shared" si="44"/>
        <v>-642339.16000000003</v>
      </c>
      <c r="K75" s="612">
        <f t="shared" si="44"/>
        <v>-537238095.32000005</v>
      </c>
      <c r="L75" s="612">
        <f t="shared" si="44"/>
        <v>-557076552.59000003</v>
      </c>
      <c r="M75" s="612">
        <f t="shared" si="44"/>
        <v>-4216542.2300000004</v>
      </c>
      <c r="N75" s="612">
        <f t="shared" si="44"/>
        <v>-561293094.82000005</v>
      </c>
      <c r="O75" s="612">
        <f t="shared" si="44"/>
        <v>-28189518.420000002</v>
      </c>
      <c r="P75" s="612">
        <f t="shared" si="44"/>
        <v>-12080059.439999988</v>
      </c>
      <c r="Q75" s="612">
        <f t="shared" si="44"/>
        <v>-1138800768</v>
      </c>
      <c r="R75" s="202" t="b">
        <f t="shared" si="45" ref="R75">+E75=Q75</f>
        <v>1</v>
      </c>
      <c r="S75" s="688">
        <f t="shared" si="46" ref="S75">+E75-Q75</f>
        <v>0</v>
      </c>
    </row>
    <row r="76" spans="1:19" s="352" customFormat="1" ht="13.5" thickTop="1">
      <c r="A76" s="353"/>
      <c r="B76" s="353"/>
      <c r="D76" s="556"/>
      <c r="E76" s="557"/>
      <c r="F76" s="2"/>
      <c r="G76" s="15"/>
      <c r="H76" s="15"/>
      <c r="I76" s="15"/>
      <c r="J76" s="15"/>
      <c r="K76" s="15"/>
      <c r="L76" s="15"/>
      <c r="M76" s="15"/>
      <c r="N76" s="15"/>
      <c r="O76" s="15"/>
      <c r="P76" s="15"/>
      <c r="Q76" s="15"/>
      <c r="R76" s="263"/>
      <c r="S76" s="263"/>
    </row>
    <row r="77" spans="7:7" ht="12.75">
      <c r="G77" s="255"/>
    </row>
    <row r="78" spans="3:17" ht="12.75">
      <c r="C78" s="602" t="s">
        <v>796</v>
      </c>
      <c r="D78" s="620">
        <f>+'II-E-3.18'!G31</f>
        <v>50714635.20000001</v>
      </c>
      <c r="E78" s="783">
        <f>+'[6]II-B-12'!$I$92</f>
        <v>-1138800768.0468128</v>
      </c>
      <c r="F78" s="623" t="s">
        <v>573</v>
      </c>
      <c r="H78" s="780">
        <f>+'[6]II-B-12'!N92</f>
        <v>-485033420.38999993</v>
      </c>
      <c r="I78" s="780">
        <f>+'[6]II-B-12'!O92</f>
        <v>-51562335.770000003</v>
      </c>
      <c r="J78" s="780">
        <f>+'[6]II-B-12'!P92</f>
        <v>-642339.16000000003</v>
      </c>
      <c r="K78" s="780">
        <f>+'[6]II-B-12'!Q92</f>
        <v>-537238095.32000005</v>
      </c>
      <c r="L78" s="780">
        <f>+'[6]II-B-12'!R92</f>
        <v>-557076552.59000003</v>
      </c>
      <c r="M78" s="780">
        <f>+'[6]II-B-12'!S92</f>
        <v>-4216542.2300000004</v>
      </c>
      <c r="N78" s="780">
        <f>+'[6]II-B-12'!T92</f>
        <v>-561293094.82000005</v>
      </c>
      <c r="O78" s="780">
        <f>+'[6]II-B-12'!U92</f>
        <v>-28189518.420000002</v>
      </c>
      <c r="P78" s="780">
        <f>+'[6]II-B-12'!V92</f>
        <v>-12080059.486812716</v>
      </c>
      <c r="Q78" s="780">
        <f>+'[6]II-B-12'!W92</f>
        <v>-1138800768.0468128</v>
      </c>
    </row>
    <row r="79" spans="3:17" ht="12.75">
      <c r="C79" s="602" t="s">
        <v>797</v>
      </c>
      <c r="D79" s="784">
        <f>+D78-D75</f>
        <v>0</v>
      </c>
      <c r="E79" s="783">
        <f>+E78-E75</f>
        <v>-0.046812772750854492</v>
      </c>
      <c r="H79" s="780">
        <f>+H78-H75</f>
        <v>0</v>
      </c>
      <c r="I79" s="785">
        <f t="shared" si="47" ref="I79:Q79">+I78-I75</f>
        <v>0</v>
      </c>
      <c r="J79" s="780">
        <f t="shared" si="47"/>
        <v>0</v>
      </c>
      <c r="K79" s="780">
        <f t="shared" si="47"/>
        <v>0</v>
      </c>
      <c r="L79" s="780">
        <f t="shared" si="47"/>
        <v>0</v>
      </c>
      <c r="M79" s="780">
        <f t="shared" si="47"/>
        <v>0</v>
      </c>
      <c r="N79" s="780">
        <f t="shared" si="47"/>
        <v>0</v>
      </c>
      <c r="O79" s="780">
        <f t="shared" si="47"/>
        <v>0</v>
      </c>
      <c r="P79" s="780">
        <f t="shared" si="47"/>
        <v>-0.046812728047370911</v>
      </c>
      <c r="Q79" s="780">
        <f t="shared" si="47"/>
        <v>-0.046812772750854492</v>
      </c>
    </row>
    <row r="81" spans="3:5" ht="12.75">
      <c r="C81" s="602" t="s">
        <v>232</v>
      </c>
      <c r="D81" s="620">
        <f>SUM('II-E-3'!I22:I24)</f>
        <v>50714635.519999996</v>
      </c>
      <c r="E81" s="620"/>
    </row>
    <row r="82" spans="3:5" ht="12.75">
      <c r="C82" s="602"/>
      <c r="D82" s="784">
        <f>+D81-D75</f>
        <v>0.31999998539686203</v>
      </c>
      <c r="E82" s="620"/>
    </row>
  </sheetData>
  <printOptions horizontalCentered="1"/>
  <pageMargins left="0.5" right="0.5" top="3" bottom="0.5" header="1.5" footer="0.5"/>
  <pageSetup fitToHeight="0" fitToWidth="2" orientation="landscape" pageOrder="overThenDown" scale="61" r:id="rId1"/>
  <headerFooter alignWithMargins="0">
    <oddHeader>&amp;C&amp;B
2022 RATE CASE
ONCOR ELECTRIC DELIVERY COMPANY LLC
II-E-3.19  ANALYSIS OF EXCESS DEFERRED TAXES BY TIMING DIFFERENCE
TEST YEAR ENDING DECEMBER 31, 2021
SPONSOR: B. L. CLUTTER&amp;R&amp;"Arial,Bold"Schedule &amp;A
Page &amp;P of &amp;N</oddHeader>
  </headerFooter>
  <rowBreaks count="1" manualBreakCount="1">
    <brk id="35" max="16" man="1"/>
  </rowBreaks>
  <colBreaks count="1" manualBreakCount="1">
    <brk id="7" min="9" max="74" man="1"/>
  </colBreak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09">
    <tabColor rgb="FF92D050"/>
    <pageSetUpPr fitToPage="1"/>
  </sheetPr>
  <dimension ref="A1:T14"/>
  <sheetViews>
    <sheetView workbookViewId="0" topLeftCell="A1">
      <selection pane="topLeft" activeCell="H16" sqref="H16"/>
    </sheetView>
  </sheetViews>
  <sheetFormatPr defaultColWidth="9.14428571428571" defaultRowHeight="15"/>
  <cols>
    <col min="1" max="1" width="5.57142857142857" style="155" customWidth="1"/>
    <col min="2" max="2" width="31.8571428571429" style="155" customWidth="1"/>
    <col min="3" max="3" width="2.71428571428571" style="155" customWidth="1"/>
    <col min="4" max="4" width="10.7142857142857" style="155" bestFit="1" customWidth="1"/>
    <col min="5" max="5" width="11.2857142857143" style="155" bestFit="1" customWidth="1"/>
    <col min="6" max="6" width="2.71428571428571" style="155" customWidth="1"/>
    <col min="7" max="7" width="11.7142857142857" style="155" bestFit="1" customWidth="1"/>
    <col min="8" max="8" width="11.2857142857143" style="155" bestFit="1" customWidth="1"/>
    <col min="9" max="9" width="2.71428571428571" style="155" customWidth="1"/>
    <col min="10" max="10" width="9.71428571428571" style="155" bestFit="1" customWidth="1"/>
    <col min="11" max="11" width="10.2857142857143" style="155" bestFit="1" customWidth="1"/>
    <col min="12" max="12" width="2.71428571428571" style="155" customWidth="1"/>
    <col min="13" max="14" width="9.14285714285714" style="155"/>
    <col min="15" max="15" width="2.71428571428571" style="155" customWidth="1"/>
    <col min="16" max="17" width="9.14285714285714" style="155"/>
    <col min="18" max="18" width="2.71428571428571" style="155" customWidth="1"/>
    <col min="19" max="16384" width="9.14285714285714" style="155"/>
  </cols>
  <sheetData>
    <row r="1" spans="1:1" ht="15.75">
      <c r="A1" s="154" t="str">
        <f>+'[3]Input Data'!$A$9</f>
        <v>2022 RATE CASE</v>
      </c>
    </row>
    <row r="2" spans="1:1" ht="15.75">
      <c r="A2" s="156" t="str">
        <f>+'[3]Input Data'!$A$2</f>
        <v>ONCOR ELECTRIC DELIVERY COMPANY LLC</v>
      </c>
    </row>
    <row r="3" spans="1:1" ht="15.75">
      <c r="A3" s="158" t="str">
        <f>CONCATENATE('[3]Schedule Sponsors'!$A$105,'[3]Schedule Sponsors'!$B$105)</f>
        <v>II-E-3.20  EFFECTS OF POST TEST YEAR ADJUSTMENT</v>
      </c>
    </row>
    <row r="4" spans="1:1" ht="15.75">
      <c r="A4" s="158" t="str">
        <f>+'[3]Input Data'!$A$4</f>
        <v>TEST YEAR ENDING DECEMBER 31, 2021</v>
      </c>
    </row>
    <row r="5" spans="1:1" ht="15.75">
      <c r="A5" s="157" t="str">
        <f>CONCATENATE("SPONSOR: ",'[3]Schedule Sponsors'!$D$107)</f>
        <v>SPONSOR: B. L. CLUTTER</v>
      </c>
    </row>
    <row r="10" spans="1:1" ht="15">
      <c r="A10" s="99" t="s">
        <v>252</v>
      </c>
    </row>
    <row r="11" spans="1:1" ht="15">
      <c r="A11" s="100" t="s">
        <v>147</v>
      </c>
    </row>
    <row r="12" spans="1:20" ht="15.75">
      <c r="A12" s="153">
        <v>1</v>
      </c>
      <c r="B12" s="155" t="s">
        <v>11</v>
      </c>
      <c r="E12" s="161"/>
      <c r="F12" s="154"/>
      <c r="G12" s="154"/>
      <c r="H12" s="161"/>
      <c r="I12" s="154"/>
      <c r="J12" s="154"/>
      <c r="K12" s="161"/>
      <c r="M12" s="154"/>
      <c r="N12" s="161"/>
      <c r="P12" s="154"/>
      <c r="Q12" s="161"/>
      <c r="S12" s="154"/>
      <c r="T12" s="161"/>
    </row>
    <row r="13" spans="1:19" ht="15">
      <c r="A13" s="153"/>
      <c r="D13" s="162"/>
      <c r="G13" s="162"/>
      <c r="J13" s="162"/>
      <c r="M13" s="162"/>
      <c r="P13" s="162"/>
      <c r="S13" s="162"/>
    </row>
    <row r="14" spans="3:10" ht="15">
      <c r="C14" s="159"/>
      <c r="D14" s="163"/>
      <c r="F14" s="162"/>
      <c r="J14" s="160"/>
    </row>
  </sheetData>
  <printOptions horizontalCentered="1"/>
  <pageMargins left="0.5" right="0.5" top="3" bottom="0.5" header="1.5" footer="0.5"/>
  <pageSetup orientation="landscape" pageOrder="overThenDown" r:id="rId1"/>
  <headerFooter alignWithMargins="0">
    <oddHeader>&amp;C&amp;B
2022 RATE CASE
ONCOR ELECTRIC DELIVERY COMPANY LLC
II-E-3.20  EFFECTS OF POST TEST YEAR ADJUSTMENT
TEST YEAR ENDING DECEMBER 31, 2021
SPONSOR: B. L. CLUTTER&amp;R&amp;"Arial,Bold"Schedule &amp;A
Page &amp;P of &amp;N</oddHead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0">
    <tabColor rgb="FF92D050"/>
    <pageSetUpPr fitToPage="1"/>
  </sheetPr>
  <dimension ref="A1:D21"/>
  <sheetViews>
    <sheetView workbookViewId="0" topLeftCell="A1">
      <selection pane="topLeft" activeCell="H16" sqref="H16"/>
    </sheetView>
  </sheetViews>
  <sheetFormatPr defaultColWidth="9.14428571428571" defaultRowHeight="12.75"/>
  <cols>
    <col min="1" max="1" width="9.14285714285714" style="347"/>
    <col min="2" max="2" width="20.1428571428571" style="347" customWidth="1"/>
    <col min="3" max="3" width="3.28571428571429" style="347" customWidth="1"/>
    <col min="4" max="4" width="18.2857142857143" style="347" customWidth="1"/>
    <col min="5" max="16384" width="9.14285714285714" style="347"/>
  </cols>
  <sheetData>
    <row r="1" spans="1:1" ht="12.75">
      <c r="A1" s="194" t="str">
        <f>+'[3]Input Data'!$A$9</f>
        <v>2022 RATE CASE</v>
      </c>
    </row>
    <row r="2" spans="1:1" ht="12.75">
      <c r="A2" s="193" t="str">
        <f>+'[3]Input Data'!$A$2</f>
        <v>ONCOR ELECTRIC DELIVERY COMPANY LLC</v>
      </c>
    </row>
    <row r="3" spans="1:1" ht="12.75">
      <c r="A3" s="193" t="str">
        <f>CONCATENATE('[3]Schedule Sponsors'!$A$106,'[3]Schedule Sponsors'!$B$106)</f>
        <v>II-E-3.21  LIST OF FIT TESTIMONY</v>
      </c>
    </row>
    <row r="4" spans="1:1" ht="12.75">
      <c r="A4" s="192" t="str">
        <f>+'[3]Input Data'!$A$4</f>
        <v>TEST YEAR ENDING DECEMBER 31, 2021</v>
      </c>
    </row>
    <row r="5" spans="1:1" ht="12.75">
      <c r="A5" s="190" t="str">
        <f>CONCATENATE("SPONSOR: ",'[3]Schedule Sponsors'!$D$108)</f>
        <v>SPONSOR: B. L. CLUTTER</v>
      </c>
    </row>
    <row r="10" spans="1:4" ht="12.75">
      <c r="A10" s="177" t="s">
        <v>252</v>
      </c>
      <c r="B10" s="177"/>
      <c r="C10" s="177"/>
      <c r="D10" s="177" t="s">
        <v>626</v>
      </c>
    </row>
    <row r="11" spans="1:4" ht="12.75">
      <c r="A11" s="182" t="s">
        <v>147</v>
      </c>
      <c r="B11" s="182" t="s">
        <v>53</v>
      </c>
      <c r="C11" s="182"/>
      <c r="D11" s="182" t="s">
        <v>627</v>
      </c>
    </row>
    <row r="12" spans="1:4" ht="12.75">
      <c r="A12" s="145">
        <v>1</v>
      </c>
      <c r="B12" s="353" t="s">
        <v>1213</v>
      </c>
      <c r="D12" s="353" t="s">
        <v>1288</v>
      </c>
    </row>
    <row r="13" spans="1:4" ht="12.75">
      <c r="A13" s="145"/>
      <c r="B13" s="145"/>
      <c r="C13" s="174"/>
      <c r="D13" s="145"/>
    </row>
    <row r="14" spans="1:4" ht="12.75">
      <c r="A14" s="145"/>
      <c r="B14" s="145"/>
      <c r="C14" s="174"/>
      <c r="D14" s="145"/>
    </row>
    <row r="15" spans="1:4" ht="12.75">
      <c r="A15" s="145"/>
      <c r="B15" s="145"/>
      <c r="C15" s="148"/>
      <c r="D15" s="145"/>
    </row>
    <row r="16" spans="1:4" ht="12.75">
      <c r="A16" s="145"/>
      <c r="B16" s="145"/>
      <c r="D16" s="145"/>
    </row>
    <row r="17" spans="1:4" ht="12.75">
      <c r="A17" s="145"/>
      <c r="B17" s="145"/>
      <c r="D17" s="145"/>
    </row>
    <row r="18" spans="1:1" ht="12.75">
      <c r="A18" s="145"/>
    </row>
    <row r="19" spans="1:2" ht="12.75">
      <c r="A19" s="145"/>
      <c r="B19" s="152"/>
    </row>
    <row r="20" spans="1:1" ht="12.75">
      <c r="A20" s="145"/>
    </row>
    <row r="21" spans="1:1" ht="12.75">
      <c r="A21" s="145"/>
    </row>
  </sheetData>
  <printOptions horizontalCentered="1"/>
  <pageMargins left="0.5" right="0.5" top="3" bottom="0.5" header="1.5" footer="0.5"/>
  <pageSetup orientation="landscape" pageOrder="overThenDown" r:id="rId1"/>
  <headerFooter alignWithMargins="0">
    <oddHeader>&amp;C&amp;B
2022 RATE CASE
ONCOR ELECTRIC DELIVERY COMPANY LLC
II-E-3.21  LIST OF FIT TESTIMONY
TEST YEAR ENDING DECEMBER 31, 2021
SPONSOR: B. L. CLUTTER&amp;R&amp;"Arial,Bold"Schedule&amp;A
Page &amp;P of &amp;N</oddHead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8">
    <tabColor rgb="FF92D050"/>
    <pageSetUpPr fitToPage="1"/>
  </sheetPr>
  <dimension ref="A1:Q62"/>
  <sheetViews>
    <sheetView showGridLines="0" workbookViewId="0" topLeftCell="A28">
      <selection pane="topLeft" activeCell="H16" sqref="H16"/>
    </sheetView>
  </sheetViews>
  <sheetFormatPr defaultColWidth="9.14428571428571" defaultRowHeight="12.75"/>
  <cols>
    <col min="1" max="1" width="20.8571428571429" style="148" customWidth="1"/>
    <col min="2" max="2" width="12.1428571428571" style="148" customWidth="1"/>
    <col min="3" max="3" width="17.8571428571429" style="148" customWidth="1"/>
    <col min="4"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Sponsors'!$A$107,'[3]Schedule Sponsors'!$B$107)</f>
        <v>II-E-3.22  HISTORY OF TAX NORMALIZATION</v>
      </c>
    </row>
    <row r="4" spans="1:1" ht="12.75">
      <c r="A4" s="192" t="str">
        <f>+'[3]Input Data'!$A$4</f>
        <v>TEST YEAR ENDING DECEMBER 31, 2021</v>
      </c>
    </row>
    <row r="5" spans="1:1" ht="12.75">
      <c r="A5" s="190" t="str">
        <f>CONCATENATE("SPONSOR: ",'[3]Schedule Sponsors'!$D$109)</f>
        <v>SPONSOR: B. L. CLUTTER</v>
      </c>
    </row>
    <row r="10" spans="1:13" ht="24.95" customHeight="1">
      <c r="A10" s="834" t="s">
        <v>409</v>
      </c>
      <c r="B10" s="839"/>
      <c r="C10" s="839"/>
      <c r="D10" s="839"/>
      <c r="E10" s="839"/>
      <c r="F10" s="839"/>
      <c r="G10" s="839"/>
      <c r="H10" s="839"/>
      <c r="I10" s="839"/>
      <c r="J10" s="839"/>
      <c r="K10" s="839"/>
      <c r="L10" s="839"/>
      <c r="M10" s="839"/>
    </row>
    <row r="11" spans="1:1" ht="12.6" customHeight="1">
      <c r="A11" s="151"/>
    </row>
    <row r="12" spans="1:17" ht="62.45" customHeight="1">
      <c r="A12" s="834" t="s">
        <v>410</v>
      </c>
      <c r="B12" s="839"/>
      <c r="C12" s="839"/>
      <c r="D12" s="839"/>
      <c r="E12" s="839"/>
      <c r="F12" s="839"/>
      <c r="G12" s="839"/>
      <c r="H12" s="839"/>
      <c r="I12" s="839"/>
      <c r="J12" s="839"/>
      <c r="K12" s="839"/>
      <c r="L12" s="839"/>
      <c r="M12" s="839"/>
      <c r="Q12" s="17"/>
    </row>
    <row r="13" spans="1:1" ht="12.6" customHeight="1">
      <c r="A13" s="151"/>
    </row>
    <row r="14" spans="1:17" ht="12.75">
      <c r="A14" s="834" t="s">
        <v>411</v>
      </c>
      <c r="B14" s="839"/>
      <c r="C14" s="839"/>
      <c r="D14" s="839"/>
      <c r="E14" s="839"/>
      <c r="F14" s="839"/>
      <c r="G14" s="839"/>
      <c r="H14" s="839"/>
      <c r="I14" s="839"/>
      <c r="J14" s="839"/>
      <c r="K14" s="839"/>
      <c r="L14" s="839"/>
      <c r="M14" s="839"/>
      <c r="Q14" s="17"/>
    </row>
    <row r="15" spans="1:1" ht="12.75">
      <c r="A15" s="150"/>
    </row>
    <row r="16" spans="1:3" ht="12.75">
      <c r="A16" s="371" t="s">
        <v>474</v>
      </c>
      <c r="B16" s="353" t="s">
        <v>289</v>
      </c>
      <c r="C16" s="353" t="s">
        <v>472</v>
      </c>
    </row>
    <row r="17" spans="1:3" ht="12.75">
      <c r="A17" s="371" t="s">
        <v>477</v>
      </c>
      <c r="B17" s="353">
        <v>178</v>
      </c>
      <c r="C17" s="372" t="s">
        <v>473</v>
      </c>
    </row>
    <row r="18" spans="1:3" ht="12.75">
      <c r="A18" s="371" t="s">
        <v>475</v>
      </c>
      <c r="B18" s="353">
        <v>527</v>
      </c>
      <c r="C18" s="348" t="s">
        <v>478</v>
      </c>
    </row>
    <row r="19" spans="1:3" ht="12.75">
      <c r="A19" s="371" t="s">
        <v>476</v>
      </c>
      <c r="B19" s="353">
        <v>1526</v>
      </c>
      <c r="C19" s="348" t="s">
        <v>479</v>
      </c>
    </row>
    <row r="20" spans="1:1" ht="12.6" customHeight="1">
      <c r="A20" s="150"/>
    </row>
    <row r="21" spans="1:13" ht="12.75">
      <c r="A21" s="834" t="s">
        <v>1031</v>
      </c>
      <c r="B21" s="839"/>
      <c r="C21" s="839"/>
      <c r="D21" s="839"/>
      <c r="E21" s="839"/>
      <c r="F21" s="839"/>
      <c r="G21" s="839"/>
      <c r="H21" s="839"/>
      <c r="I21" s="839"/>
      <c r="J21" s="839"/>
      <c r="K21" s="839"/>
      <c r="L21" s="839"/>
      <c r="M21" s="839"/>
    </row>
    <row r="22" spans="1:1" ht="12.75">
      <c r="A22" s="150"/>
    </row>
    <row r="23" spans="1:13" ht="37.5" customHeight="1">
      <c r="A23" s="834" t="s">
        <v>412</v>
      </c>
      <c r="B23" s="839"/>
      <c r="C23" s="839"/>
      <c r="D23" s="839"/>
      <c r="E23" s="839"/>
      <c r="F23" s="839"/>
      <c r="G23" s="839"/>
      <c r="H23" s="839"/>
      <c r="I23" s="839"/>
      <c r="J23" s="839"/>
      <c r="K23" s="839"/>
      <c r="L23" s="839"/>
      <c r="M23" s="839"/>
    </row>
    <row r="24" spans="1:7" ht="12.6" customHeight="1">
      <c r="A24" s="832"/>
      <c r="B24" s="832"/>
      <c r="C24" s="832"/>
      <c r="D24" s="832"/>
      <c r="E24" s="194"/>
      <c r="F24" s="832"/>
      <c r="G24" s="832"/>
    </row>
    <row r="25" spans="1:17" ht="50.1" customHeight="1">
      <c r="A25" s="834" t="s">
        <v>836</v>
      </c>
      <c r="B25" s="835"/>
      <c r="C25" s="836"/>
      <c r="D25" s="836"/>
      <c r="E25" s="836"/>
      <c r="F25" s="836"/>
      <c r="G25" s="836"/>
      <c r="H25" s="836"/>
      <c r="I25" s="836"/>
      <c r="J25" s="836"/>
      <c r="K25" s="836"/>
      <c r="L25" s="836"/>
      <c r="M25" s="836"/>
      <c r="Q25" s="17"/>
    </row>
    <row r="26" spans="1:7" ht="12.6" customHeight="1">
      <c r="A26" s="838"/>
      <c r="B26" s="838"/>
      <c r="C26" s="838"/>
      <c r="D26" s="838"/>
      <c r="F26" s="837"/>
      <c r="G26" s="837"/>
    </row>
    <row r="27" spans="1:13" ht="50.1" customHeight="1">
      <c r="A27" s="834" t="s">
        <v>1</v>
      </c>
      <c r="B27" s="835"/>
      <c r="C27" s="836"/>
      <c r="D27" s="836"/>
      <c r="E27" s="836"/>
      <c r="F27" s="836"/>
      <c r="G27" s="836"/>
      <c r="H27" s="836"/>
      <c r="I27" s="836"/>
      <c r="J27" s="836"/>
      <c r="K27" s="836"/>
      <c r="L27" s="836"/>
      <c r="M27" s="836"/>
    </row>
    <row r="28" spans="1:1" ht="12.6" customHeight="1">
      <c r="A28" s="151"/>
    </row>
    <row r="29" spans="1:17" ht="50.1" customHeight="1">
      <c r="A29" s="834" t="s">
        <v>837</v>
      </c>
      <c r="B29" s="835"/>
      <c r="C29" s="836"/>
      <c r="D29" s="836"/>
      <c r="E29" s="836"/>
      <c r="F29" s="836"/>
      <c r="G29" s="836"/>
      <c r="H29" s="836"/>
      <c r="I29" s="836"/>
      <c r="J29" s="836"/>
      <c r="K29" s="836"/>
      <c r="L29" s="836"/>
      <c r="M29" s="836"/>
      <c r="Q29" s="17"/>
    </row>
    <row r="30" spans="1:1" ht="12.75">
      <c r="A30" s="150"/>
    </row>
    <row r="31" spans="1:17" ht="62.45" customHeight="1">
      <c r="A31" s="834" t="s">
        <v>838</v>
      </c>
      <c r="B31" s="835"/>
      <c r="C31" s="836"/>
      <c r="D31" s="836"/>
      <c r="E31" s="836"/>
      <c r="F31" s="836"/>
      <c r="G31" s="836"/>
      <c r="H31" s="836"/>
      <c r="I31" s="836"/>
      <c r="J31" s="836"/>
      <c r="K31" s="836"/>
      <c r="L31" s="836"/>
      <c r="M31" s="836"/>
      <c r="Q31" s="17"/>
    </row>
    <row r="32" spans="1:1" ht="12.6" customHeight="1">
      <c r="A32" s="150"/>
    </row>
    <row r="33" spans="1:13" ht="12.6" customHeight="1">
      <c r="A33" s="834" t="s">
        <v>22</v>
      </c>
      <c r="B33" s="835"/>
      <c r="C33" s="836"/>
      <c r="D33" s="836"/>
      <c r="E33" s="836"/>
      <c r="F33" s="836"/>
      <c r="G33" s="836"/>
      <c r="H33" s="836"/>
      <c r="I33" s="836"/>
      <c r="J33" s="836"/>
      <c r="K33" s="836"/>
      <c r="L33" s="836"/>
      <c r="M33" s="836"/>
    </row>
    <row r="34" spans="1:1" ht="12.6" customHeight="1">
      <c r="A34" s="150"/>
    </row>
    <row r="35" spans="1:13" ht="37.5" customHeight="1">
      <c r="A35" s="834" t="s">
        <v>839</v>
      </c>
      <c r="B35" s="835"/>
      <c r="C35" s="836"/>
      <c r="D35" s="836"/>
      <c r="E35" s="836"/>
      <c r="F35" s="836"/>
      <c r="G35" s="836"/>
      <c r="H35" s="836"/>
      <c r="I35" s="836"/>
      <c r="J35" s="836"/>
      <c r="K35" s="836"/>
      <c r="L35" s="836"/>
      <c r="M35" s="836"/>
    </row>
    <row r="36" spans="1:1" ht="12.6" customHeight="1">
      <c r="A36" s="150"/>
    </row>
    <row r="37" spans="1:13" s="352" customFormat="1" ht="24.95" customHeight="1">
      <c r="A37" s="830" t="s">
        <v>1032</v>
      </c>
      <c r="B37" s="830"/>
      <c r="C37" s="830"/>
      <c r="D37" s="830"/>
      <c r="E37" s="830"/>
      <c r="F37" s="830"/>
      <c r="G37" s="830"/>
      <c r="H37" s="830"/>
      <c r="I37" s="830"/>
      <c r="J37" s="830"/>
      <c r="K37" s="830"/>
      <c r="L37" s="830"/>
      <c r="M37" s="830"/>
    </row>
    <row r="38" spans="1:1" ht="12.6" customHeight="1">
      <c r="A38" s="150"/>
    </row>
    <row r="39" spans="1:13" ht="24.95" customHeight="1">
      <c r="A39" s="833" t="s">
        <v>456</v>
      </c>
      <c r="B39" s="833"/>
      <c r="C39" s="833"/>
      <c r="D39" s="833"/>
      <c r="E39" s="833"/>
      <c r="F39" s="833"/>
      <c r="G39" s="833"/>
      <c r="H39" s="833"/>
      <c r="I39" s="833"/>
      <c r="J39" s="833"/>
      <c r="K39" s="833"/>
      <c r="L39" s="833"/>
      <c r="M39" s="833"/>
    </row>
    <row r="40" spans="1:2" ht="12.75">
      <c r="A40" s="145"/>
      <c r="B40" s="151"/>
    </row>
    <row r="41" spans="1:2" ht="12.75">
      <c r="A41" s="145"/>
      <c r="B41" s="151"/>
    </row>
    <row r="42" spans="2:2" ht="12.75">
      <c r="B42" s="151"/>
    </row>
    <row r="43" spans="1:2" ht="12.75">
      <c r="A43" s="352"/>
      <c r="B43" s="151"/>
    </row>
    <row r="44" spans="2:2" ht="12.75">
      <c r="B44" s="150"/>
    </row>
    <row r="45" spans="2:2" ht="12.75">
      <c r="B45" s="150"/>
    </row>
    <row r="46" spans="2:2" ht="12.75">
      <c r="B46" s="150"/>
    </row>
    <row r="47" spans="2:2" ht="12.75">
      <c r="B47" s="150"/>
    </row>
    <row r="48" spans="2:2" ht="12.75">
      <c r="B48" s="150"/>
    </row>
    <row r="49" spans="2:2" ht="12.75">
      <c r="B49" s="150"/>
    </row>
    <row r="50" spans="2:2" ht="12.75">
      <c r="B50" s="150"/>
    </row>
    <row r="51" spans="2:2" ht="12.75">
      <c r="B51" s="150"/>
    </row>
    <row r="52" spans="2:2" ht="12.75">
      <c r="B52" s="150"/>
    </row>
    <row r="53" spans="2:2" ht="12.75">
      <c r="B53" s="150"/>
    </row>
    <row r="54" spans="2:2" ht="12.75">
      <c r="B54" s="150"/>
    </row>
    <row r="55" spans="2:2" ht="12.75">
      <c r="B55" s="150"/>
    </row>
    <row r="56" spans="2:2" ht="12.75">
      <c r="B56" s="150"/>
    </row>
    <row r="57" spans="2:2" ht="12.75">
      <c r="B57" s="150"/>
    </row>
    <row r="58" spans="2:2" ht="12.75">
      <c r="B58" s="150"/>
    </row>
    <row r="59" spans="2:2" ht="12.75">
      <c r="B59" s="150"/>
    </row>
    <row r="60" spans="2:2" ht="12.75">
      <c r="B60" s="150"/>
    </row>
    <row r="61" spans="2:2" ht="12.75">
      <c r="B61" s="150"/>
    </row>
    <row r="62" spans="2:2" ht="12.75">
      <c r="B62" s="150"/>
    </row>
  </sheetData>
  <mergeCells count="19">
    <mergeCell ref="A10:M10"/>
    <mergeCell ref="A12:M12"/>
    <mergeCell ref="A14:M14"/>
    <mergeCell ref="A21:M21"/>
    <mergeCell ref="A23:M23"/>
    <mergeCell ref="F24:G24"/>
    <mergeCell ref="C24:D24"/>
    <mergeCell ref="A39:M39"/>
    <mergeCell ref="A31:M31"/>
    <mergeCell ref="A33:M33"/>
    <mergeCell ref="A35:M35"/>
    <mergeCell ref="A29:M29"/>
    <mergeCell ref="A25:M25"/>
    <mergeCell ref="F26:G26"/>
    <mergeCell ref="A27:M27"/>
    <mergeCell ref="C26:D26"/>
    <mergeCell ref="A26:B26"/>
    <mergeCell ref="A24:B24"/>
    <mergeCell ref="A37:M37"/>
  </mergeCells>
  <printOptions horizontalCentered="1"/>
  <pageMargins left="0.5" right="0.5" top="3" bottom="0.5" header="1.5" footer="0.5"/>
  <pageSetup fitToHeight="2" orientation="landscape" pageOrder="overThenDown" scale="91" r:id="rId1"/>
  <headerFooter alignWithMargins="0">
    <oddHeader>&amp;C&amp;B
2022 RATE CASE
ONCOR ELECTRIC DELIVERY COMPANY LLC
II-E-3.22  HISTORY OF TAX NORMALIZATION
TEST YEAR ENDING DECEMBER 31, 2021
SPONSOR: B. L. CLUTTER&amp;R&amp;"Arial,Bold"Schedule&amp;A
Page &amp;P of &amp;N</oddHead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9">
    <tabColor rgb="FF92D050"/>
    <pageSetUpPr fitToPage="1"/>
  </sheetPr>
  <dimension ref="A1:G41"/>
  <sheetViews>
    <sheetView zoomScale="90" zoomScaleNormal="90" workbookViewId="0" topLeftCell="A1">
      <selection pane="topLeft" activeCell="H16" sqref="H16"/>
    </sheetView>
  </sheetViews>
  <sheetFormatPr defaultColWidth="9.14428571428571" defaultRowHeight="12.75"/>
  <cols>
    <col min="1" max="2" width="9.14285714285714" style="179"/>
    <col min="3" max="3" width="26.5714285714286" style="179" customWidth="1"/>
    <col min="4" max="4" width="68" style="179" customWidth="1"/>
    <col min="5" max="16384" width="9.14285714285714" style="179"/>
  </cols>
  <sheetData>
    <row r="1" spans="1:1" ht="12.75">
      <c r="A1" s="194" t="str">
        <f>+'[3]Input Data'!$A$9</f>
        <v>2022 RATE CASE</v>
      </c>
    </row>
    <row r="2" spans="1:1" ht="12.75">
      <c r="A2" s="193" t="str">
        <f>+'[3]Input Data'!$A$2</f>
        <v>ONCOR ELECTRIC DELIVERY COMPANY LLC</v>
      </c>
    </row>
    <row r="3" spans="1:1" ht="12.75">
      <c r="A3" s="192" t="str">
        <f>CONCATENATE('[3]Schedule Sponsors'!$A$108,'[3]Schedule Sponsors'!$B$108)</f>
        <v>II-E-3.23  TAX ELECTIONS, IRS AUDIT STATUS AND PRIVATE LETTER RULINGS</v>
      </c>
    </row>
    <row r="4" spans="1:1" ht="12.75">
      <c r="A4" s="192" t="str">
        <f>+'[3]Input Data'!$A$4</f>
        <v>TEST YEAR ENDING DECEMBER 31, 2021</v>
      </c>
    </row>
    <row r="5" spans="1:1" ht="12.75">
      <c r="A5" s="190" t="str">
        <f>CONCATENATE("SPONSOR: ",'[3]Schedule Sponsors'!$D$108)</f>
        <v>SPONSOR: B. L. CLUTTER</v>
      </c>
    </row>
    <row r="10" spans="1:1" s="352" customFormat="1" ht="12.75">
      <c r="A10" s="354" t="s">
        <v>366</v>
      </c>
    </row>
    <row r="11" s="352" customFormat="1" ht="12.75"/>
    <row r="12" spans="1:1" s="352" customFormat="1" ht="12.75">
      <c r="A12" s="352" t="s">
        <v>823</v>
      </c>
    </row>
    <row r="13" s="352" customFormat="1" ht="12.75"/>
    <row r="14" spans="1:4" s="352" customFormat="1" ht="12.75">
      <c r="A14" s="356" t="s">
        <v>33</v>
      </c>
      <c r="B14" s="356" t="s">
        <v>34</v>
      </c>
      <c r="C14" s="354" t="s">
        <v>824</v>
      </c>
      <c r="D14" s="354" t="s">
        <v>35</v>
      </c>
    </row>
    <row r="15" spans="1:7" s="352" customFormat="1" ht="15">
      <c r="A15" s="353">
        <v>1</v>
      </c>
      <c r="B15" s="353">
        <v>2019</v>
      </c>
      <c r="C15" s="352" t="s">
        <v>825</v>
      </c>
      <c r="D15" s="352" t="s">
        <v>1251</v>
      </c>
      <c r="E15" s="399"/>
      <c r="F15" s="398"/>
      <c r="G15" s="398"/>
    </row>
    <row r="16" spans="1:7" s="352" customFormat="1" ht="15">
      <c r="A16" s="353">
        <v>2</v>
      </c>
      <c r="B16" s="353">
        <v>2019</v>
      </c>
      <c r="C16" s="352" t="s">
        <v>825</v>
      </c>
      <c r="D16" s="352" t="s">
        <v>1034</v>
      </c>
      <c r="E16" s="399"/>
      <c r="F16" s="398"/>
      <c r="G16" s="398"/>
    </row>
    <row r="17" spans="1:2" s="352" customFormat="1" ht="12.75">
      <c r="A17" s="353"/>
      <c r="B17" s="353"/>
    </row>
    <row r="18" spans="1:2" s="352" customFormat="1" ht="12.75">
      <c r="A18" s="353"/>
      <c r="B18" s="353"/>
    </row>
    <row r="19" spans="1:1" s="352" customFormat="1" ht="12.75">
      <c r="A19" s="354" t="s">
        <v>367</v>
      </c>
    </row>
    <row r="20" spans="1:1" s="352" customFormat="1" ht="12.75">
      <c r="A20" s="354"/>
    </row>
    <row r="21" spans="1:4" s="352" customFormat="1" ht="29.1" customHeight="1">
      <c r="A21" s="840" t="s">
        <v>1033</v>
      </c>
      <c r="B21" s="840"/>
      <c r="C21" s="840"/>
      <c r="D21" s="840"/>
    </row>
    <row r="22" spans="2:2" s="352" customFormat="1" ht="12.75">
      <c r="B22" s="353"/>
    </row>
    <row r="23" spans="1:2" s="352" customFormat="1" ht="12.75">
      <c r="A23" s="353"/>
      <c r="B23" s="353"/>
    </row>
    <row r="24" spans="1:2" s="352" customFormat="1" ht="12.75">
      <c r="A24" s="354" t="s">
        <v>368</v>
      </c>
      <c r="B24" s="353"/>
    </row>
    <row r="25" spans="2:2" s="352" customFormat="1" ht="12.75">
      <c r="B25" s="353"/>
    </row>
    <row r="26" spans="1:4" s="352" customFormat="1" ht="12.75">
      <c r="A26" s="356" t="s">
        <v>33</v>
      </c>
      <c r="B26" s="356" t="s">
        <v>34</v>
      </c>
      <c r="C26" s="354" t="s">
        <v>461</v>
      </c>
      <c r="D26" s="354" t="s">
        <v>69</v>
      </c>
    </row>
    <row r="27" spans="1:4" s="352" customFormat="1" ht="60" customHeight="1">
      <c r="A27" s="353">
        <v>1</v>
      </c>
      <c r="B27" s="353">
        <v>2017</v>
      </c>
      <c r="C27" s="355" t="s">
        <v>826</v>
      </c>
      <c r="D27" s="630" t="s">
        <v>827</v>
      </c>
    </row>
    <row r="28" spans="1:4" s="352" customFormat="1" ht="57.6" customHeight="1">
      <c r="A28" s="353">
        <v>2</v>
      </c>
      <c r="B28" s="353">
        <v>2019</v>
      </c>
      <c r="C28" s="355" t="s">
        <v>828</v>
      </c>
      <c r="D28" s="630" t="s">
        <v>829</v>
      </c>
    </row>
    <row r="29" spans="1:2" s="352" customFormat="1" ht="12.75">
      <c r="A29" s="353"/>
      <c r="B29" s="353"/>
    </row>
    <row r="30" spans="1:2" s="352" customFormat="1" ht="12.75">
      <c r="A30" s="353"/>
      <c r="B30" s="353"/>
    </row>
    <row r="31" spans="1:2" s="352" customFormat="1" ht="12.75">
      <c r="A31" s="353"/>
      <c r="B31" s="353"/>
    </row>
    <row r="32" spans="1:2" ht="12.75">
      <c r="A32" s="181"/>
      <c r="B32" s="181"/>
    </row>
    <row r="33" spans="1:2" ht="12.75">
      <c r="A33" s="181"/>
      <c r="B33" s="181"/>
    </row>
    <row r="34" spans="1:2" ht="12.75">
      <c r="A34" s="181"/>
      <c r="B34" s="181"/>
    </row>
    <row r="35" spans="1:2" ht="12.75">
      <c r="A35" s="181"/>
      <c r="B35" s="181"/>
    </row>
    <row r="36" spans="1:2" ht="12.75">
      <c r="A36" s="181"/>
      <c r="B36" s="181"/>
    </row>
    <row r="37" spans="1:2" ht="12.75">
      <c r="A37" s="181"/>
      <c r="B37" s="181"/>
    </row>
    <row r="38" spans="1:2" ht="12.75">
      <c r="A38" s="181"/>
      <c r="B38" s="181"/>
    </row>
    <row r="39" spans="1:2" ht="12.75">
      <c r="A39" s="181"/>
      <c r="B39" s="181"/>
    </row>
    <row r="40" spans="1:1" ht="12.75">
      <c r="A40" s="181"/>
    </row>
    <row r="41" spans="1:1" ht="12.75">
      <c r="A41" s="181"/>
    </row>
  </sheetData>
  <mergeCells count="1">
    <mergeCell ref="A21:D21"/>
  </mergeCells>
  <printOptions horizontalCentered="1"/>
  <pageMargins left="0.5" right="0.5" top="3" bottom="0.5" header="1.5" footer="0.5"/>
  <pageSetup orientation="landscape" pageOrder="overThenDown" scale="91" r:id="rId1"/>
  <headerFooter alignWithMargins="0">
    <oddHeader>&amp;C&amp;B
2022 RATE CASE
ONCOR ELECTRIC DELIVERY COMPANY LLC
II-E-3.23  TAX ELECTIONS, IRS AUDIT STATUS AND PRIVATE LETTER RULINGS
TEST YEAR ENDING DECEMBER 31, 2021
SPONSOR: B. L. CLUTTER&amp;R&amp;"Arial,Bold"Schedule &amp;A
Page &amp;P of &amp;N</oddHead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30">
    <tabColor rgb="FF92D050"/>
    <pageSetUpPr fitToPage="1"/>
  </sheetPr>
  <dimension ref="A1:J26"/>
  <sheetViews>
    <sheetView workbookViewId="0" topLeftCell="A1">
      <selection pane="topLeft" activeCell="H16" sqref="H16"/>
    </sheetView>
  </sheetViews>
  <sheetFormatPr defaultColWidth="9.14428571428571" defaultRowHeight="12.75"/>
  <cols>
    <col min="1" max="1" width="4.85714285714286" style="148" customWidth="1"/>
    <col min="2" max="7" width="13.7142857142857" style="148" customWidth="1"/>
    <col min="8" max="8" width="23.2857142857143" style="148" customWidth="1"/>
    <col min="9" max="16384" width="9.14285714285714" style="148"/>
  </cols>
  <sheetData>
    <row r="1" spans="1:1" ht="12.75">
      <c r="A1" s="194" t="str">
        <f>+'[3]Input Data'!$A$9</f>
        <v>2022 RATE CASE</v>
      </c>
    </row>
    <row r="2" spans="1:1" ht="12.75">
      <c r="A2" s="193" t="str">
        <f>+'[3]Input Data'!$A$2</f>
        <v>ONCOR ELECTRIC DELIVERY COMPANY LLC</v>
      </c>
    </row>
    <row r="3" spans="1:1" ht="12.75">
      <c r="A3" s="192" t="str">
        <f>CONCATENATE('[3]Schedule Sponsors'!$A$109,'[3]Schedule Sponsors'!$B$109)</f>
        <v>II-E-3.24  METHOD OF ACCOUNTING FOR ADFIT RELATED TO NOL CARRYFORWARD</v>
      </c>
    </row>
    <row r="4" spans="1:1" ht="12.75">
      <c r="A4" s="192" t="str">
        <f>+'[3]Input Data'!$A$4</f>
        <v>TEST YEAR ENDING DECEMBER 31, 2021</v>
      </c>
    </row>
    <row r="5" spans="1:1" ht="12.75">
      <c r="A5" s="190" t="str">
        <f>CONCATENATE("SPONSOR: ",'[3]Schedule Sponsors'!$D$108)</f>
        <v>SPONSOR: B. L. CLUTTER</v>
      </c>
    </row>
    <row r="10" spans="1:10" ht="65.1" customHeight="1">
      <c r="A10" s="830" t="s">
        <v>283</v>
      </c>
      <c r="B10" s="830"/>
      <c r="C10" s="830"/>
      <c r="D10" s="830"/>
      <c r="E10" s="830"/>
      <c r="F10" s="830"/>
      <c r="G10" s="830"/>
      <c r="H10" s="830"/>
      <c r="I10" s="830"/>
      <c r="J10" s="175"/>
    </row>
    <row r="11" spans="1:1" ht="12.75">
      <c r="A11" s="181"/>
    </row>
    <row r="12" spans="1:2" ht="12.75">
      <c r="A12" s="181"/>
      <c r="B12" s="194" t="s">
        <v>457</v>
      </c>
    </row>
    <row r="13" spans="1:2" ht="12.75">
      <c r="A13" s="181"/>
      <c r="B13" s="194" t="s">
        <v>458</v>
      </c>
    </row>
    <row r="14" spans="1:2" ht="12.75">
      <c r="A14" s="181"/>
      <c r="B14" s="194" t="s">
        <v>459</v>
      </c>
    </row>
    <row r="15" spans="1:2" ht="12.75">
      <c r="A15" s="181"/>
      <c r="B15" s="194" t="s">
        <v>460</v>
      </c>
    </row>
    <row r="16" spans="1:1" ht="12.75">
      <c r="A16" s="181"/>
    </row>
    <row r="17" spans="1:9" ht="12.75">
      <c r="A17" s="830" t="s">
        <v>1035</v>
      </c>
      <c r="B17" s="830"/>
      <c r="C17" s="830"/>
      <c r="D17" s="830"/>
      <c r="E17" s="830"/>
      <c r="F17" s="830"/>
      <c r="G17" s="830"/>
      <c r="H17" s="830"/>
      <c r="I17" s="830"/>
    </row>
    <row r="18" spans="1:1" ht="12.75">
      <c r="A18" s="181"/>
    </row>
    <row r="19" spans="1:1" ht="12.75">
      <c r="A19" s="181"/>
    </row>
    <row r="20" spans="1:1" ht="12.75">
      <c r="A20" s="181"/>
    </row>
    <row r="21" spans="1:1" ht="12.75">
      <c r="A21" s="181"/>
    </row>
    <row r="22" spans="1:1" ht="12.75">
      <c r="A22" s="181"/>
    </row>
    <row r="23" spans="1:1" ht="12.75">
      <c r="A23" s="181"/>
    </row>
    <row r="24" spans="1:1" ht="12.75">
      <c r="A24" s="181"/>
    </row>
    <row r="25" spans="1:1" ht="12.75">
      <c r="A25" s="181"/>
    </row>
    <row r="26" spans="1:1" ht="12.75">
      <c r="A26" s="181"/>
    </row>
  </sheetData>
  <mergeCells count="2">
    <mergeCell ref="A17:I17"/>
    <mergeCell ref="A10:I10"/>
  </mergeCells>
  <printOptions horizontalCentered="1"/>
  <pageMargins left="0.5" right="0.5" top="3" bottom="0.5" header="1.5" footer="0.5"/>
  <pageSetup fitToHeight="2" orientation="landscape" pageOrder="overThenDown" r:id="rId1"/>
  <headerFooter alignWithMargins="0">
    <oddHeader>&amp;C&amp;B
2022 RATE CASE
ONCOR ELECTRIC DELIVERY COMPANY LLC
II-E-3.24  METHOD OF ACCOUNTING FOR ADFIT RELATED TO NOL CARRYFORWARD
TEST YEAR ENDING DECEMBER 31, 2021
SPONSOR: B. L. CLUTTER&amp;R&amp;"Arial,Bold"Schedule &amp;A
Page &amp;P of &amp;N</oddHead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9">
    <tabColor rgb="FF00B050"/>
  </sheetPr>
  <dimension ref="A1:X148"/>
  <sheetViews>
    <sheetView workbookViewId="0" topLeftCell="A1">
      <pane xSplit="4" ySplit="13" topLeftCell="K14" activePane="bottomRight" state="frozen"/>
      <selection pane="topLeft" activeCell="E14" sqref="E14"/>
      <selection pane="bottomLeft" activeCell="E14" sqref="E14"/>
      <selection pane="topRight" activeCell="E14" sqref="E14"/>
      <selection pane="bottomRight" activeCell="I25" sqref="I25"/>
    </sheetView>
  </sheetViews>
  <sheetFormatPr defaultColWidth="9.14428571428571" defaultRowHeight="12.75" customHeight="1"/>
  <cols>
    <col min="1" max="1" width="5.71428571428571" style="58" customWidth="1"/>
    <col min="2" max="2" width="8.71428571428571" style="60" customWidth="1"/>
    <col min="3" max="3" width="46.5714285714286" style="60" customWidth="1"/>
    <col min="4" max="4" width="10.5714285714286" style="60" customWidth="1"/>
    <col min="5" max="5" width="15" style="60" bestFit="1" customWidth="1"/>
    <col min="6" max="6" width="17.1428571428571" style="60" bestFit="1" customWidth="1"/>
    <col min="7" max="7" width="15" style="60" bestFit="1" customWidth="1"/>
    <col min="8" max="8" width="13.4285714285714" style="60" bestFit="1" customWidth="1"/>
    <col min="9" max="9" width="15" style="60" bestFit="1" customWidth="1"/>
    <col min="10" max="10" width="10.1428571428571" style="60" bestFit="1" customWidth="1"/>
    <col min="11" max="11" width="15" style="65" bestFit="1" customWidth="1"/>
    <col min="12" max="12" width="12.7142857142857" style="60" customWidth="1"/>
    <col min="13" max="13" width="16.8571428571429" style="65" bestFit="1" customWidth="1"/>
    <col min="14" max="14" width="13.4285714285714" style="60" bestFit="1" customWidth="1"/>
    <col min="15" max="17" width="13.4285714285714" style="60" customWidth="1"/>
    <col min="18" max="18" width="13.4285714285714" style="60" bestFit="1" customWidth="1"/>
    <col min="19" max="20" width="13.4285714285714" style="60" customWidth="1"/>
    <col min="21" max="21" width="12.7142857142857" style="60" customWidth="1"/>
    <col min="22" max="22" width="13.4285714285714" style="60" bestFit="1" customWidth="1"/>
    <col min="23" max="23" width="19" style="60" bestFit="1" customWidth="1"/>
    <col min="24" max="16384" width="9.14285714285714" style="60"/>
  </cols>
  <sheetData>
    <row r="1" spans="1:1" ht="12.75">
      <c r="A1" s="62" t="str">
        <f>+'[3]Input Data'!$A$9</f>
        <v>2022 RATE CASE</v>
      </c>
    </row>
    <row r="2" spans="1:23" ht="12.75">
      <c r="A2" s="34" t="str">
        <f>+'[3]Input Data'!$A$2</f>
        <v>ONCOR ELECTRIC DELIVERY COMPANY LLC</v>
      </c>
      <c r="B2" s="58"/>
      <c r="C2" s="58"/>
      <c r="D2" s="58"/>
      <c r="E2" s="58"/>
      <c r="F2" s="88"/>
      <c r="G2" s="58"/>
      <c r="H2" s="58"/>
      <c r="I2" s="58"/>
      <c r="J2" s="58"/>
      <c r="K2" s="59"/>
      <c r="L2" s="58"/>
      <c r="M2" s="59"/>
      <c r="N2" s="30"/>
      <c r="O2" s="30"/>
      <c r="P2" s="30"/>
      <c r="Q2" s="30"/>
      <c r="R2" s="58"/>
      <c r="S2" s="58"/>
      <c r="T2" s="58"/>
      <c r="U2" s="58"/>
      <c r="V2" s="58"/>
      <c r="W2" s="58"/>
    </row>
    <row r="3" spans="1:23" ht="12.75">
      <c r="A3" s="168" t="str">
        <f>CONCATENATE('[3]Schedule Sponsors'!$A$110,'[3]Schedule Sponsors'!$B$110)</f>
        <v>II-E-4   OTHER EXPENSES</v>
      </c>
      <c r="B3" s="30"/>
      <c r="D3" s="58"/>
      <c r="E3" s="58"/>
      <c r="F3" s="61"/>
      <c r="G3" s="58"/>
      <c r="H3" s="58"/>
      <c r="I3" s="58"/>
      <c r="J3" s="58"/>
      <c r="K3" s="59"/>
      <c r="L3" s="58"/>
      <c r="M3" s="59"/>
      <c r="N3" s="54"/>
      <c r="O3" s="54"/>
      <c r="P3" s="54"/>
      <c r="Q3" s="54"/>
      <c r="R3" s="58"/>
      <c r="S3" s="58"/>
      <c r="T3" s="58"/>
      <c r="U3" s="58"/>
      <c r="V3" s="58"/>
      <c r="W3" s="58"/>
    </row>
    <row r="4" spans="1:23" ht="12.75">
      <c r="A4" s="92" t="str">
        <f>+'[3]Input Data'!$A$4</f>
        <v>TEST YEAR ENDING DECEMBER 31, 2021</v>
      </c>
      <c r="B4" s="30"/>
      <c r="D4" s="58"/>
      <c r="E4" s="58"/>
      <c r="F4" s="61"/>
      <c r="G4" s="58"/>
      <c r="H4" s="58"/>
      <c r="I4" s="58"/>
      <c r="J4" s="58"/>
      <c r="K4" s="59"/>
      <c r="L4" s="58"/>
      <c r="M4" s="59"/>
      <c r="N4" s="54"/>
      <c r="O4" s="54"/>
      <c r="P4" s="54"/>
      <c r="Q4" s="54"/>
      <c r="R4" s="58"/>
      <c r="S4" s="58"/>
      <c r="T4" s="58"/>
      <c r="U4" s="58"/>
      <c r="V4" s="58"/>
      <c r="W4" s="58"/>
    </row>
    <row r="5" spans="1:23" ht="12.75">
      <c r="A5" s="33" t="str">
        <f>CONCATENATE("SPONSOR: ",'[3]Schedule Sponsors'!$D$110)</f>
        <v>SPONSOR: W. ALAN LEDBETTER</v>
      </c>
      <c r="B5" s="30"/>
      <c r="D5" s="58"/>
      <c r="E5" s="58"/>
      <c r="F5" s="58"/>
      <c r="G5" s="58"/>
      <c r="H5" s="58"/>
      <c r="I5" s="58"/>
      <c r="J5" s="58"/>
      <c r="K5" s="59"/>
      <c r="L5" s="58"/>
      <c r="M5" s="59"/>
      <c r="N5" s="58"/>
      <c r="O5" s="58"/>
      <c r="P5" s="58"/>
      <c r="Q5" s="58"/>
      <c r="R5" s="58"/>
      <c r="S5" s="58"/>
      <c r="T5" s="58"/>
      <c r="U5" s="58"/>
      <c r="V5" s="58"/>
      <c r="W5" s="58"/>
    </row>
    <row r="6" spans="2:23" ht="12.75">
      <c r="B6" s="30"/>
      <c r="D6" s="58"/>
      <c r="E6" s="58"/>
      <c r="F6" s="58"/>
      <c r="G6" s="58"/>
      <c r="H6" s="58"/>
      <c r="I6" s="58"/>
      <c r="J6" s="58"/>
      <c r="K6" s="59"/>
      <c r="L6" s="58"/>
      <c r="M6" s="59"/>
      <c r="N6" s="58"/>
      <c r="O6" s="58"/>
      <c r="P6" s="58"/>
      <c r="Q6" s="58"/>
      <c r="R6" s="58"/>
      <c r="S6" s="58"/>
      <c r="T6" s="58"/>
      <c r="U6" s="58"/>
      <c r="V6" s="58"/>
      <c r="W6" s="58"/>
    </row>
    <row r="7" spans="2:23" ht="12.75">
      <c r="B7" s="30"/>
      <c r="D7" s="58"/>
      <c r="E7" s="58"/>
      <c r="F7" s="58"/>
      <c r="G7" s="58"/>
      <c r="H7" s="58"/>
      <c r="I7" s="58"/>
      <c r="J7" s="58"/>
      <c r="K7" s="59"/>
      <c r="L7" s="58"/>
      <c r="M7" s="59"/>
      <c r="N7" s="58"/>
      <c r="O7" s="58"/>
      <c r="P7" s="58"/>
      <c r="Q7" s="58"/>
      <c r="R7" s="58"/>
      <c r="S7" s="58"/>
      <c r="T7" s="58"/>
      <c r="U7" s="58"/>
      <c r="V7" s="58"/>
      <c r="W7" s="58"/>
    </row>
    <row r="8" spans="2:23" ht="12.75">
      <c r="B8" s="62"/>
      <c r="C8" s="58"/>
      <c r="D8" s="58"/>
      <c r="E8" s="58"/>
      <c r="F8" s="58"/>
      <c r="G8" s="58"/>
      <c r="H8" s="58"/>
      <c r="I8" s="58"/>
      <c r="J8" s="58"/>
      <c r="K8" s="59"/>
      <c r="L8" s="58"/>
      <c r="M8" s="59"/>
      <c r="N8" s="58"/>
      <c r="O8" s="58"/>
      <c r="P8" s="58"/>
      <c r="Q8" s="58"/>
      <c r="R8" s="58"/>
      <c r="S8" s="58"/>
      <c r="T8" s="58"/>
      <c r="U8" s="58"/>
      <c r="V8" s="58"/>
      <c r="W8" s="58"/>
    </row>
    <row r="9" spans="2:23" ht="13.5" thickBot="1">
      <c r="B9" s="58" t="s">
        <v>72</v>
      </c>
      <c r="C9" s="58"/>
      <c r="D9" s="58"/>
      <c r="E9" s="63"/>
      <c r="F9" s="63"/>
      <c r="G9" s="63"/>
      <c r="H9" s="63"/>
      <c r="I9" s="63"/>
      <c r="J9" s="63"/>
      <c r="K9" s="63"/>
      <c r="L9" s="63"/>
      <c r="M9" s="63"/>
      <c r="N9" s="63"/>
      <c r="O9" s="63"/>
      <c r="P9" s="63"/>
      <c r="Q9" s="63"/>
      <c r="R9" s="63"/>
      <c r="S9" s="63"/>
      <c r="T9" s="63"/>
      <c r="U9" s="64"/>
      <c r="V9" s="64"/>
      <c r="W9" s="59"/>
    </row>
    <row r="10" spans="1:23" s="62" customFormat="1" ht="12.75">
      <c r="A10" s="35"/>
      <c r="B10" s="35"/>
      <c r="C10" s="35"/>
      <c r="D10" s="35"/>
      <c r="E10" s="35"/>
      <c r="F10" s="35"/>
      <c r="G10" s="36" t="s">
        <v>66</v>
      </c>
      <c r="H10" s="566" t="s">
        <v>400</v>
      </c>
      <c r="I10" s="36" t="s">
        <v>67</v>
      </c>
      <c r="J10" s="36" t="s">
        <v>84</v>
      </c>
      <c r="K10" s="36" t="s">
        <v>280</v>
      </c>
      <c r="L10" s="35"/>
      <c r="M10" s="36" t="s">
        <v>357</v>
      </c>
      <c r="N10" s="217"/>
      <c r="O10" s="217"/>
      <c r="P10" s="217"/>
      <c r="Q10" s="217"/>
      <c r="R10" s="217"/>
      <c r="S10" s="217"/>
      <c r="T10" s="217"/>
      <c r="U10" s="217"/>
      <c r="V10" s="217"/>
      <c r="W10" s="217"/>
    </row>
    <row r="11" spans="1:23" s="62" customFormat="1" ht="12.75">
      <c r="A11" s="37" t="s">
        <v>252</v>
      </c>
      <c r="B11" s="37" t="s">
        <v>74</v>
      </c>
      <c r="C11" s="37"/>
      <c r="D11" s="37" t="s">
        <v>71</v>
      </c>
      <c r="E11" s="53" t="s">
        <v>76</v>
      </c>
      <c r="F11" s="37" t="s">
        <v>77</v>
      </c>
      <c r="G11" s="37" t="s">
        <v>68</v>
      </c>
      <c r="H11" s="567" t="s">
        <v>401</v>
      </c>
      <c r="I11" s="37" t="s">
        <v>66</v>
      </c>
      <c r="J11" s="37" t="s">
        <v>280</v>
      </c>
      <c r="K11" s="37" t="s">
        <v>47</v>
      </c>
      <c r="L11" s="37" t="s">
        <v>79</v>
      </c>
      <c r="M11" s="37" t="s">
        <v>80</v>
      </c>
      <c r="N11" s="169"/>
      <c r="O11" s="169" t="s">
        <v>628</v>
      </c>
      <c r="P11" s="169" t="s">
        <v>629</v>
      </c>
      <c r="Q11" s="169" t="s">
        <v>631</v>
      </c>
      <c r="R11" s="169"/>
      <c r="S11" s="169" t="s">
        <v>628</v>
      </c>
      <c r="T11" s="169" t="s">
        <v>631</v>
      </c>
      <c r="U11" s="169"/>
      <c r="V11" s="169"/>
      <c r="W11" s="169"/>
    </row>
    <row r="12" spans="1:23" s="62" customFormat="1" ht="12.75">
      <c r="A12" s="37" t="s">
        <v>279</v>
      </c>
      <c r="B12" s="37" t="s">
        <v>213</v>
      </c>
      <c r="C12" s="37" t="s">
        <v>69</v>
      </c>
      <c r="D12" s="37" t="s">
        <v>73</v>
      </c>
      <c r="E12" s="53" t="s">
        <v>81</v>
      </c>
      <c r="F12" s="37" t="s">
        <v>82</v>
      </c>
      <c r="G12" s="37" t="s">
        <v>83</v>
      </c>
      <c r="H12" s="567" t="s">
        <v>402</v>
      </c>
      <c r="I12" s="37" t="s">
        <v>68</v>
      </c>
      <c r="J12" s="37" t="s">
        <v>80</v>
      </c>
      <c r="K12" s="37" t="s">
        <v>84</v>
      </c>
      <c r="L12" s="37" t="s">
        <v>85</v>
      </c>
      <c r="M12" s="37" t="s">
        <v>86</v>
      </c>
      <c r="N12" s="169" t="s">
        <v>208</v>
      </c>
      <c r="O12" s="169" t="s">
        <v>208</v>
      </c>
      <c r="P12" s="169" t="s">
        <v>632</v>
      </c>
      <c r="Q12" s="169" t="s">
        <v>208</v>
      </c>
      <c r="R12" s="169" t="s">
        <v>209</v>
      </c>
      <c r="S12" s="169" t="s">
        <v>209</v>
      </c>
      <c r="T12" s="169" t="s">
        <v>209</v>
      </c>
      <c r="U12" s="169" t="s">
        <v>203</v>
      </c>
      <c r="V12" s="169" t="s">
        <v>291</v>
      </c>
      <c r="W12" s="169" t="s">
        <v>78</v>
      </c>
    </row>
    <row r="13" spans="1:23" s="62" customFormat="1" ht="13.5" thickBot="1">
      <c r="A13" s="38"/>
      <c r="B13" s="56" t="s">
        <v>237</v>
      </c>
      <c r="C13" s="56" t="s">
        <v>238</v>
      </c>
      <c r="D13" s="56" t="s">
        <v>239</v>
      </c>
      <c r="E13" s="56" t="s">
        <v>240</v>
      </c>
      <c r="F13" s="56" t="s">
        <v>241</v>
      </c>
      <c r="G13" s="56" t="s">
        <v>242</v>
      </c>
      <c r="H13" s="56" t="s">
        <v>243</v>
      </c>
      <c r="I13" s="56" t="s">
        <v>244</v>
      </c>
      <c r="J13" s="56" t="s">
        <v>245</v>
      </c>
      <c r="K13" s="56" t="s">
        <v>246</v>
      </c>
      <c r="L13" s="56" t="s">
        <v>247</v>
      </c>
      <c r="M13" s="56" t="s">
        <v>248</v>
      </c>
      <c r="N13" s="56" t="s">
        <v>249</v>
      </c>
      <c r="O13" s="220" t="s">
        <v>250</v>
      </c>
      <c r="P13" s="220" t="s">
        <v>251</v>
      </c>
      <c r="Q13" s="220" t="s">
        <v>148</v>
      </c>
      <c r="R13" s="220" t="s">
        <v>281</v>
      </c>
      <c r="S13" s="220" t="s">
        <v>292</v>
      </c>
      <c r="T13" s="220" t="s">
        <v>293</v>
      </c>
      <c r="U13" s="220" t="s">
        <v>509</v>
      </c>
      <c r="V13" s="220" t="s">
        <v>510</v>
      </c>
      <c r="W13" s="220" t="s">
        <v>511</v>
      </c>
    </row>
    <row r="14" spans="2:23" s="58" customFormat="1" ht="12.75" customHeight="1">
      <c r="B14" s="66"/>
      <c r="C14" s="66"/>
      <c r="D14" s="66"/>
      <c r="E14" s="66"/>
      <c r="F14" s="66"/>
      <c r="G14" s="66"/>
      <c r="H14" s="66"/>
      <c r="I14" s="66"/>
      <c r="J14" s="66"/>
      <c r="K14" s="67"/>
      <c r="L14" s="66"/>
      <c r="M14" s="67"/>
      <c r="N14" s="66"/>
      <c r="O14" s="66"/>
      <c r="P14" s="66"/>
      <c r="Q14" s="66"/>
      <c r="R14" s="66"/>
      <c r="S14" s="66"/>
      <c r="T14" s="66"/>
      <c r="U14" s="66"/>
      <c r="V14" s="66"/>
      <c r="W14" s="66"/>
    </row>
    <row r="15" spans="1:23" s="34" customFormat="1" ht="12.75">
      <c r="A15" s="44">
        <v>1</v>
      </c>
      <c r="B15" s="43" t="s">
        <v>172</v>
      </c>
      <c r="D15" s="45"/>
      <c r="E15" s="46"/>
      <c r="F15" s="46"/>
      <c r="G15" s="46"/>
      <c r="H15" s="46"/>
      <c r="I15" s="46"/>
      <c r="J15" s="46"/>
      <c r="K15" s="45"/>
      <c r="L15" s="46"/>
      <c r="M15" s="45"/>
      <c r="N15" s="46"/>
      <c r="O15" s="46"/>
      <c r="P15" s="46"/>
      <c r="Q15" s="46"/>
      <c r="R15" s="46"/>
      <c r="S15" s="46"/>
      <c r="T15" s="46"/>
      <c r="U15" s="46"/>
      <c r="V15" s="46"/>
      <c r="W15" s="46"/>
    </row>
    <row r="16" spans="1:23" s="30" customFormat="1" ht="12.75">
      <c r="A16" s="44">
        <v>2</v>
      </c>
      <c r="B16" s="34"/>
      <c r="D16" s="44"/>
      <c r="E16" s="40"/>
      <c r="F16" s="40"/>
      <c r="G16" s="40"/>
      <c r="H16" s="40"/>
      <c r="I16" s="40"/>
      <c r="J16" s="40"/>
      <c r="K16" s="44"/>
      <c r="L16" s="40"/>
      <c r="M16" s="44"/>
      <c r="N16" s="40"/>
      <c r="O16" s="40"/>
      <c r="P16" s="40"/>
      <c r="Q16" s="40"/>
      <c r="R16" s="40"/>
      <c r="S16" s="40"/>
      <c r="T16" s="40"/>
      <c r="U16" s="40"/>
      <c r="V16" s="40"/>
      <c r="W16" s="40"/>
    </row>
    <row r="17" spans="1:23" s="34" customFormat="1" ht="12.75">
      <c r="A17" s="44">
        <v>3</v>
      </c>
      <c r="B17" s="34" t="s">
        <v>173</v>
      </c>
      <c r="D17" s="45" t="s">
        <v>233</v>
      </c>
      <c r="E17" s="46"/>
      <c r="F17" s="46"/>
      <c r="G17" s="46"/>
      <c r="H17" s="46"/>
      <c r="I17" s="46"/>
      <c r="J17" s="46"/>
      <c r="K17" s="45"/>
      <c r="L17" s="46"/>
      <c r="M17" s="45"/>
      <c r="N17" s="46"/>
      <c r="O17" s="46"/>
      <c r="P17" s="46"/>
      <c r="Q17" s="46"/>
      <c r="R17" s="46"/>
      <c r="S17" s="46"/>
      <c r="T17" s="46"/>
      <c r="U17" s="46"/>
      <c r="V17" s="46"/>
      <c r="W17" s="46"/>
    </row>
    <row r="18" spans="1:24" s="30" customFormat="1" ht="12.75">
      <c r="A18" s="44">
        <v>4</v>
      </c>
      <c r="B18" s="146" t="s">
        <v>502</v>
      </c>
      <c r="C18" s="30" t="s">
        <v>196</v>
      </c>
      <c r="E18" s="396">
        <v>228869.35000000001</v>
      </c>
      <c r="F18" s="396">
        <v>0</v>
      </c>
      <c r="G18" s="396">
        <f>E18-F18</f>
        <v>228869.35000000001</v>
      </c>
      <c r="H18" s="396">
        <v>-206051.06</v>
      </c>
      <c r="I18" s="396">
        <f>ROUND(+G18+H18,2)</f>
        <v>22818.290000000001</v>
      </c>
      <c r="J18" s="140">
        <v>1</v>
      </c>
      <c r="K18" s="396">
        <f>ROUND(+I18*J18,2)</f>
        <v>22818.290000000001</v>
      </c>
      <c r="L18" s="40"/>
      <c r="M18" s="44" t="s">
        <v>378</v>
      </c>
      <c r="N18" s="396">
        <v>22721.029999999999</v>
      </c>
      <c r="O18" s="396">
        <v>0</v>
      </c>
      <c r="P18" s="396">
        <v>0</v>
      </c>
      <c r="Q18" s="396">
        <f>SUM(N18:P18)</f>
        <v>22721.029999999999</v>
      </c>
      <c r="R18" s="396">
        <f>ROUND(K18,2)-N18</f>
        <v>97.260000000002037</v>
      </c>
      <c r="S18" s="396">
        <v>0</v>
      </c>
      <c r="T18" s="396">
        <f>SUM(R18:S18)</f>
        <v>97.260000000002037</v>
      </c>
      <c r="U18" s="396">
        <v>0</v>
      </c>
      <c r="V18" s="396">
        <v>0</v>
      </c>
      <c r="W18" s="396">
        <f>+Q18+T18+U18+V18</f>
        <v>22818.290000000001</v>
      </c>
      <c r="X18" s="193" t="b">
        <f>+K18=W18</f>
        <v>1</v>
      </c>
    </row>
    <row r="19" spans="1:23" s="30" customFormat="1" ht="12.75">
      <c r="A19" s="44">
        <v>6</v>
      </c>
      <c r="D19" s="44"/>
      <c r="E19" s="122"/>
      <c r="F19" s="122"/>
      <c r="G19" s="122"/>
      <c r="H19" s="122"/>
      <c r="I19" s="122"/>
      <c r="J19" s="93"/>
      <c r="K19" s="125"/>
      <c r="L19" s="40"/>
      <c r="M19" s="44"/>
      <c r="N19" s="122"/>
      <c r="O19" s="122"/>
      <c r="P19" s="122"/>
      <c r="Q19" s="122"/>
      <c r="R19" s="122"/>
      <c r="S19" s="122"/>
      <c r="T19" s="122"/>
      <c r="U19" s="122"/>
      <c r="V19" s="122"/>
      <c r="W19" s="122"/>
    </row>
    <row r="20" spans="1:23" s="34" customFormat="1" ht="12.75">
      <c r="A20" s="44">
        <v>7</v>
      </c>
      <c r="C20" s="48" t="s">
        <v>89</v>
      </c>
      <c r="D20" s="45"/>
      <c r="E20" s="395">
        <f>SUM(E18:E18)</f>
        <v>228869.35000000001</v>
      </c>
      <c r="F20" s="395">
        <f>SUM(F18:F18)</f>
        <v>0</v>
      </c>
      <c r="G20" s="395">
        <f>SUM(G18:G18)</f>
        <v>228869.35000000001</v>
      </c>
      <c r="H20" s="395">
        <f>SUM(H18:H18)</f>
        <v>-206051.06</v>
      </c>
      <c r="I20" s="395">
        <f>SUM(I18:I18)</f>
        <v>22818.290000000001</v>
      </c>
      <c r="J20" s="46"/>
      <c r="K20" s="395">
        <f>SUM(K18:K18)</f>
        <v>22818.290000000001</v>
      </c>
      <c r="L20" s="46"/>
      <c r="M20" s="45"/>
      <c r="N20" s="395">
        <f t="shared" si="0" ref="N20:W20">SUM(N18:N18)</f>
        <v>22721.029999999999</v>
      </c>
      <c r="O20" s="395">
        <f t="shared" si="0"/>
        <v>0</v>
      </c>
      <c r="P20" s="395">
        <f t="shared" si="0"/>
        <v>0</v>
      </c>
      <c r="Q20" s="395">
        <f t="shared" si="0"/>
        <v>22721.029999999999</v>
      </c>
      <c r="R20" s="395">
        <f t="shared" si="0"/>
        <v>97.260000000002037</v>
      </c>
      <c r="S20" s="395">
        <f t="shared" si="0"/>
        <v>0</v>
      </c>
      <c r="T20" s="395">
        <f t="shared" si="0"/>
        <v>97.260000000002037</v>
      </c>
      <c r="U20" s="395">
        <f t="shared" si="0"/>
        <v>0</v>
      </c>
      <c r="V20" s="395">
        <f t="shared" si="0"/>
        <v>0</v>
      </c>
      <c r="W20" s="395">
        <f t="shared" si="0"/>
        <v>22818.290000000001</v>
      </c>
    </row>
    <row r="21" spans="1:23" s="30" customFormat="1" ht="12.75">
      <c r="A21" s="44">
        <v>8</v>
      </c>
      <c r="D21" s="44"/>
      <c r="E21" s="40"/>
      <c r="F21" s="40"/>
      <c r="G21" s="40"/>
      <c r="H21" s="40"/>
      <c r="I21" s="40"/>
      <c r="J21" s="40"/>
      <c r="K21" s="44"/>
      <c r="L21" s="40"/>
      <c r="M21" s="44"/>
      <c r="N21" s="395"/>
      <c r="O21" s="395"/>
      <c r="P21" s="395"/>
      <c r="Q21" s="395"/>
      <c r="R21" s="395"/>
      <c r="S21" s="395"/>
      <c r="T21" s="395"/>
      <c r="U21" s="395"/>
      <c r="V21" s="395"/>
      <c r="W21" s="395"/>
    </row>
    <row r="22" spans="1:23" s="62" customFormat="1" ht="12.75" customHeight="1">
      <c r="A22" s="44">
        <v>9</v>
      </c>
      <c r="B22" s="34" t="s">
        <v>197</v>
      </c>
      <c r="D22" s="69" t="s">
        <v>234</v>
      </c>
      <c r="E22" s="395">
        <f>+'II-E-1'!E73+'II-E-2'!E35+'II-E-4'!E20</f>
        <v>1423878154.7199998</v>
      </c>
      <c r="F22" s="395">
        <f>+'II-E-1'!F73+'II-E-2'!F35+'II-E-4'!F20</f>
        <v>0</v>
      </c>
      <c r="G22" s="395">
        <f>+'II-E-1'!G73+'II-E-2'!G35+'II-E-4'!G20</f>
        <v>1423878154.7199998</v>
      </c>
      <c r="H22" s="395">
        <f>+'II-E-1'!H73+'II-E-2'!H35+'II-E-4'!H20</f>
        <v>89401162.170000017</v>
      </c>
      <c r="I22" s="395">
        <f>+'II-E-1'!I73+'II-E-2'!I35+'II-E-4'!I20</f>
        <v>1513279316.8899999</v>
      </c>
      <c r="J22" s="395"/>
      <c r="K22" s="395">
        <f>+'II-E-1'!K73+'II-E-2'!K35+'II-E-4'!K20</f>
        <v>1513279316.8899999</v>
      </c>
      <c r="L22" s="70"/>
      <c r="M22" s="71"/>
      <c r="N22" s="395">
        <f>+'II-E-1'!N73+'II-E-2'!N35+'II-E-4'!N20</f>
        <v>462234345.40999997</v>
      </c>
      <c r="O22" s="395">
        <f>+'II-E-1'!O73+'II-E-2'!O35+'II-E-4'!O20</f>
        <v>61150033.649999991</v>
      </c>
      <c r="P22" s="395">
        <f>+'II-E-1'!P73+'II-E-2'!P35+'II-E-4'!P20</f>
        <v>1075996.47</v>
      </c>
      <c r="Q22" s="395">
        <f>+'II-E-1'!Q73+'II-E-2'!Q35+'II-E-4'!Q20</f>
        <v>524460375.52999997</v>
      </c>
      <c r="R22" s="395">
        <f>+'II-E-1'!R73+'II-E-2'!R35+'II-E-4'!R20</f>
        <v>907267440.79999995</v>
      </c>
      <c r="S22" s="395">
        <f>+'II-E-1'!S73+'II-E-2'!S35+'II-E-4'!S20</f>
        <v>4659859.6500000004</v>
      </c>
      <c r="T22" s="395">
        <f>+'II-E-1'!T73+'II-E-2'!T35+'II-E-4'!T20</f>
        <v>911927300.45000005</v>
      </c>
      <c r="U22" s="395">
        <f>+'II-E-1'!U73+'II-E-2'!U35+'II-E-4'!U20</f>
        <v>39452824.030000001</v>
      </c>
      <c r="V22" s="395">
        <f>+'II-E-1'!V73+'II-E-2'!V35+'II-E-4'!V20</f>
        <v>37438816.880000003</v>
      </c>
      <c r="W22" s="395">
        <f>+'II-E-1'!W73+'II-E-2'!W35+'II-E-4'!W20</f>
        <v>1513279316.8899999</v>
      </c>
    </row>
    <row r="23" spans="1:23" s="58" customFormat="1" ht="12.75" customHeight="1">
      <c r="A23" s="44">
        <v>10</v>
      </c>
      <c r="B23" s="76"/>
      <c r="D23" s="72"/>
      <c r="E23" s="395"/>
      <c r="F23" s="395"/>
      <c r="G23" s="395"/>
      <c r="H23" s="395"/>
      <c r="I23" s="395"/>
      <c r="J23" s="395"/>
      <c r="K23" s="395"/>
      <c r="L23" s="72"/>
      <c r="M23" s="63"/>
      <c r="N23" s="395"/>
      <c r="O23" s="395"/>
      <c r="P23" s="395"/>
      <c r="Q23" s="395"/>
      <c r="R23" s="395"/>
      <c r="S23" s="395"/>
      <c r="T23" s="395"/>
      <c r="U23" s="395"/>
      <c r="V23" s="395"/>
      <c r="W23" s="395"/>
    </row>
    <row r="24" spans="1:23" s="62" customFormat="1" ht="12.75" customHeight="1">
      <c r="A24" s="44">
        <v>11</v>
      </c>
      <c r="B24" s="34" t="s">
        <v>229</v>
      </c>
      <c r="D24" s="69" t="s">
        <v>235</v>
      </c>
      <c r="E24" s="395">
        <f>+E22+'II-E-3'!E58</f>
        <v>1565083574.8058999</v>
      </c>
      <c r="F24" s="395">
        <f>+F22+'II-E-3'!F58</f>
        <v>0</v>
      </c>
      <c r="G24" s="395">
        <f>+G22+'II-E-3'!G58</f>
        <v>1423878154.7199998</v>
      </c>
      <c r="H24" s="395">
        <f>+H22+'II-E-3'!H58</f>
        <v>89401162.170000017</v>
      </c>
      <c r="I24" s="395">
        <f>+I22+'II-E-3'!I58</f>
        <v>1513279316.8899999</v>
      </c>
      <c r="J24" s="395"/>
      <c r="K24" s="395">
        <f>+K22+'II-E-3'!K58</f>
        <v>1513279316.8899999</v>
      </c>
      <c r="L24" s="70"/>
      <c r="M24" s="71"/>
      <c r="N24" s="395">
        <f>+N22+'II-E-3'!N58</f>
        <v>462234345.40999997</v>
      </c>
      <c r="O24" s="395">
        <f>+O22+'II-E-3'!O58</f>
        <v>61150033.649999991</v>
      </c>
      <c r="P24" s="395">
        <f>+P22+'II-E-3'!P58</f>
        <v>1075996.47</v>
      </c>
      <c r="Q24" s="395">
        <f>+Q22+'II-E-3'!Q58</f>
        <v>524460375.52999997</v>
      </c>
      <c r="R24" s="395">
        <f>+R22+'II-E-3'!R58</f>
        <v>907267440.79999995</v>
      </c>
      <c r="S24" s="395">
        <f>+S22+'II-E-3'!S58</f>
        <v>4659859.6500000004</v>
      </c>
      <c r="T24" s="395">
        <f>+T22+'II-E-3'!T58</f>
        <v>911927300.45000005</v>
      </c>
      <c r="U24" s="395">
        <f>+U22+'II-E-3'!U58</f>
        <v>39452824.030000001</v>
      </c>
      <c r="V24" s="395">
        <f>+V22+'II-E-3'!V58</f>
        <v>37438816.880000003</v>
      </c>
      <c r="W24" s="395">
        <f>+W22+'II-E-3'!W58</f>
        <v>1513279316.8899999</v>
      </c>
    </row>
    <row r="25" spans="3:23" s="58" customFormat="1" ht="12.75" customHeight="1">
      <c r="C25" s="77"/>
      <c r="D25" s="72"/>
      <c r="E25" s="72"/>
      <c r="F25" s="72"/>
      <c r="G25" s="72"/>
      <c r="H25" s="72"/>
      <c r="I25" s="72"/>
      <c r="J25" s="72"/>
      <c r="K25" s="59"/>
      <c r="L25" s="72"/>
      <c r="M25" s="63"/>
      <c r="N25" s="72"/>
      <c r="O25" s="72"/>
      <c r="P25" s="72"/>
      <c r="Q25" s="72"/>
      <c r="R25" s="75"/>
      <c r="S25" s="75"/>
      <c r="T25" s="75"/>
      <c r="U25" s="75"/>
      <c r="V25" s="75"/>
      <c r="W25" s="75"/>
    </row>
    <row r="27" spans="3:23" s="58" customFormat="1" ht="12.75" customHeight="1">
      <c r="C27" s="77"/>
      <c r="D27" s="72"/>
      <c r="E27" s="72"/>
      <c r="F27" s="72"/>
      <c r="G27" s="72"/>
      <c r="H27" s="72"/>
      <c r="I27" s="72"/>
      <c r="J27" s="72"/>
      <c r="K27" s="59"/>
      <c r="L27" s="72"/>
      <c r="M27" s="59"/>
      <c r="N27" s="72"/>
      <c r="O27" s="72"/>
      <c r="P27" s="72"/>
      <c r="Q27" s="72"/>
      <c r="R27" s="75"/>
      <c r="S27" s="75"/>
      <c r="T27" s="75"/>
      <c r="U27" s="75"/>
      <c r="V27" s="75"/>
      <c r="W27" s="75"/>
    </row>
    <row r="28" spans="3:23" s="58" customFormat="1" ht="12.75" customHeight="1">
      <c r="C28" s="77"/>
      <c r="D28" s="72"/>
      <c r="E28" s="72"/>
      <c r="F28" s="72"/>
      <c r="G28" s="72"/>
      <c r="H28" s="72"/>
      <c r="I28" s="72"/>
      <c r="J28" s="72"/>
      <c r="K28" s="59"/>
      <c r="L28" s="72"/>
      <c r="M28" s="59"/>
      <c r="N28" s="72"/>
      <c r="O28" s="72"/>
      <c r="P28" s="72"/>
      <c r="Q28" s="72"/>
      <c r="R28" s="75"/>
      <c r="S28" s="75"/>
      <c r="T28" s="75"/>
      <c r="U28" s="75"/>
      <c r="V28" s="75"/>
      <c r="W28" s="75"/>
    </row>
    <row r="29" spans="3:23" s="58" customFormat="1" ht="12.75" customHeight="1">
      <c r="C29" s="77"/>
      <c r="D29" s="72"/>
      <c r="E29" s="72"/>
      <c r="F29" s="72"/>
      <c r="G29" s="72"/>
      <c r="H29" s="72"/>
      <c r="I29" s="72"/>
      <c r="J29" s="72"/>
      <c r="K29" s="59"/>
      <c r="L29" s="72"/>
      <c r="M29" s="63"/>
      <c r="N29" s="72"/>
      <c r="O29" s="72"/>
      <c r="P29" s="72"/>
      <c r="Q29" s="72"/>
      <c r="R29" s="75"/>
      <c r="S29" s="75"/>
      <c r="T29" s="75"/>
      <c r="U29" s="75"/>
      <c r="V29" s="75"/>
      <c r="W29" s="75"/>
    </row>
    <row r="30" spans="3:23" s="62" customFormat="1" ht="12.75" customHeight="1">
      <c r="C30" s="73"/>
      <c r="D30" s="70"/>
      <c r="E30" s="70"/>
      <c r="F30" s="70"/>
      <c r="G30" s="70"/>
      <c r="H30" s="70"/>
      <c r="I30" s="70"/>
      <c r="J30" s="70"/>
      <c r="K30" s="71"/>
      <c r="L30" s="70"/>
      <c r="M30" s="78"/>
      <c r="N30" s="70"/>
      <c r="O30" s="70"/>
      <c r="P30" s="70"/>
      <c r="Q30" s="70"/>
      <c r="R30" s="70"/>
      <c r="S30" s="70"/>
      <c r="T30" s="70"/>
      <c r="U30" s="70"/>
      <c r="V30" s="70"/>
      <c r="W30" s="70"/>
    </row>
    <row r="31" spans="3:23" s="58" customFormat="1" ht="12.75" customHeight="1">
      <c r="C31" s="77"/>
      <c r="D31" s="72"/>
      <c r="E31" s="72"/>
      <c r="F31" s="72"/>
      <c r="G31" s="72"/>
      <c r="H31" s="72"/>
      <c r="I31" s="72"/>
      <c r="J31" s="72"/>
      <c r="K31" s="59"/>
      <c r="L31" s="72"/>
      <c r="M31" s="63"/>
      <c r="N31" s="72"/>
      <c r="O31" s="72"/>
      <c r="P31" s="72"/>
      <c r="Q31" s="72"/>
      <c r="R31" s="75"/>
      <c r="S31" s="75"/>
      <c r="T31" s="75"/>
      <c r="U31" s="75"/>
      <c r="V31" s="75"/>
      <c r="W31" s="75"/>
    </row>
    <row r="32" spans="3:23" s="58" customFormat="1" ht="12.75" customHeight="1">
      <c r="C32" s="74"/>
      <c r="D32" s="72"/>
      <c r="E32" s="72"/>
      <c r="F32" s="72"/>
      <c r="G32" s="72"/>
      <c r="H32" s="72"/>
      <c r="I32" s="72"/>
      <c r="J32" s="72"/>
      <c r="K32" s="59"/>
      <c r="L32" s="72"/>
      <c r="M32" s="59"/>
      <c r="N32" s="72"/>
      <c r="O32" s="72"/>
      <c r="P32" s="72"/>
      <c r="Q32" s="72"/>
      <c r="R32" s="75"/>
      <c r="S32" s="75"/>
      <c r="T32" s="75"/>
      <c r="U32" s="75"/>
      <c r="V32" s="75"/>
      <c r="W32" s="75"/>
    </row>
    <row r="33" spans="3:23" s="58" customFormat="1" ht="12.75" customHeight="1">
      <c r="C33" s="74"/>
      <c r="D33" s="72"/>
      <c r="E33" s="72"/>
      <c r="F33" s="72"/>
      <c r="G33" s="72"/>
      <c r="H33" s="72"/>
      <c r="I33" s="72"/>
      <c r="J33" s="72"/>
      <c r="K33" s="59"/>
      <c r="L33" s="72"/>
      <c r="M33" s="59"/>
      <c r="N33" s="72"/>
      <c r="O33" s="72"/>
      <c r="P33" s="72"/>
      <c r="Q33" s="72"/>
      <c r="R33" s="75"/>
      <c r="S33" s="75"/>
      <c r="T33" s="75"/>
      <c r="U33" s="75"/>
      <c r="V33" s="75"/>
      <c r="W33" s="75"/>
    </row>
    <row r="34" spans="4:23" s="58" customFormat="1" ht="12.75" customHeight="1">
      <c r="D34" s="72"/>
      <c r="E34" s="72"/>
      <c r="F34" s="72"/>
      <c r="G34" s="72"/>
      <c r="H34" s="72"/>
      <c r="I34" s="72"/>
      <c r="J34" s="72"/>
      <c r="K34" s="59"/>
      <c r="L34" s="72"/>
      <c r="M34" s="59"/>
      <c r="N34" s="72"/>
      <c r="O34" s="72"/>
      <c r="P34" s="72"/>
      <c r="Q34" s="72"/>
      <c r="R34" s="75"/>
      <c r="S34" s="75"/>
      <c r="T34" s="75"/>
      <c r="U34" s="75"/>
      <c r="V34" s="75"/>
      <c r="W34" s="75"/>
    </row>
    <row r="35" spans="3:23" s="62" customFormat="1" ht="12.75" customHeight="1">
      <c r="C35" s="73"/>
      <c r="D35" s="70"/>
      <c r="E35" s="70"/>
      <c r="F35" s="70"/>
      <c r="G35" s="70"/>
      <c r="H35" s="70"/>
      <c r="I35" s="70"/>
      <c r="J35" s="70"/>
      <c r="K35" s="71"/>
      <c r="L35" s="70"/>
      <c r="M35" s="71"/>
      <c r="N35" s="70"/>
      <c r="O35" s="70"/>
      <c r="P35" s="70"/>
      <c r="Q35" s="70"/>
      <c r="R35" s="70"/>
      <c r="S35" s="70"/>
      <c r="T35" s="70"/>
      <c r="U35" s="70"/>
      <c r="V35" s="70"/>
      <c r="W35" s="70"/>
    </row>
    <row r="36" spans="3:23" s="58" customFormat="1" ht="12.75" customHeight="1">
      <c r="C36" s="73"/>
      <c r="D36" s="72"/>
      <c r="E36" s="72"/>
      <c r="F36" s="72"/>
      <c r="G36" s="72"/>
      <c r="H36" s="72"/>
      <c r="I36" s="72"/>
      <c r="J36" s="72"/>
      <c r="K36" s="59"/>
      <c r="L36" s="72"/>
      <c r="M36" s="59"/>
      <c r="N36" s="72"/>
      <c r="O36" s="72"/>
      <c r="P36" s="72"/>
      <c r="Q36" s="72"/>
      <c r="R36" s="72"/>
      <c r="S36" s="72"/>
      <c r="T36" s="72"/>
      <c r="U36" s="72"/>
      <c r="V36" s="72"/>
      <c r="W36" s="72"/>
    </row>
    <row r="37" spans="3:23" s="58" customFormat="1" ht="12.75" customHeight="1">
      <c r="C37" s="73"/>
      <c r="D37" s="72"/>
      <c r="E37" s="72"/>
      <c r="F37" s="72"/>
      <c r="G37" s="72"/>
      <c r="H37" s="72"/>
      <c r="I37" s="72"/>
      <c r="J37" s="72"/>
      <c r="K37" s="59"/>
      <c r="L37" s="72"/>
      <c r="M37" s="59"/>
      <c r="N37" s="72"/>
      <c r="O37" s="72"/>
      <c r="P37" s="72"/>
      <c r="Q37" s="72"/>
      <c r="R37" s="72"/>
      <c r="S37" s="72"/>
      <c r="T37" s="72"/>
      <c r="U37" s="72"/>
      <c r="V37" s="72"/>
      <c r="W37" s="72"/>
    </row>
    <row r="38" spans="4:22" s="58" customFormat="1" ht="12.75" customHeight="1">
      <c r="D38" s="72"/>
      <c r="E38" s="72"/>
      <c r="F38" s="72"/>
      <c r="G38" s="72"/>
      <c r="H38" s="72"/>
      <c r="I38" s="72"/>
      <c r="J38" s="72"/>
      <c r="K38" s="59"/>
      <c r="L38" s="72"/>
      <c r="M38" s="59"/>
      <c r="N38" s="72"/>
      <c r="O38" s="72"/>
      <c r="P38" s="72"/>
      <c r="Q38" s="72"/>
      <c r="R38" s="72"/>
      <c r="S38" s="72"/>
      <c r="T38" s="72"/>
      <c r="U38" s="72"/>
      <c r="V38" s="72"/>
    </row>
    <row r="39" spans="2:22" s="62" customFormat="1" ht="12.75" customHeight="1">
      <c r="B39" s="79"/>
      <c r="D39" s="70"/>
      <c r="E39" s="70"/>
      <c r="F39" s="70"/>
      <c r="G39" s="70"/>
      <c r="H39" s="70"/>
      <c r="I39" s="70"/>
      <c r="J39" s="70"/>
      <c r="K39" s="71"/>
      <c r="L39" s="70"/>
      <c r="M39" s="71"/>
      <c r="N39" s="70"/>
      <c r="O39" s="70"/>
      <c r="P39" s="70"/>
      <c r="Q39" s="70"/>
      <c r="R39" s="70"/>
      <c r="S39" s="70"/>
      <c r="T39" s="70"/>
      <c r="U39" s="70"/>
      <c r="V39" s="70"/>
    </row>
    <row r="40" spans="5:23" s="58" customFormat="1" ht="12.75" customHeight="1">
      <c r="E40" s="72"/>
      <c r="F40" s="72"/>
      <c r="G40" s="72"/>
      <c r="H40" s="72"/>
      <c r="I40" s="72"/>
      <c r="J40" s="72"/>
      <c r="K40" s="59"/>
      <c r="L40" s="72"/>
      <c r="M40" s="59"/>
      <c r="N40" s="72"/>
      <c r="O40" s="72"/>
      <c r="P40" s="72"/>
      <c r="Q40" s="72"/>
      <c r="R40" s="75"/>
      <c r="S40" s="75"/>
      <c r="T40" s="75"/>
      <c r="U40" s="75"/>
      <c r="V40" s="75"/>
      <c r="W40" s="75"/>
    </row>
    <row r="41" spans="4:22" s="58" customFormat="1" ht="12.75" customHeight="1">
      <c r="D41" s="72"/>
      <c r="E41" s="72"/>
      <c r="F41" s="72"/>
      <c r="G41" s="72"/>
      <c r="H41" s="72"/>
      <c r="I41" s="72"/>
      <c r="J41" s="72"/>
      <c r="K41" s="59"/>
      <c r="L41" s="72"/>
      <c r="M41" s="59"/>
      <c r="N41" s="72"/>
      <c r="O41" s="72"/>
      <c r="P41" s="72"/>
      <c r="Q41" s="72"/>
      <c r="R41" s="72"/>
      <c r="S41" s="72"/>
      <c r="T41" s="72"/>
      <c r="U41" s="72"/>
      <c r="V41" s="72"/>
    </row>
    <row r="42" spans="4:23" s="58" customFormat="1" ht="12.75" customHeight="1">
      <c r="D42" s="70"/>
      <c r="E42" s="72"/>
      <c r="F42" s="72"/>
      <c r="G42" s="72"/>
      <c r="H42" s="72"/>
      <c r="I42" s="72"/>
      <c r="J42" s="72"/>
      <c r="K42" s="59"/>
      <c r="L42" s="72"/>
      <c r="M42" s="59"/>
      <c r="N42" s="72"/>
      <c r="O42" s="72"/>
      <c r="P42" s="72"/>
      <c r="Q42" s="72"/>
      <c r="R42" s="40"/>
      <c r="S42" s="40"/>
      <c r="T42" s="40"/>
      <c r="U42" s="40"/>
      <c r="V42" s="40"/>
      <c r="W42" s="40"/>
    </row>
    <row r="43" spans="4:23" s="58" customFormat="1" ht="12.75" customHeight="1">
      <c r="D43" s="72"/>
      <c r="E43" s="72"/>
      <c r="F43" s="72"/>
      <c r="G43" s="72"/>
      <c r="H43" s="72"/>
      <c r="I43" s="72"/>
      <c r="J43" s="72"/>
      <c r="K43" s="59"/>
      <c r="L43" s="72"/>
      <c r="M43" s="59"/>
      <c r="N43" s="72"/>
      <c r="O43" s="72"/>
      <c r="P43" s="72"/>
      <c r="Q43" s="72"/>
      <c r="R43" s="40"/>
      <c r="S43" s="40"/>
      <c r="T43" s="40"/>
      <c r="U43" s="40"/>
      <c r="V43" s="40"/>
      <c r="W43" s="40"/>
    </row>
    <row r="44" spans="3:23" s="62" customFormat="1" ht="12.75" customHeight="1">
      <c r="C44" s="73"/>
      <c r="D44" s="70"/>
      <c r="E44" s="70"/>
      <c r="F44" s="70"/>
      <c r="G44" s="70"/>
      <c r="H44" s="70"/>
      <c r="I44" s="70"/>
      <c r="J44" s="70"/>
      <c r="K44" s="71"/>
      <c r="L44" s="70"/>
      <c r="M44" s="71"/>
      <c r="N44" s="70"/>
      <c r="O44" s="70"/>
      <c r="P44" s="70"/>
      <c r="Q44" s="70"/>
      <c r="R44" s="70"/>
      <c r="S44" s="70"/>
      <c r="T44" s="70"/>
      <c r="U44" s="70"/>
      <c r="V44" s="70"/>
      <c r="W44" s="70"/>
    </row>
    <row r="45" spans="4:22" s="58" customFormat="1" ht="12.75" customHeight="1">
      <c r="D45" s="72"/>
      <c r="E45" s="72"/>
      <c r="F45" s="72"/>
      <c r="G45" s="72"/>
      <c r="H45" s="72"/>
      <c r="I45" s="72"/>
      <c r="J45" s="72"/>
      <c r="K45" s="59"/>
      <c r="L45" s="72"/>
      <c r="M45" s="59"/>
      <c r="N45" s="72"/>
      <c r="O45" s="72"/>
      <c r="P45" s="72"/>
      <c r="Q45" s="72"/>
      <c r="R45" s="72"/>
      <c r="S45" s="72"/>
      <c r="T45" s="72"/>
      <c r="U45" s="72"/>
      <c r="V45" s="72"/>
    </row>
    <row r="46" spans="3:22" s="62" customFormat="1" ht="12.75" customHeight="1">
      <c r="C46" s="79"/>
      <c r="D46" s="70"/>
      <c r="E46" s="70"/>
      <c r="F46" s="80"/>
      <c r="G46" s="70"/>
      <c r="H46" s="70"/>
      <c r="I46" s="70"/>
      <c r="J46" s="70"/>
      <c r="K46" s="71"/>
      <c r="L46" s="70"/>
      <c r="M46" s="81"/>
      <c r="N46" s="70"/>
      <c r="O46" s="70"/>
      <c r="P46" s="70"/>
      <c r="Q46" s="70"/>
      <c r="R46" s="70"/>
      <c r="S46" s="70"/>
      <c r="T46" s="70"/>
      <c r="U46" s="70"/>
      <c r="V46" s="70"/>
    </row>
    <row r="47" spans="4:23" s="58" customFormat="1" ht="12.75" customHeight="1">
      <c r="D47" s="82"/>
      <c r="E47" s="72"/>
      <c r="F47" s="72"/>
      <c r="G47" s="72"/>
      <c r="H47" s="72"/>
      <c r="I47" s="72"/>
      <c r="J47" s="72"/>
      <c r="K47" s="59"/>
      <c r="L47" s="72"/>
      <c r="M47" s="59"/>
      <c r="N47" s="72"/>
      <c r="O47" s="72"/>
      <c r="P47" s="72"/>
      <c r="Q47" s="72"/>
      <c r="R47" s="75"/>
      <c r="S47" s="75"/>
      <c r="T47" s="75"/>
      <c r="U47" s="75"/>
      <c r="V47" s="75"/>
      <c r="W47" s="75"/>
    </row>
    <row r="48" spans="4:23" s="58" customFormat="1" ht="12.75" customHeight="1">
      <c r="D48" s="82"/>
      <c r="E48" s="72"/>
      <c r="F48" s="72"/>
      <c r="G48" s="72"/>
      <c r="H48" s="72"/>
      <c r="I48" s="72"/>
      <c r="J48" s="72"/>
      <c r="K48" s="59"/>
      <c r="L48" s="72"/>
      <c r="M48" s="59"/>
      <c r="N48" s="72"/>
      <c r="O48" s="72"/>
      <c r="P48" s="72"/>
      <c r="Q48" s="72"/>
      <c r="R48" s="75"/>
      <c r="S48" s="75"/>
      <c r="T48" s="75"/>
      <c r="U48" s="75"/>
      <c r="V48" s="75"/>
      <c r="W48" s="75"/>
    </row>
    <row r="49" spans="4:23" s="58" customFormat="1" ht="12.75" customHeight="1">
      <c r="D49" s="82"/>
      <c r="E49" s="72"/>
      <c r="F49" s="72"/>
      <c r="G49" s="72"/>
      <c r="H49" s="72"/>
      <c r="I49" s="72"/>
      <c r="J49" s="72"/>
      <c r="K49" s="59"/>
      <c r="L49" s="72"/>
      <c r="M49" s="59"/>
      <c r="N49" s="72"/>
      <c r="O49" s="72"/>
      <c r="P49" s="72"/>
      <c r="Q49" s="72"/>
      <c r="R49" s="75"/>
      <c r="S49" s="75"/>
      <c r="T49" s="75"/>
      <c r="U49" s="75"/>
      <c r="V49" s="75"/>
      <c r="W49" s="75"/>
    </row>
    <row r="50" spans="4:23" s="58" customFormat="1" ht="12.75" customHeight="1">
      <c r="D50" s="82"/>
      <c r="E50" s="72"/>
      <c r="F50" s="72"/>
      <c r="G50" s="72"/>
      <c r="H50" s="72"/>
      <c r="I50" s="72"/>
      <c r="J50" s="72"/>
      <c r="K50" s="59"/>
      <c r="L50" s="72"/>
      <c r="M50" s="59"/>
      <c r="N50" s="72"/>
      <c r="O50" s="72"/>
      <c r="P50" s="72"/>
      <c r="Q50" s="72"/>
      <c r="R50" s="75"/>
      <c r="S50" s="75"/>
      <c r="T50" s="75"/>
      <c r="U50" s="75"/>
      <c r="V50" s="75"/>
      <c r="W50" s="75"/>
    </row>
    <row r="51" spans="4:23" s="58" customFormat="1" ht="12.75" customHeight="1">
      <c r="D51" s="82"/>
      <c r="E51" s="72"/>
      <c r="F51" s="72"/>
      <c r="G51" s="72"/>
      <c r="H51" s="72"/>
      <c r="I51" s="72"/>
      <c r="J51" s="72"/>
      <c r="K51" s="59"/>
      <c r="L51" s="72"/>
      <c r="M51" s="59"/>
      <c r="N51" s="72"/>
      <c r="O51" s="72"/>
      <c r="P51" s="72"/>
      <c r="Q51" s="72"/>
      <c r="R51" s="75"/>
      <c r="S51" s="75"/>
      <c r="T51" s="75"/>
      <c r="U51" s="75"/>
      <c r="V51" s="75"/>
      <c r="W51" s="75"/>
    </row>
    <row r="52" spans="4:23" s="58" customFormat="1" ht="12.75" customHeight="1">
      <c r="D52" s="82"/>
      <c r="E52" s="72"/>
      <c r="F52" s="72"/>
      <c r="G52" s="72"/>
      <c r="H52" s="72"/>
      <c r="I52" s="72"/>
      <c r="J52" s="72"/>
      <c r="K52" s="59"/>
      <c r="L52" s="72"/>
      <c r="M52" s="59"/>
      <c r="N52" s="72"/>
      <c r="O52" s="72"/>
      <c r="P52" s="72"/>
      <c r="Q52" s="72"/>
      <c r="R52" s="75"/>
      <c r="S52" s="75"/>
      <c r="T52" s="75"/>
      <c r="U52" s="75"/>
      <c r="V52" s="75"/>
      <c r="W52" s="75"/>
    </row>
    <row r="53" spans="4:23" s="58" customFormat="1" ht="12.75" customHeight="1">
      <c r="D53" s="82"/>
      <c r="E53" s="72"/>
      <c r="F53" s="72"/>
      <c r="G53" s="72"/>
      <c r="H53" s="72"/>
      <c r="I53" s="72"/>
      <c r="J53" s="72"/>
      <c r="K53" s="59"/>
      <c r="L53" s="72"/>
      <c r="M53" s="59"/>
      <c r="N53" s="72"/>
      <c r="O53" s="72"/>
      <c r="P53" s="72"/>
      <c r="Q53" s="72"/>
      <c r="R53" s="40"/>
      <c r="S53" s="40"/>
      <c r="T53" s="40"/>
      <c r="U53" s="40"/>
      <c r="V53" s="40"/>
      <c r="W53" s="40"/>
    </row>
    <row r="54" spans="4:23" s="58" customFormat="1" ht="12.75" customHeight="1">
      <c r="D54" s="82"/>
      <c r="E54" s="72"/>
      <c r="F54" s="72"/>
      <c r="G54" s="72"/>
      <c r="H54" s="72"/>
      <c r="I54" s="72"/>
      <c r="J54" s="72"/>
      <c r="K54" s="59"/>
      <c r="L54" s="72"/>
      <c r="M54" s="59"/>
      <c r="N54" s="72"/>
      <c r="O54" s="72"/>
      <c r="P54" s="72"/>
      <c r="Q54" s="72"/>
      <c r="R54" s="75"/>
      <c r="S54" s="75"/>
      <c r="T54" s="75"/>
      <c r="U54" s="75"/>
      <c r="V54" s="75"/>
      <c r="W54" s="75"/>
    </row>
    <row r="55" spans="4:23" s="58" customFormat="1" ht="12.75" customHeight="1">
      <c r="D55" s="82"/>
      <c r="E55" s="72"/>
      <c r="F55" s="72"/>
      <c r="G55" s="72"/>
      <c r="H55" s="72"/>
      <c r="I55" s="72"/>
      <c r="J55" s="72"/>
      <c r="K55" s="59"/>
      <c r="L55" s="72"/>
      <c r="M55" s="59"/>
      <c r="N55" s="72"/>
      <c r="O55" s="72"/>
      <c r="P55" s="72"/>
      <c r="Q55" s="72"/>
      <c r="R55" s="75"/>
      <c r="S55" s="75"/>
      <c r="T55" s="75"/>
      <c r="U55" s="75"/>
      <c r="V55" s="75"/>
      <c r="W55" s="75"/>
    </row>
    <row r="56" spans="4:23" s="58" customFormat="1" ht="12.75" customHeight="1">
      <c r="D56" s="82"/>
      <c r="E56" s="72"/>
      <c r="F56" s="72"/>
      <c r="G56" s="72"/>
      <c r="H56" s="72"/>
      <c r="I56" s="72"/>
      <c r="J56" s="72"/>
      <c r="K56" s="59"/>
      <c r="L56" s="72"/>
      <c r="M56" s="59"/>
      <c r="N56" s="72"/>
      <c r="O56" s="72"/>
      <c r="P56" s="72"/>
      <c r="Q56" s="72"/>
      <c r="R56" s="75"/>
      <c r="S56" s="75"/>
      <c r="T56" s="75"/>
      <c r="U56" s="75"/>
      <c r="V56" s="75"/>
      <c r="W56" s="75"/>
    </row>
    <row r="57" spans="3:24" s="62" customFormat="1" ht="12.75" customHeight="1">
      <c r="C57" s="73"/>
      <c r="D57" s="80"/>
      <c r="E57" s="70"/>
      <c r="F57" s="70"/>
      <c r="G57" s="70"/>
      <c r="H57" s="70"/>
      <c r="I57" s="70"/>
      <c r="J57" s="70"/>
      <c r="K57" s="81"/>
      <c r="L57" s="70"/>
      <c r="M57" s="71"/>
      <c r="N57" s="70"/>
      <c r="O57" s="70"/>
      <c r="P57" s="70"/>
      <c r="Q57" s="70"/>
      <c r="R57" s="70"/>
      <c r="S57" s="70"/>
      <c r="T57" s="70"/>
      <c r="U57" s="70"/>
      <c r="V57" s="70"/>
      <c r="W57" s="70"/>
      <c r="X57" s="58"/>
    </row>
    <row r="58" spans="3:22" s="58" customFormat="1" ht="12.75" customHeight="1">
      <c r="C58" s="74"/>
      <c r="D58" s="82"/>
      <c r="E58" s="72"/>
      <c r="F58" s="72"/>
      <c r="G58" s="72"/>
      <c r="H58" s="72"/>
      <c r="I58" s="72"/>
      <c r="J58" s="72"/>
      <c r="K58" s="83"/>
      <c r="L58" s="72"/>
      <c r="M58" s="59"/>
      <c r="N58" s="72"/>
      <c r="O58" s="72"/>
      <c r="P58" s="72"/>
      <c r="Q58" s="72"/>
      <c r="R58" s="72"/>
      <c r="S58" s="72"/>
      <c r="T58" s="72"/>
      <c r="U58" s="72"/>
      <c r="V58" s="72"/>
    </row>
    <row r="59" spans="2:24" s="62" customFormat="1" ht="12.75" customHeight="1">
      <c r="B59" s="84"/>
      <c r="D59" s="80"/>
      <c r="E59" s="70"/>
      <c r="F59" s="70"/>
      <c r="G59" s="70"/>
      <c r="H59" s="70"/>
      <c r="I59" s="70"/>
      <c r="J59" s="70"/>
      <c r="K59" s="81"/>
      <c r="L59" s="70"/>
      <c r="M59" s="71"/>
      <c r="N59" s="70"/>
      <c r="O59" s="70"/>
      <c r="P59" s="70"/>
      <c r="Q59" s="70"/>
      <c r="R59" s="70"/>
      <c r="S59" s="70"/>
      <c r="T59" s="70"/>
      <c r="U59" s="70"/>
      <c r="V59" s="70"/>
      <c r="W59" s="70"/>
      <c r="X59" s="58"/>
    </row>
    <row r="60" spans="3:23" s="58" customFormat="1" ht="12.75" customHeight="1">
      <c r="C60" s="73"/>
      <c r="D60" s="82"/>
      <c r="E60" s="72"/>
      <c r="F60" s="72"/>
      <c r="G60" s="72"/>
      <c r="H60" s="72"/>
      <c r="I60" s="72"/>
      <c r="J60" s="72"/>
      <c r="K60" s="83"/>
      <c r="L60" s="72"/>
      <c r="M60" s="71"/>
      <c r="N60" s="72"/>
      <c r="O60" s="72"/>
      <c r="P60" s="72"/>
      <c r="Q60" s="72"/>
      <c r="R60" s="72"/>
      <c r="S60" s="72"/>
      <c r="T60" s="72"/>
      <c r="U60" s="72"/>
      <c r="V60" s="72"/>
      <c r="W60" s="72"/>
    </row>
    <row r="61" spans="3:23" s="62" customFormat="1" ht="12.75" customHeight="1">
      <c r="C61" s="73"/>
      <c r="D61" s="70"/>
      <c r="E61" s="70"/>
      <c r="F61" s="70"/>
      <c r="G61" s="70"/>
      <c r="H61" s="70"/>
      <c r="I61" s="70"/>
      <c r="J61" s="70"/>
      <c r="K61" s="81"/>
      <c r="L61" s="70"/>
      <c r="M61" s="71"/>
      <c r="N61" s="70"/>
      <c r="O61" s="70"/>
      <c r="P61" s="70"/>
      <c r="Q61" s="70"/>
      <c r="R61" s="70"/>
      <c r="S61" s="70"/>
      <c r="T61" s="70"/>
      <c r="U61" s="70"/>
      <c r="V61" s="70"/>
      <c r="W61" s="70"/>
    </row>
    <row r="62" spans="3:22" s="62" customFormat="1" ht="12.75" customHeight="1">
      <c r="C62" s="73"/>
      <c r="D62" s="80"/>
      <c r="E62" s="70"/>
      <c r="F62" s="70"/>
      <c r="G62" s="70"/>
      <c r="H62" s="70"/>
      <c r="I62" s="70"/>
      <c r="J62" s="70"/>
      <c r="K62" s="81"/>
      <c r="L62" s="70"/>
      <c r="M62" s="71"/>
      <c r="N62" s="70"/>
      <c r="O62" s="70"/>
      <c r="P62" s="70"/>
      <c r="Q62" s="70"/>
      <c r="R62" s="70"/>
      <c r="S62" s="70"/>
      <c r="T62" s="70"/>
      <c r="U62" s="70"/>
      <c r="V62" s="70"/>
    </row>
    <row r="63" spans="3:23" s="62" customFormat="1" ht="12.75" customHeight="1">
      <c r="C63" s="73"/>
      <c r="D63" s="70"/>
      <c r="E63" s="70"/>
      <c r="F63" s="70"/>
      <c r="G63" s="70"/>
      <c r="H63" s="70"/>
      <c r="I63" s="70"/>
      <c r="J63" s="70"/>
      <c r="K63" s="81"/>
      <c r="L63" s="70"/>
      <c r="M63" s="71"/>
      <c r="N63" s="70"/>
      <c r="O63" s="70"/>
      <c r="P63" s="70"/>
      <c r="Q63" s="70"/>
      <c r="R63" s="85"/>
      <c r="S63" s="85"/>
      <c r="T63" s="85"/>
      <c r="U63" s="85"/>
      <c r="V63" s="85"/>
      <c r="W63" s="85"/>
    </row>
    <row r="64" spans="3:22" s="62" customFormat="1" ht="12.75" customHeight="1">
      <c r="C64" s="73"/>
      <c r="D64" s="80"/>
      <c r="E64" s="70"/>
      <c r="F64" s="70"/>
      <c r="G64" s="70"/>
      <c r="H64" s="70"/>
      <c r="I64" s="70"/>
      <c r="J64" s="70"/>
      <c r="K64" s="81"/>
      <c r="L64" s="70"/>
      <c r="M64" s="71"/>
      <c r="N64" s="70"/>
      <c r="O64" s="70"/>
      <c r="P64" s="70"/>
      <c r="Q64" s="70"/>
      <c r="R64" s="70"/>
      <c r="S64" s="70"/>
      <c r="T64" s="70"/>
      <c r="U64" s="70"/>
      <c r="V64" s="70"/>
    </row>
    <row r="65" spans="2:23" s="62" customFormat="1" ht="12.75" customHeight="1">
      <c r="B65" s="68"/>
      <c r="C65" s="73"/>
      <c r="D65" s="80"/>
      <c r="E65" s="70"/>
      <c r="F65" s="70"/>
      <c r="G65" s="70"/>
      <c r="H65" s="70"/>
      <c r="I65" s="70"/>
      <c r="J65" s="70"/>
      <c r="K65" s="81"/>
      <c r="L65" s="70"/>
      <c r="M65" s="71"/>
      <c r="N65" s="70"/>
      <c r="O65" s="70"/>
      <c r="P65" s="70"/>
      <c r="Q65" s="70"/>
      <c r="R65" s="70"/>
      <c r="S65" s="70"/>
      <c r="T65" s="70"/>
      <c r="U65" s="70"/>
      <c r="V65" s="70"/>
      <c r="W65" s="70"/>
    </row>
    <row r="66" spans="3:22" s="58" customFormat="1" ht="12.75" customHeight="1">
      <c r="C66" s="73"/>
      <c r="D66" s="82"/>
      <c r="E66" s="72"/>
      <c r="F66" s="72"/>
      <c r="G66" s="72"/>
      <c r="H66" s="72"/>
      <c r="I66" s="72"/>
      <c r="J66" s="72"/>
      <c r="K66" s="83"/>
      <c r="L66" s="72"/>
      <c r="M66" s="71"/>
      <c r="N66" s="72"/>
      <c r="O66" s="72"/>
      <c r="P66" s="72"/>
      <c r="Q66" s="72"/>
      <c r="R66" s="72"/>
      <c r="S66" s="72"/>
      <c r="T66" s="72"/>
      <c r="U66" s="72"/>
      <c r="V66" s="72"/>
    </row>
    <row r="67" spans="3:23" s="58" customFormat="1" ht="12.75" customHeight="1">
      <c r="C67" s="73"/>
      <c r="D67" s="82"/>
      <c r="E67" s="72"/>
      <c r="F67" s="72"/>
      <c r="G67" s="72"/>
      <c r="H67" s="72"/>
      <c r="I67" s="72"/>
      <c r="J67" s="72"/>
      <c r="K67" s="59"/>
      <c r="L67" s="72"/>
      <c r="M67" s="59"/>
      <c r="N67" s="72"/>
      <c r="O67" s="72"/>
      <c r="P67" s="72"/>
      <c r="Q67" s="72"/>
      <c r="R67" s="75"/>
      <c r="S67" s="75"/>
      <c r="T67" s="75"/>
      <c r="U67" s="75"/>
      <c r="V67" s="75"/>
      <c r="W67" s="75"/>
    </row>
    <row r="68" spans="3:23" s="58" customFormat="1" ht="12.75" customHeight="1">
      <c r="C68" s="73"/>
      <c r="D68" s="82"/>
      <c r="E68" s="72"/>
      <c r="F68" s="72"/>
      <c r="G68" s="72"/>
      <c r="H68" s="72"/>
      <c r="I68" s="72"/>
      <c r="J68" s="72"/>
      <c r="K68" s="59"/>
      <c r="L68" s="72"/>
      <c r="M68" s="59"/>
      <c r="N68" s="72"/>
      <c r="O68" s="72"/>
      <c r="P68" s="72"/>
      <c r="Q68" s="72"/>
      <c r="R68" s="75"/>
      <c r="S68" s="75"/>
      <c r="T68" s="75"/>
      <c r="U68" s="75"/>
      <c r="V68" s="75"/>
      <c r="W68" s="75"/>
    </row>
    <row r="69" spans="3:22" s="58" customFormat="1" ht="12.75" customHeight="1">
      <c r="C69" s="73"/>
      <c r="D69" s="82"/>
      <c r="E69" s="72"/>
      <c r="F69" s="72"/>
      <c r="G69" s="72"/>
      <c r="H69" s="72"/>
      <c r="I69" s="72"/>
      <c r="J69" s="72"/>
      <c r="K69" s="83"/>
      <c r="L69" s="72"/>
      <c r="M69" s="71"/>
      <c r="N69" s="72"/>
      <c r="O69" s="72"/>
      <c r="P69" s="72"/>
      <c r="Q69" s="72"/>
      <c r="R69" s="72"/>
      <c r="S69" s="72"/>
      <c r="T69" s="72"/>
      <c r="U69" s="72"/>
      <c r="V69" s="72"/>
    </row>
    <row r="70" spans="3:23" s="58" customFormat="1" ht="12.75" customHeight="1">
      <c r="C70" s="86"/>
      <c r="D70" s="82"/>
      <c r="E70" s="72"/>
      <c r="F70" s="72"/>
      <c r="G70" s="72"/>
      <c r="H70" s="72"/>
      <c r="I70" s="72"/>
      <c r="J70" s="72"/>
      <c r="K70" s="59"/>
      <c r="L70" s="72"/>
      <c r="M70" s="59"/>
      <c r="N70" s="72"/>
      <c r="O70" s="72"/>
      <c r="P70" s="72"/>
      <c r="Q70" s="72"/>
      <c r="R70" s="75"/>
      <c r="S70" s="75"/>
      <c r="T70" s="75"/>
      <c r="U70" s="75"/>
      <c r="V70" s="75"/>
      <c r="W70" s="75"/>
    </row>
    <row r="71" spans="3:23" s="58" customFormat="1" ht="12.75" customHeight="1">
      <c r="C71" s="87"/>
      <c r="D71" s="82"/>
      <c r="E71" s="72"/>
      <c r="F71" s="72"/>
      <c r="G71" s="72"/>
      <c r="H71" s="72"/>
      <c r="I71" s="72"/>
      <c r="J71" s="72"/>
      <c r="K71" s="59"/>
      <c r="L71" s="72"/>
      <c r="M71" s="59"/>
      <c r="N71" s="72"/>
      <c r="O71" s="72"/>
      <c r="P71" s="72"/>
      <c r="Q71" s="72"/>
      <c r="R71" s="75"/>
      <c r="S71" s="75"/>
      <c r="T71" s="75"/>
      <c r="U71" s="75"/>
      <c r="V71" s="75"/>
      <c r="W71" s="75"/>
    </row>
    <row r="72" spans="11:13" s="58" customFormat="1" ht="12.75" customHeight="1">
      <c r="K72" s="59"/>
      <c r="M72" s="59"/>
    </row>
    <row r="73" spans="11:13" s="58" customFormat="1" ht="12.75" customHeight="1">
      <c r="K73" s="59"/>
      <c r="M73" s="59"/>
    </row>
    <row r="74" spans="11:13" s="58" customFormat="1" ht="12.75" customHeight="1">
      <c r="K74" s="59"/>
      <c r="M74" s="59"/>
    </row>
    <row r="75" spans="11:13" s="58" customFormat="1" ht="12.75" customHeight="1">
      <c r="K75" s="59"/>
      <c r="M75" s="59"/>
    </row>
    <row r="76" spans="11:13" s="58" customFormat="1" ht="12.75" customHeight="1">
      <c r="K76" s="59"/>
      <c r="M76" s="59"/>
    </row>
    <row r="77" spans="11:13" s="58" customFormat="1" ht="12.75" customHeight="1">
      <c r="K77" s="59"/>
      <c r="M77" s="59"/>
    </row>
    <row r="78" spans="11:13" s="58" customFormat="1" ht="12.75" customHeight="1">
      <c r="K78" s="59"/>
      <c r="M78" s="59"/>
    </row>
    <row r="79" spans="11:13" s="58" customFormat="1" ht="12.75" customHeight="1">
      <c r="K79" s="59"/>
      <c r="M79" s="59"/>
    </row>
    <row r="80" spans="11:13" s="58" customFormat="1" ht="12.75" customHeight="1">
      <c r="K80" s="59"/>
      <c r="M80" s="59"/>
    </row>
    <row r="81" spans="11:13" s="58" customFormat="1" ht="12.75" customHeight="1">
      <c r="K81" s="59"/>
      <c r="M81" s="59"/>
    </row>
    <row r="82" spans="11:13" s="58" customFormat="1" ht="12.75" customHeight="1">
      <c r="K82" s="59"/>
      <c r="M82" s="59"/>
    </row>
    <row r="83" spans="11:13" s="58" customFormat="1" ht="12.75" customHeight="1">
      <c r="K83" s="59"/>
      <c r="M83" s="59"/>
    </row>
    <row r="84" spans="11:13" s="58" customFormat="1" ht="12.75" customHeight="1">
      <c r="K84" s="59"/>
      <c r="M84" s="59"/>
    </row>
    <row r="85" spans="11:13" s="58" customFormat="1" ht="12.75" customHeight="1">
      <c r="K85" s="59"/>
      <c r="M85" s="59"/>
    </row>
    <row r="86" spans="11:13" s="58" customFormat="1" ht="12.75" customHeight="1">
      <c r="K86" s="59"/>
      <c r="M86" s="59"/>
    </row>
    <row r="87" spans="11:13" s="58" customFormat="1" ht="12.75" customHeight="1">
      <c r="K87" s="59"/>
      <c r="M87" s="59"/>
    </row>
    <row r="88" spans="11:13" s="58" customFormat="1" ht="12.75" customHeight="1">
      <c r="K88" s="59"/>
      <c r="M88" s="59"/>
    </row>
    <row r="89" spans="11:13" s="58" customFormat="1" ht="12.75" customHeight="1">
      <c r="K89" s="59"/>
      <c r="M89" s="59"/>
    </row>
    <row r="90" spans="11:13" s="58" customFormat="1" ht="12.75" customHeight="1">
      <c r="K90" s="59"/>
      <c r="M90" s="59"/>
    </row>
    <row r="91" spans="11:13" s="58" customFormat="1" ht="12.75" customHeight="1">
      <c r="K91" s="59"/>
      <c r="M91" s="59"/>
    </row>
    <row r="92" spans="11:13" s="58" customFormat="1" ht="12.75" customHeight="1">
      <c r="K92" s="59"/>
      <c r="M92" s="59"/>
    </row>
    <row r="93" spans="11:13" s="58" customFormat="1" ht="12.75" customHeight="1">
      <c r="K93" s="59"/>
      <c r="M93" s="59"/>
    </row>
    <row r="94" spans="11:13" s="58" customFormat="1" ht="12.75" customHeight="1">
      <c r="K94" s="59"/>
      <c r="M94" s="59"/>
    </row>
    <row r="95" spans="11:13" s="58" customFormat="1" ht="12.75" customHeight="1">
      <c r="K95" s="59"/>
      <c r="M95" s="59"/>
    </row>
    <row r="96" spans="11:13" s="58" customFormat="1" ht="12.75" customHeight="1">
      <c r="K96" s="59"/>
      <c r="M96" s="59"/>
    </row>
    <row r="97" spans="11:13" s="58" customFormat="1" ht="12.75" customHeight="1">
      <c r="K97" s="59"/>
      <c r="M97" s="59"/>
    </row>
    <row r="98" spans="11:13" s="58" customFormat="1" ht="12.75" customHeight="1">
      <c r="K98" s="59"/>
      <c r="M98" s="59"/>
    </row>
    <row r="99" spans="11:13" s="58" customFormat="1" ht="12.75" customHeight="1">
      <c r="K99" s="59"/>
      <c r="M99" s="59"/>
    </row>
    <row r="100" spans="11:13" s="58" customFormat="1" ht="12.75" customHeight="1">
      <c r="K100" s="59"/>
      <c r="M100" s="59"/>
    </row>
    <row r="101" spans="11:13" s="58" customFormat="1" ht="12.75" customHeight="1">
      <c r="K101" s="59"/>
      <c r="M101" s="59"/>
    </row>
    <row r="102" spans="11:13" s="58" customFormat="1" ht="12.75" customHeight="1">
      <c r="K102" s="59"/>
      <c r="M102" s="59"/>
    </row>
    <row r="103" spans="11:13" s="58" customFormat="1" ht="12.75" customHeight="1">
      <c r="K103" s="59"/>
      <c r="M103" s="59"/>
    </row>
    <row r="104" spans="11:13" s="58" customFormat="1" ht="12.75" customHeight="1">
      <c r="K104" s="59"/>
      <c r="M104" s="59"/>
    </row>
    <row r="105" spans="11:13" s="58" customFormat="1" ht="12.75" customHeight="1">
      <c r="K105" s="59"/>
      <c r="M105" s="59"/>
    </row>
    <row r="106" spans="11:13" s="58" customFormat="1" ht="12.75" customHeight="1">
      <c r="K106" s="59"/>
      <c r="M106" s="59"/>
    </row>
    <row r="107" spans="11:13" s="58" customFormat="1" ht="12.75" customHeight="1">
      <c r="K107" s="59"/>
      <c r="M107" s="59"/>
    </row>
    <row r="108" spans="11:13" s="58" customFormat="1" ht="12.75" customHeight="1">
      <c r="K108" s="59"/>
      <c r="M108" s="59"/>
    </row>
    <row r="109" spans="11:13" s="58" customFormat="1" ht="12.75" customHeight="1">
      <c r="K109" s="59"/>
      <c r="M109" s="59"/>
    </row>
    <row r="110" spans="11:13" s="58" customFormat="1" ht="12.75" customHeight="1">
      <c r="K110" s="59"/>
      <c r="M110" s="59"/>
    </row>
    <row r="111" spans="11:13" s="58" customFormat="1" ht="12.75" customHeight="1">
      <c r="K111" s="59"/>
      <c r="M111" s="59"/>
    </row>
    <row r="112" spans="11:13" s="58" customFormat="1" ht="12.75" customHeight="1">
      <c r="K112" s="59"/>
      <c r="M112" s="59"/>
    </row>
    <row r="113" spans="11:13" s="58" customFormat="1" ht="12.75" customHeight="1">
      <c r="K113" s="59"/>
      <c r="M113" s="59"/>
    </row>
    <row r="114" spans="11:13" s="58" customFormat="1" ht="12.75" customHeight="1">
      <c r="K114" s="59"/>
      <c r="M114" s="59"/>
    </row>
    <row r="115" spans="11:13" s="58" customFormat="1" ht="12.75" customHeight="1">
      <c r="K115" s="59"/>
      <c r="M115" s="59"/>
    </row>
    <row r="116" spans="11:13" s="58" customFormat="1" ht="12.75" customHeight="1">
      <c r="K116" s="59"/>
      <c r="M116" s="59"/>
    </row>
    <row r="117" spans="11:13" s="58" customFormat="1" ht="12.75" customHeight="1">
      <c r="K117" s="59"/>
      <c r="M117" s="59"/>
    </row>
    <row r="118" spans="11:13" s="58" customFormat="1" ht="12.75" customHeight="1">
      <c r="K118" s="59"/>
      <c r="M118" s="59"/>
    </row>
    <row r="119" spans="11:13" s="58" customFormat="1" ht="12.75" customHeight="1">
      <c r="K119" s="59"/>
      <c r="M119" s="59"/>
    </row>
    <row r="120" spans="11:13" s="58" customFormat="1" ht="12.75" customHeight="1">
      <c r="K120" s="59"/>
      <c r="M120" s="59"/>
    </row>
    <row r="121" spans="11:13" s="58" customFormat="1" ht="12.75" customHeight="1">
      <c r="K121" s="59"/>
      <c r="M121" s="59"/>
    </row>
    <row r="122" spans="11:13" s="58" customFormat="1" ht="12.75" customHeight="1">
      <c r="K122" s="59"/>
      <c r="M122" s="59"/>
    </row>
    <row r="123" spans="11:13" s="58" customFormat="1" ht="12.75" customHeight="1">
      <c r="K123" s="59"/>
      <c r="M123" s="59"/>
    </row>
    <row r="124" spans="11:13" s="58" customFormat="1" ht="12.75" customHeight="1">
      <c r="K124" s="59"/>
      <c r="M124" s="59"/>
    </row>
    <row r="125" spans="11:13" s="58" customFormat="1" ht="12.75" customHeight="1">
      <c r="K125" s="59"/>
      <c r="M125" s="59"/>
    </row>
    <row r="126" spans="11:13" s="58" customFormat="1" ht="12.75" customHeight="1">
      <c r="K126" s="59"/>
      <c r="M126" s="59"/>
    </row>
    <row r="127" spans="11:13" s="58" customFormat="1" ht="12.75" customHeight="1">
      <c r="K127" s="59"/>
      <c r="M127" s="59"/>
    </row>
    <row r="128" spans="11:13" s="58" customFormat="1" ht="12.75" customHeight="1">
      <c r="K128" s="59"/>
      <c r="M128" s="59"/>
    </row>
    <row r="129" spans="11:13" s="58" customFormat="1" ht="12.75" customHeight="1">
      <c r="K129" s="59"/>
      <c r="M129" s="59"/>
    </row>
    <row r="130" spans="11:13" s="58" customFormat="1" ht="12.75" customHeight="1">
      <c r="K130" s="59"/>
      <c r="M130" s="59"/>
    </row>
    <row r="131" spans="11:13" s="58" customFormat="1" ht="12.75" customHeight="1">
      <c r="K131" s="59"/>
      <c r="M131" s="59"/>
    </row>
    <row r="132" spans="11:13" s="58" customFormat="1" ht="12.75" customHeight="1">
      <c r="K132" s="59"/>
      <c r="M132" s="59"/>
    </row>
    <row r="133" spans="11:13" s="58" customFormat="1" ht="12.75" customHeight="1">
      <c r="K133" s="59"/>
      <c r="M133" s="59"/>
    </row>
    <row r="134" spans="11:13" s="58" customFormat="1" ht="12.75" customHeight="1">
      <c r="K134" s="59"/>
      <c r="M134" s="59"/>
    </row>
    <row r="135" spans="11:13" s="58" customFormat="1" ht="12.75" customHeight="1">
      <c r="K135" s="59"/>
      <c r="M135" s="59"/>
    </row>
    <row r="136" spans="11:13" s="58" customFormat="1" ht="12.75" customHeight="1">
      <c r="K136" s="59"/>
      <c r="M136" s="59"/>
    </row>
    <row r="137" spans="11:13" s="58" customFormat="1" ht="12.75" customHeight="1">
      <c r="K137" s="59"/>
      <c r="M137" s="59"/>
    </row>
    <row r="138" spans="11:13" s="58" customFormat="1" ht="12.75" customHeight="1">
      <c r="K138" s="59"/>
      <c r="M138" s="59"/>
    </row>
    <row r="139" spans="11:13" s="58" customFormat="1" ht="12.75" customHeight="1">
      <c r="K139" s="59"/>
      <c r="M139" s="59"/>
    </row>
    <row r="140" spans="11:13" s="58" customFormat="1" ht="12.75" customHeight="1">
      <c r="K140" s="59"/>
      <c r="M140" s="59"/>
    </row>
    <row r="141" spans="11:13" s="58" customFormat="1" ht="12.75" customHeight="1">
      <c r="K141" s="59"/>
      <c r="M141" s="59"/>
    </row>
    <row r="142" spans="11:13" s="58" customFormat="1" ht="12.75" customHeight="1">
      <c r="K142" s="59"/>
      <c r="M142" s="59"/>
    </row>
    <row r="143" spans="11:13" s="58" customFormat="1" ht="12.75" customHeight="1">
      <c r="K143" s="59"/>
      <c r="M143" s="59"/>
    </row>
    <row r="144" spans="11:13" s="58" customFormat="1" ht="12.75" customHeight="1">
      <c r="K144" s="59"/>
      <c r="M144" s="59"/>
    </row>
    <row r="145" spans="11:13" s="58" customFormat="1" ht="12.75" customHeight="1">
      <c r="K145" s="59"/>
      <c r="M145" s="59"/>
    </row>
    <row r="146" spans="11:13" s="58" customFormat="1" ht="12.75" customHeight="1">
      <c r="K146" s="59"/>
      <c r="M146" s="59"/>
    </row>
    <row r="147" spans="11:13" s="58" customFormat="1" ht="12.75" customHeight="1">
      <c r="K147" s="59"/>
      <c r="M147" s="59"/>
    </row>
    <row r="148" spans="11:13" s="58" customFormat="1" ht="12.75" customHeight="1">
      <c r="K148" s="59"/>
      <c r="M148" s="59"/>
    </row>
  </sheetData>
  <printOptions horizontalCentered="1"/>
  <pageMargins left="0.1" right="0.1" top="2" bottom="0.2" header="1" footer="0.5"/>
  <pageSetup orientation="landscape" pageOrder="overThenDown" scale="54" r:id="rId1"/>
  <headerFooter alignWithMargins="0">
    <oddHeader>&amp;C&amp;B
2022 RATE CASE
ONCOR ELECTRIC DELIVERY COMPANY LLC
II-E-4   OTHER EXPENSES
TEST YEAR ENDING DECEMBER 31, 2021
SPONSOR: W. ALAN LEDBETTER&amp;R&amp;"Arial,Bold"Schedule &amp;A
Page &amp;P of &amp;N</oddHeader>
  </headerFooter>
  <colBreaks count="1" manualBreakCount="1">
    <brk id="10" max="1048575" man="1"/>
  </colBreak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4">
    <tabColor rgb="FF00B050"/>
  </sheetPr>
  <dimension ref="A1:Z76"/>
  <sheetViews>
    <sheetView zoomScale="80" zoomScaleNormal="80" workbookViewId="0" topLeftCell="A1">
      <pane xSplit="4" ySplit="14" topLeftCell="H37" activePane="bottomRight" state="frozen"/>
      <selection pane="topLeft" activeCell="E14" sqref="E14"/>
      <selection pane="bottomLeft" activeCell="E14" sqref="E14"/>
      <selection pane="topRight" activeCell="E14" sqref="E14"/>
      <selection pane="bottomRight" activeCell="D52" sqref="D52"/>
    </sheetView>
  </sheetViews>
  <sheetFormatPr defaultRowHeight="12.75"/>
  <cols>
    <col min="1" max="1" width="6.71428571428571" customWidth="1"/>
    <col min="2" max="2" width="9.71428571428571" customWidth="1"/>
    <col min="3" max="3" width="10.7142857142857" customWidth="1"/>
    <col min="4" max="4" width="96.1428571428571" bestFit="1" customWidth="1"/>
    <col min="5" max="5" width="15.4285714285714" bestFit="1" customWidth="1"/>
    <col min="6" max="6" width="15.1428571428571" bestFit="1" customWidth="1"/>
    <col min="7" max="7" width="14.4285714285714" bestFit="1" customWidth="1"/>
    <col min="8" max="8" width="17.2857142857143" bestFit="1" customWidth="1"/>
    <col min="9" max="9" width="14.2857142857143" bestFit="1" customWidth="1"/>
    <col min="10" max="10" width="10.4285714285714" bestFit="1" customWidth="1"/>
    <col min="11" max="11" width="14.2857142857143" bestFit="1" customWidth="1"/>
    <col min="12" max="12" width="8.28571428571429" bestFit="1" customWidth="1"/>
    <col min="13" max="13" width="27" bestFit="1" customWidth="1"/>
    <col min="14" max="14" width="13" bestFit="1" customWidth="1"/>
    <col min="15" max="17" width="13" style="374" customWidth="1"/>
    <col min="18" max="18" width="14.2857142857143" bestFit="1" customWidth="1"/>
    <col min="19" max="20" width="14.2857142857143" style="374" customWidth="1"/>
    <col min="21" max="21" width="13.4285714285714" bestFit="1" customWidth="1"/>
    <col min="22" max="22" width="12.2857142857143" bestFit="1" customWidth="1"/>
    <col min="23" max="23" width="14.5714285714286" bestFit="1" customWidth="1"/>
    <col min="24" max="24" width="3.71428571428571" bestFit="1" customWidth="1"/>
    <col min="26" max="26" width="19.4285714285714" bestFit="1" customWidth="1"/>
  </cols>
  <sheetData>
    <row r="1" spans="1:1" ht="12.75">
      <c r="A1" s="31" t="str">
        <f>+'[3]Input Data'!$A$9</f>
        <v>2022 RATE CASE</v>
      </c>
    </row>
    <row r="2" spans="1:1" ht="12.75">
      <c r="A2" s="34" t="str">
        <f>+'[3]Input Data'!$A$2</f>
        <v>ONCOR ELECTRIC DELIVERY COMPANY LLC</v>
      </c>
    </row>
    <row r="3" spans="1:1" ht="12.75">
      <c r="A3" s="168" t="str">
        <f>CONCATENATE('[3]Schedule Sponsors'!$A$111,'[3]Schedule Sponsors'!$B$111)</f>
        <v>II-E-4.1  DEFERRED EXPENSES FROM PRIOR DOCKETS</v>
      </c>
    </row>
    <row r="4" spans="1:1" ht="12.75">
      <c r="A4" s="92" t="str">
        <f>+'[3]Input Data'!$A$4</f>
        <v>TEST YEAR ENDING DECEMBER 31, 2021</v>
      </c>
    </row>
    <row r="5" spans="1:1" ht="12.75">
      <c r="A5" s="33" t="str">
        <f>CONCATENATE("SPONSOR: ",'[3]Schedule Sponsors'!$D$111)</f>
        <v>SPONSOR: W. ALAN LEDBETTER</v>
      </c>
    </row>
    <row r="10" ht="13.5" thickBot="1"/>
    <row r="11" spans="1:23" s="570" customFormat="1" ht="13.5" thickTop="1">
      <c r="A11" s="568"/>
      <c r="B11" s="568"/>
      <c r="C11" s="568"/>
      <c r="D11" s="568"/>
      <c r="E11" s="569"/>
      <c r="F11" s="569"/>
      <c r="G11" s="569" t="s">
        <v>66</v>
      </c>
      <c r="H11" s="569" t="s">
        <v>400</v>
      </c>
      <c r="I11" s="569" t="s">
        <v>67</v>
      </c>
      <c r="J11" s="569" t="s">
        <v>84</v>
      </c>
      <c r="K11" s="569" t="s">
        <v>280</v>
      </c>
      <c r="L11" s="569" t="s">
        <v>317</v>
      </c>
      <c r="M11" s="569"/>
      <c r="N11" s="569"/>
      <c r="O11" s="569"/>
      <c r="P11" s="569"/>
      <c r="Q11" s="569"/>
      <c r="R11" s="569"/>
      <c r="S11" s="569"/>
      <c r="T11" s="569"/>
      <c r="U11" s="569"/>
      <c r="V11" s="569"/>
      <c r="W11" s="569"/>
    </row>
    <row r="12" spans="1:23" s="570" customFormat="1" ht="12.75">
      <c r="A12" s="571" t="s">
        <v>252</v>
      </c>
      <c r="B12" s="572"/>
      <c r="C12" s="572"/>
      <c r="D12" s="571"/>
      <c r="E12" s="571" t="s">
        <v>383</v>
      </c>
      <c r="F12" s="571" t="s">
        <v>318</v>
      </c>
      <c r="G12" s="571" t="s">
        <v>68</v>
      </c>
      <c r="H12" s="571" t="s">
        <v>401</v>
      </c>
      <c r="I12" s="571" t="s">
        <v>66</v>
      </c>
      <c r="J12" s="571" t="s">
        <v>280</v>
      </c>
      <c r="K12" s="571" t="s">
        <v>47</v>
      </c>
      <c r="L12" s="571" t="s">
        <v>319</v>
      </c>
      <c r="M12" s="571" t="s">
        <v>75</v>
      </c>
      <c r="N12" s="571"/>
      <c r="O12" s="573" t="s">
        <v>628</v>
      </c>
      <c r="P12" s="573" t="s">
        <v>629</v>
      </c>
      <c r="Q12" s="573" t="s">
        <v>631</v>
      </c>
      <c r="R12" s="571"/>
      <c r="S12" s="573" t="s">
        <v>628</v>
      </c>
      <c r="T12" s="573" t="s">
        <v>631</v>
      </c>
      <c r="U12" s="571"/>
      <c r="V12" s="571"/>
      <c r="W12" s="571"/>
    </row>
    <row r="13" spans="1:23" s="570" customFormat="1" ht="13.5" thickBot="1">
      <c r="A13" s="574" t="s">
        <v>147</v>
      </c>
      <c r="B13" s="574" t="s">
        <v>74</v>
      </c>
      <c r="C13" s="574" t="s">
        <v>320</v>
      </c>
      <c r="D13" s="574" t="s">
        <v>69</v>
      </c>
      <c r="E13" s="574" t="s">
        <v>290</v>
      </c>
      <c r="F13" s="574" t="s">
        <v>321</v>
      </c>
      <c r="G13" s="574" t="s">
        <v>83</v>
      </c>
      <c r="H13" s="574" t="s">
        <v>402</v>
      </c>
      <c r="I13" s="574" t="s">
        <v>68</v>
      </c>
      <c r="J13" s="574" t="s">
        <v>80</v>
      </c>
      <c r="K13" s="574" t="s">
        <v>84</v>
      </c>
      <c r="L13" s="574" t="s">
        <v>74</v>
      </c>
      <c r="M13" s="574" t="s">
        <v>322</v>
      </c>
      <c r="N13" s="574" t="s">
        <v>208</v>
      </c>
      <c r="O13" s="574" t="s">
        <v>208</v>
      </c>
      <c r="P13" s="574" t="s">
        <v>630</v>
      </c>
      <c r="Q13" s="574" t="s">
        <v>208</v>
      </c>
      <c r="R13" s="574" t="s">
        <v>209</v>
      </c>
      <c r="S13" s="574" t="s">
        <v>209</v>
      </c>
      <c r="T13" s="574" t="s">
        <v>209</v>
      </c>
      <c r="U13" s="574" t="s">
        <v>203</v>
      </c>
      <c r="V13" s="574" t="s">
        <v>291</v>
      </c>
      <c r="W13" s="574" t="s">
        <v>78</v>
      </c>
    </row>
    <row r="14" spans="2:23" s="184" customFormat="1" ht="13.5" thickTop="1">
      <c r="B14" s="195" t="s">
        <v>237</v>
      </c>
      <c r="C14" s="195" t="s">
        <v>238</v>
      </c>
      <c r="D14" s="195" t="s">
        <v>239</v>
      </c>
      <c r="E14" s="195" t="s">
        <v>240</v>
      </c>
      <c r="F14" s="195" t="s">
        <v>241</v>
      </c>
      <c r="G14" s="195" t="s">
        <v>242</v>
      </c>
      <c r="H14" s="195" t="s">
        <v>243</v>
      </c>
      <c r="I14" s="195" t="s">
        <v>244</v>
      </c>
      <c r="J14" s="195" t="s">
        <v>245</v>
      </c>
      <c r="K14" s="195" t="s">
        <v>246</v>
      </c>
      <c r="L14" s="195" t="s">
        <v>247</v>
      </c>
      <c r="M14" s="195" t="s">
        <v>248</v>
      </c>
      <c r="N14" s="195" t="s">
        <v>249</v>
      </c>
      <c r="O14" s="195" t="s">
        <v>250</v>
      </c>
      <c r="P14" s="195" t="s">
        <v>251</v>
      </c>
      <c r="Q14" s="195" t="s">
        <v>148</v>
      </c>
      <c r="R14" s="195" t="s">
        <v>281</v>
      </c>
      <c r="S14" s="195" t="s">
        <v>292</v>
      </c>
      <c r="T14" s="195" t="s">
        <v>293</v>
      </c>
      <c r="U14" s="195" t="s">
        <v>509</v>
      </c>
      <c r="V14" s="195" t="s">
        <v>510</v>
      </c>
      <c r="W14" s="195" t="s">
        <v>511</v>
      </c>
    </row>
    <row r="15" s="184" customFormat="1" ht="12.75"/>
    <row r="16" spans="1:23" s="184" customFormat="1" ht="12.75">
      <c r="A16" s="185">
        <v>1</v>
      </c>
      <c r="B16" s="185"/>
      <c r="C16" s="185"/>
      <c r="D16" s="575"/>
      <c r="E16" s="105"/>
      <c r="F16" s="105"/>
      <c r="G16" s="105"/>
      <c r="H16" s="105"/>
      <c r="I16" s="105"/>
      <c r="J16" s="576"/>
      <c r="K16" s="105"/>
      <c r="M16" s="185"/>
      <c r="N16" s="105"/>
      <c r="O16" s="105"/>
      <c r="P16" s="105"/>
      <c r="Q16" s="105"/>
      <c r="R16" s="105"/>
      <c r="S16" s="105"/>
      <c r="T16" s="105"/>
      <c r="U16" s="105"/>
      <c r="V16" s="105"/>
      <c r="W16" s="105"/>
    </row>
    <row r="17" spans="1:26" ht="12.75">
      <c r="A17" s="27">
        <v>2</v>
      </c>
      <c r="B17" s="353" t="s">
        <v>968</v>
      </c>
      <c r="C17" s="27"/>
      <c r="D17" s="352" t="s">
        <v>501</v>
      </c>
      <c r="E17" s="387">
        <v>67562.580000000002</v>
      </c>
      <c r="F17" s="387">
        <v>0</v>
      </c>
      <c r="G17" s="387">
        <f t="shared" si="0" ref="G17:G22">+E17+F17</f>
        <v>67562.580000000002</v>
      </c>
      <c r="H17" s="387">
        <v>0</v>
      </c>
      <c r="I17" s="387">
        <f>+G17+H17</f>
        <v>67562.580000000002</v>
      </c>
      <c r="J17" s="141">
        <v>1</v>
      </c>
      <c r="K17" s="387">
        <f>+I17*J17</f>
        <v>67562.580000000002</v>
      </c>
      <c r="M17" s="27" t="s">
        <v>378</v>
      </c>
      <c r="N17" s="387">
        <v>67562.580000000002</v>
      </c>
      <c r="O17" s="387">
        <v>0</v>
      </c>
      <c r="P17" s="387">
        <v>0</v>
      </c>
      <c r="Q17" s="387">
        <f>SUM(N17:P17)</f>
        <v>67562.580000000002</v>
      </c>
      <c r="R17" s="387">
        <v>0</v>
      </c>
      <c r="S17" s="387">
        <v>0</v>
      </c>
      <c r="T17" s="387">
        <f>SUM(R17:S17)</f>
        <v>0</v>
      </c>
      <c r="U17" s="387">
        <v>0</v>
      </c>
      <c r="V17" s="387">
        <v>0</v>
      </c>
      <c r="W17" s="477">
        <f>+Q17+T17+U17+V17</f>
        <v>67562.580000000002</v>
      </c>
      <c r="Y17" s="374" t="b">
        <f t="shared" si="1" ref="Y17:Y22">+K17=W17</f>
        <v>1</v>
      </c>
      <c r="Z17" s="448">
        <f t="shared" si="2" ref="Z17:Z22">+K17-W17</f>
        <v>0</v>
      </c>
    </row>
    <row r="18" spans="1:26" s="347" customFormat="1" ht="12.75">
      <c r="A18" s="145">
        <v>3</v>
      </c>
      <c r="B18" s="353" t="s">
        <v>968</v>
      </c>
      <c r="C18" s="145"/>
      <c r="D18" s="352" t="s">
        <v>716</v>
      </c>
      <c r="E18" s="389">
        <v>-98236.199999999997</v>
      </c>
      <c r="F18" s="389">
        <v>0</v>
      </c>
      <c r="G18" s="389">
        <f t="shared" si="0"/>
        <v>-98236.199999999997</v>
      </c>
      <c r="H18" s="389">
        <v>0</v>
      </c>
      <c r="I18" s="389">
        <f t="shared" si="3" ref="I18:I22">+G18+H18</f>
        <v>-98236.199999999997</v>
      </c>
      <c r="J18" s="141">
        <v>1</v>
      </c>
      <c r="K18" s="389">
        <f t="shared" si="4" ref="K18:K22">+I18*J18</f>
        <v>-98236.199999999997</v>
      </c>
      <c r="M18" s="145" t="s">
        <v>378</v>
      </c>
      <c r="N18" s="389">
        <v>0</v>
      </c>
      <c r="O18" s="389">
        <v>0</v>
      </c>
      <c r="P18" s="389">
        <v>0</v>
      </c>
      <c r="Q18" s="389">
        <f t="shared" si="5" ref="Q18:Q22">SUM(N18:P18)</f>
        <v>0</v>
      </c>
      <c r="R18" s="389">
        <v>-98236.199999999997</v>
      </c>
      <c r="S18" s="389">
        <v>0</v>
      </c>
      <c r="T18" s="389">
        <f t="shared" si="6" ref="T18:T22">SUM(R18:S18)</f>
        <v>-98236.199999999997</v>
      </c>
      <c r="U18" s="389">
        <v>0</v>
      </c>
      <c r="V18" s="389">
        <v>0</v>
      </c>
      <c r="W18" s="478">
        <f t="shared" si="7" ref="W18:W22">+Q18+T18+U18+V18</f>
        <v>-98236.199999999997</v>
      </c>
      <c r="Y18" s="374" t="b">
        <f t="shared" si="1"/>
        <v>1</v>
      </c>
      <c r="Z18" s="448">
        <f t="shared" si="2"/>
        <v>0</v>
      </c>
    </row>
    <row r="19" spans="1:26" ht="12.75">
      <c r="A19" s="185">
        <v>4</v>
      </c>
      <c r="B19" s="353" t="s">
        <v>968</v>
      </c>
      <c r="C19" s="27"/>
      <c r="D19" s="352" t="s">
        <v>717</v>
      </c>
      <c r="E19" s="389">
        <v>0</v>
      </c>
      <c r="F19" s="389">
        <v>0</v>
      </c>
      <c r="G19" s="389">
        <f t="shared" si="0"/>
        <v>0</v>
      </c>
      <c r="H19" s="455">
        <f>+'II-E-4.1.1'!P16</f>
        <v>850967.61030478962</v>
      </c>
      <c r="I19" s="389">
        <f t="shared" si="3"/>
        <v>850967.61030478962</v>
      </c>
      <c r="J19" s="141">
        <v>1</v>
      </c>
      <c r="K19" s="389">
        <f t="shared" si="4"/>
        <v>850967.61030478962</v>
      </c>
      <c r="M19" s="145" t="s">
        <v>378</v>
      </c>
      <c r="N19" s="389">
        <v>0</v>
      </c>
      <c r="O19" s="389">
        <v>806325.84999999998</v>
      </c>
      <c r="P19" s="389">
        <v>0</v>
      </c>
      <c r="Q19" s="389">
        <f t="shared" si="5"/>
        <v>806325.84999999998</v>
      </c>
      <c r="R19" s="389">
        <v>0</v>
      </c>
      <c r="S19" s="389">
        <f>+K19-Q19</f>
        <v>44641.760304789641</v>
      </c>
      <c r="T19" s="389">
        <f t="shared" si="6"/>
        <v>44641.760304789641</v>
      </c>
      <c r="U19" s="389">
        <v>0</v>
      </c>
      <c r="V19" s="389">
        <v>0</v>
      </c>
      <c r="W19" s="478">
        <f t="shared" si="7"/>
        <v>850967.61030478962</v>
      </c>
      <c r="Y19" s="374" t="b">
        <f t="shared" si="1"/>
        <v>1</v>
      </c>
      <c r="Z19" s="448">
        <f t="shared" si="2"/>
        <v>0</v>
      </c>
    </row>
    <row r="20" spans="1:26" s="374" customFormat="1" ht="12.75">
      <c r="A20" s="145">
        <v>5</v>
      </c>
      <c r="B20" s="353" t="s">
        <v>1036</v>
      </c>
      <c r="C20" s="145"/>
      <c r="D20" s="352" t="s">
        <v>1037</v>
      </c>
      <c r="E20" s="389">
        <v>0</v>
      </c>
      <c r="F20" s="389">
        <v>0</v>
      </c>
      <c r="G20" s="389">
        <f t="shared" si="0"/>
        <v>0</v>
      </c>
      <c r="H20" s="455">
        <f>+'II-E-4.1.1'!P17</f>
        <v>25459958.16</v>
      </c>
      <c r="I20" s="389">
        <f t="shared" si="3"/>
        <v>25459958.16</v>
      </c>
      <c r="J20" s="141">
        <v>1</v>
      </c>
      <c r="K20" s="389">
        <f t="shared" si="4"/>
        <v>25459958.16</v>
      </c>
      <c r="M20" s="145" t="s">
        <v>378</v>
      </c>
      <c r="N20" s="389">
        <v>0</v>
      </c>
      <c r="O20" s="389">
        <v>0</v>
      </c>
      <c r="P20" s="389">
        <v>0</v>
      </c>
      <c r="Q20" s="389">
        <f t="shared" si="5"/>
        <v>0</v>
      </c>
      <c r="R20" s="389">
        <v>0</v>
      </c>
      <c r="S20" s="389">
        <v>0</v>
      </c>
      <c r="T20" s="389">
        <f t="shared" si="6"/>
        <v>0</v>
      </c>
      <c r="U20" s="389">
        <f>+K20</f>
        <v>25459958.16</v>
      </c>
      <c r="V20" s="389">
        <v>0</v>
      </c>
      <c r="W20" s="478">
        <f t="shared" si="7"/>
        <v>25459958.16</v>
      </c>
      <c r="Y20" s="374" t="b">
        <f t="shared" si="1"/>
        <v>1</v>
      </c>
      <c r="Z20" s="448">
        <f t="shared" si="2"/>
        <v>0</v>
      </c>
    </row>
    <row r="21" spans="1:26" s="374" customFormat="1" ht="12.75">
      <c r="A21" s="145">
        <v>6</v>
      </c>
      <c r="B21" s="353" t="s">
        <v>1036</v>
      </c>
      <c r="C21" s="145"/>
      <c r="D21" s="352" t="s">
        <v>719</v>
      </c>
      <c r="E21" s="389">
        <v>0</v>
      </c>
      <c r="F21" s="389">
        <v>0</v>
      </c>
      <c r="G21" s="389">
        <f t="shared" si="0"/>
        <v>0</v>
      </c>
      <c r="H21" s="455">
        <f>+'II-E-4.1.1'!P18</f>
        <v>303779.53999999998</v>
      </c>
      <c r="I21" s="389">
        <f t="shared" si="3"/>
        <v>303779.53999999998</v>
      </c>
      <c r="J21" s="141">
        <v>1</v>
      </c>
      <c r="K21" s="389">
        <f t="shared" si="4"/>
        <v>303779.53999999998</v>
      </c>
      <c r="M21" s="145" t="s">
        <v>378</v>
      </c>
      <c r="N21" s="389">
        <f>+K21</f>
        <v>303779.53999999998</v>
      </c>
      <c r="O21" s="389">
        <v>0</v>
      </c>
      <c r="P21" s="389">
        <v>0</v>
      </c>
      <c r="Q21" s="389">
        <f t="shared" si="5"/>
        <v>303779.53999999998</v>
      </c>
      <c r="R21" s="389">
        <v>0</v>
      </c>
      <c r="S21" s="389">
        <v>0</v>
      </c>
      <c r="T21" s="389">
        <f t="shared" si="6"/>
        <v>0</v>
      </c>
      <c r="U21" s="389">
        <v>0</v>
      </c>
      <c r="V21" s="389">
        <v>0</v>
      </c>
      <c r="W21" s="478">
        <f t="shared" si="7"/>
        <v>303779.53999999998</v>
      </c>
      <c r="Y21" s="374" t="b">
        <f t="shared" si="1"/>
        <v>1</v>
      </c>
      <c r="Z21" s="448">
        <f t="shared" si="2"/>
        <v>0</v>
      </c>
    </row>
    <row r="22" spans="1:26" s="374" customFormat="1" ht="12.75">
      <c r="A22" s="185">
        <v>7</v>
      </c>
      <c r="B22" s="353" t="s">
        <v>1036</v>
      </c>
      <c r="C22" s="145"/>
      <c r="D22" s="337" t="s">
        <v>1038</v>
      </c>
      <c r="E22" s="389">
        <v>0</v>
      </c>
      <c r="F22" s="389">
        <v>0</v>
      </c>
      <c r="G22" s="389">
        <f t="shared" si="0"/>
        <v>0</v>
      </c>
      <c r="H22" s="455">
        <f>+'II-E-4.1.1'!P19</f>
        <v>-2707388.5800000001</v>
      </c>
      <c r="I22" s="389">
        <f t="shared" si="3"/>
        <v>-2707388.5800000001</v>
      </c>
      <c r="J22" s="141">
        <v>1</v>
      </c>
      <c r="K22" s="389">
        <f t="shared" si="4"/>
        <v>-2707388.5800000001</v>
      </c>
      <c r="M22" s="145" t="s">
        <v>378</v>
      </c>
      <c r="N22" s="389">
        <f>ROUND(-163118.13/'II-E-4.1.1'!O30,2)</f>
        <v>-32623.630000000001</v>
      </c>
      <c r="O22" s="389">
        <v>0</v>
      </c>
      <c r="P22" s="389">
        <v>0</v>
      </c>
      <c r="Q22" s="389">
        <f t="shared" si="5"/>
        <v>-32623.630000000001</v>
      </c>
      <c r="R22" s="389">
        <f>+K22-Q22</f>
        <v>-2674764.9500000002</v>
      </c>
      <c r="S22" s="389">
        <v>0</v>
      </c>
      <c r="T22" s="389">
        <f t="shared" si="6"/>
        <v>-2674764.9500000002</v>
      </c>
      <c r="U22" s="389">
        <v>0</v>
      </c>
      <c r="V22" s="389">
        <v>0</v>
      </c>
      <c r="W22" s="478">
        <f t="shared" si="7"/>
        <v>-2707388.5800000001</v>
      </c>
      <c r="Y22" s="374" t="b">
        <f t="shared" si="1"/>
        <v>1</v>
      </c>
      <c r="Z22" s="448">
        <f t="shared" si="2"/>
        <v>0</v>
      </c>
    </row>
    <row r="23" spans="1:26" ht="12.75">
      <c r="A23" s="145">
        <v>8</v>
      </c>
      <c r="B23" s="27"/>
      <c r="C23" s="27"/>
      <c r="E23" s="102"/>
      <c r="F23" s="102"/>
      <c r="G23" s="102"/>
      <c r="H23" s="105"/>
      <c r="I23" s="102"/>
      <c r="J23" s="141"/>
      <c r="K23" s="102"/>
      <c r="M23" s="27"/>
      <c r="N23" s="102"/>
      <c r="O23" s="102"/>
      <c r="P23" s="102"/>
      <c r="Q23" s="102"/>
      <c r="R23" s="102"/>
      <c r="S23" s="102"/>
      <c r="T23" s="102"/>
      <c r="U23" s="102"/>
      <c r="V23" s="102"/>
      <c r="W23" s="102"/>
      <c r="Z23" s="137"/>
    </row>
    <row r="24" spans="1:23" ht="12.75">
      <c r="A24" s="145">
        <v>9</v>
      </c>
      <c r="B24" s="27"/>
      <c r="C24" s="112"/>
      <c r="E24" s="133"/>
      <c r="F24" s="133"/>
      <c r="G24" s="133"/>
      <c r="H24" s="764"/>
      <c r="I24" s="133"/>
      <c r="J24" s="118"/>
      <c r="K24" s="133"/>
      <c r="N24" s="133"/>
      <c r="O24" s="133"/>
      <c r="P24" s="133"/>
      <c r="Q24" s="133"/>
      <c r="R24" s="133"/>
      <c r="S24" s="133"/>
      <c r="T24" s="133"/>
      <c r="U24" s="133"/>
      <c r="V24" s="133"/>
      <c r="W24" s="133"/>
    </row>
    <row r="25" spans="1:23" ht="12.75">
      <c r="A25" s="185">
        <v>10</v>
      </c>
      <c r="B25" s="27"/>
      <c r="C25" s="112"/>
      <c r="E25" s="102"/>
      <c r="F25" s="102"/>
      <c r="G25" s="102"/>
      <c r="H25" s="105"/>
      <c r="I25" s="102"/>
      <c r="J25" s="118"/>
      <c r="K25" s="102"/>
      <c r="N25" s="102"/>
      <c r="O25" s="102"/>
      <c r="P25" s="102"/>
      <c r="Q25" s="102"/>
      <c r="R25" s="102"/>
      <c r="S25" s="102"/>
      <c r="T25" s="102"/>
      <c r="U25" s="102"/>
      <c r="V25" s="102"/>
      <c r="W25" s="102"/>
    </row>
    <row r="26" spans="1:25" ht="13.5" thickBot="1">
      <c r="A26" s="145">
        <v>11</v>
      </c>
      <c r="D26" t="s">
        <v>261</v>
      </c>
      <c r="E26" s="460">
        <f>SUM(E16:E25)</f>
        <v>-30673.619999999995</v>
      </c>
      <c r="F26" s="460">
        <f>SUM(F16:F25)</f>
        <v>0</v>
      </c>
      <c r="G26" s="460">
        <f>SUM(G16:G25)</f>
        <v>-30673.619999999995</v>
      </c>
      <c r="H26" s="765">
        <f>SUM(H16:H25)</f>
        <v>23907316.730304793</v>
      </c>
      <c r="I26" s="460">
        <f>SUM(I16:I25)</f>
        <v>23876643.110304788</v>
      </c>
      <c r="J26" s="394"/>
      <c r="K26" s="460">
        <f>SUM(K16:K25)</f>
        <v>23876643.110304788</v>
      </c>
      <c r="L26" s="394"/>
      <c r="M26" s="394"/>
      <c r="N26" s="460">
        <f t="shared" si="8" ref="N26:W26">SUM(N16:N25)</f>
        <v>338718.48999999999</v>
      </c>
      <c r="O26" s="460">
        <f t="shared" si="8"/>
        <v>806325.84999999998</v>
      </c>
      <c r="P26" s="460">
        <f t="shared" si="8"/>
        <v>0</v>
      </c>
      <c r="Q26" s="460">
        <f t="shared" si="8"/>
        <v>1145044.3400000001</v>
      </c>
      <c r="R26" s="460">
        <f t="shared" si="8"/>
        <v>-2773001.1500000004</v>
      </c>
      <c r="S26" s="460">
        <f t="shared" si="8"/>
        <v>44641.760304789641</v>
      </c>
      <c r="T26" s="460">
        <f t="shared" si="8"/>
        <v>-2728359.3896952104</v>
      </c>
      <c r="U26" s="460">
        <f t="shared" si="8"/>
        <v>25459958.16</v>
      </c>
      <c r="V26" s="460">
        <f t="shared" si="8"/>
        <v>0</v>
      </c>
      <c r="W26" s="460">
        <f t="shared" si="8"/>
        <v>23876643.110304788</v>
      </c>
      <c r="Y26" s="374" t="b">
        <f t="shared" si="9" ref="Y26">+K26=W26</f>
        <v>1</v>
      </c>
    </row>
    <row r="27" spans="1:23" s="374" customFormat="1" ht="13.5" thickTop="1">
      <c r="A27" s="145">
        <v>12</v>
      </c>
      <c r="E27" s="752"/>
      <c r="F27" s="752"/>
      <c r="G27" s="752"/>
      <c r="H27" s="471"/>
      <c r="I27" s="752"/>
      <c r="J27" s="394"/>
      <c r="K27" s="752"/>
      <c r="L27" s="394"/>
      <c r="M27" s="394"/>
      <c r="N27" s="752"/>
      <c r="O27" s="752"/>
      <c r="P27" s="752"/>
      <c r="Q27" s="752"/>
      <c r="R27" s="752"/>
      <c r="S27" s="752"/>
      <c r="T27" s="752"/>
      <c r="U27" s="752"/>
      <c r="V27" s="752"/>
      <c r="W27" s="752"/>
    </row>
    <row r="28" spans="1:23" s="374" customFormat="1" ht="12.75">
      <c r="A28" s="185">
        <v>13</v>
      </c>
      <c r="E28" s="752"/>
      <c r="F28" s="752"/>
      <c r="G28" s="752"/>
      <c r="H28" s="471"/>
      <c r="I28" s="752"/>
      <c r="J28" s="394"/>
      <c r="K28" s="752"/>
      <c r="L28" s="394"/>
      <c r="M28" s="394"/>
      <c r="N28" s="752"/>
      <c r="O28" s="752"/>
      <c r="P28" s="752"/>
      <c r="Q28" s="752"/>
      <c r="R28" s="752"/>
      <c r="S28" s="752"/>
      <c r="T28" s="752"/>
      <c r="U28" s="752"/>
      <c r="V28" s="752"/>
      <c r="W28" s="752"/>
    </row>
    <row r="29" spans="1:23" s="374" customFormat="1" ht="12.75">
      <c r="A29" s="145">
        <v>14</v>
      </c>
      <c r="B29" s="194" t="s">
        <v>1125</v>
      </c>
      <c r="E29" s="752"/>
      <c r="F29" s="752"/>
      <c r="G29" s="752"/>
      <c r="H29" s="471"/>
      <c r="I29" s="752"/>
      <c r="J29" s="394"/>
      <c r="K29" s="752"/>
      <c r="L29" s="394"/>
      <c r="M29" s="394"/>
      <c r="N29" s="752"/>
      <c r="O29" s="752"/>
      <c r="P29" s="752"/>
      <c r="Q29" s="752"/>
      <c r="R29" s="752"/>
      <c r="S29" s="752"/>
      <c r="T29" s="752"/>
      <c r="U29" s="752"/>
      <c r="V29" s="752"/>
      <c r="W29" s="752"/>
    </row>
    <row r="30" spans="1:23" s="374" customFormat="1" ht="12.75">
      <c r="A30" s="145">
        <v>15</v>
      </c>
      <c r="E30" s="752"/>
      <c r="F30" s="752"/>
      <c r="G30" s="752"/>
      <c r="H30" s="471"/>
      <c r="I30" s="752"/>
      <c r="J30" s="394"/>
      <c r="K30" s="752"/>
      <c r="L30" s="394"/>
      <c r="M30" s="394"/>
      <c r="N30" s="752"/>
      <c r="O30" s="752"/>
      <c r="P30" s="752"/>
      <c r="Q30" s="752"/>
      <c r="R30" s="752"/>
      <c r="S30" s="752"/>
      <c r="T30" s="752"/>
      <c r="U30" s="752"/>
      <c r="V30" s="752"/>
      <c r="W30" s="752"/>
    </row>
    <row r="31" spans="1:25" s="374" customFormat="1" ht="12.75">
      <c r="A31" s="185">
        <v>16</v>
      </c>
      <c r="B31" s="352" t="s">
        <v>1124</v>
      </c>
      <c r="D31" s="374" t="s">
        <v>1046</v>
      </c>
      <c r="E31" s="387">
        <v>0</v>
      </c>
      <c r="F31" s="387">
        <v>0</v>
      </c>
      <c r="G31" s="387">
        <f t="shared" si="10" ref="G31">+E31+F31</f>
        <v>0</v>
      </c>
      <c r="H31" s="766">
        <f>+'II-E-4.1.1'!P24</f>
        <v>449449.64000000001</v>
      </c>
      <c r="I31" s="387">
        <f>+G31+H31</f>
        <v>449449.64000000001</v>
      </c>
      <c r="J31" s="141">
        <v>1</v>
      </c>
      <c r="K31" s="387">
        <f>+I31*J31</f>
        <v>449449.64000000001</v>
      </c>
      <c r="M31" s="145" t="s">
        <v>378</v>
      </c>
      <c r="N31" s="387">
        <v>0</v>
      </c>
      <c r="O31" s="387">
        <v>0</v>
      </c>
      <c r="P31" s="387">
        <v>0</v>
      </c>
      <c r="Q31" s="387">
        <f>SUM(N31:P31)</f>
        <v>0</v>
      </c>
      <c r="R31" s="387">
        <f>+K31</f>
        <v>449449.64000000001</v>
      </c>
      <c r="S31" s="387">
        <v>0</v>
      </c>
      <c r="T31" s="387">
        <f>SUM(R31:S31)</f>
        <v>449449.64000000001</v>
      </c>
      <c r="U31" s="387">
        <v>0</v>
      </c>
      <c r="V31" s="387">
        <v>0</v>
      </c>
      <c r="W31" s="477">
        <f>+Q31+T31+U31+V31</f>
        <v>449449.64000000001</v>
      </c>
      <c r="Y31" s="374" t="b">
        <f t="shared" si="11" ref="Y31:Y33">+K31=W31</f>
        <v>1</v>
      </c>
    </row>
    <row r="32" spans="1:23" s="374" customFormat="1" ht="12.75">
      <c r="A32" s="145">
        <v>17</v>
      </c>
      <c r="E32" s="752"/>
      <c r="F32" s="752"/>
      <c r="G32" s="752"/>
      <c r="H32" s="471"/>
      <c r="I32" s="752"/>
      <c r="J32" s="394"/>
      <c r="K32" s="752"/>
      <c r="L32" s="394"/>
      <c r="M32" s="394"/>
      <c r="N32" s="752"/>
      <c r="O32" s="752"/>
      <c r="P32" s="752"/>
      <c r="Q32" s="752"/>
      <c r="R32" s="752"/>
      <c r="S32" s="752"/>
      <c r="T32" s="752"/>
      <c r="U32" s="752"/>
      <c r="V32" s="752"/>
      <c r="W32" s="752"/>
    </row>
    <row r="33" spans="1:25" s="374" customFormat="1" ht="13.5" thickBot="1">
      <c r="A33" s="145">
        <v>18</v>
      </c>
      <c r="D33" s="352" t="s">
        <v>1126</v>
      </c>
      <c r="E33" s="460">
        <f>SUM(E31:E32)</f>
        <v>0</v>
      </c>
      <c r="F33" s="460">
        <f>SUM(F31:F32)</f>
        <v>0</v>
      </c>
      <c r="G33" s="460">
        <f>SUM(G31:G32)</f>
        <v>0</v>
      </c>
      <c r="H33" s="765">
        <f>SUM(H31:H32)</f>
        <v>449449.64000000001</v>
      </c>
      <c r="I33" s="460">
        <f>SUM(I31:I32)</f>
        <v>449449.64000000001</v>
      </c>
      <c r="J33" s="394"/>
      <c r="K33" s="460">
        <f>SUM(K31:K32)</f>
        <v>449449.64000000001</v>
      </c>
      <c r="L33" s="394"/>
      <c r="M33" s="394"/>
      <c r="N33" s="460">
        <f t="shared" si="12" ref="N33:W33">SUM(N31:N32)</f>
        <v>0</v>
      </c>
      <c r="O33" s="460">
        <f t="shared" si="12"/>
        <v>0</v>
      </c>
      <c r="P33" s="460">
        <f t="shared" si="12"/>
        <v>0</v>
      </c>
      <c r="Q33" s="460">
        <f t="shared" si="12"/>
        <v>0</v>
      </c>
      <c r="R33" s="460">
        <f t="shared" si="12"/>
        <v>449449.64000000001</v>
      </c>
      <c r="S33" s="460">
        <f t="shared" si="12"/>
        <v>0</v>
      </c>
      <c r="T33" s="460">
        <f t="shared" si="12"/>
        <v>449449.64000000001</v>
      </c>
      <c r="U33" s="460">
        <f t="shared" si="12"/>
        <v>0</v>
      </c>
      <c r="V33" s="460">
        <f t="shared" si="12"/>
        <v>0</v>
      </c>
      <c r="W33" s="460">
        <f t="shared" si="12"/>
        <v>449449.64000000001</v>
      </c>
      <c r="Y33" s="374" t="b">
        <f t="shared" si="11"/>
        <v>1</v>
      </c>
    </row>
    <row r="34" spans="1:23" s="374" customFormat="1" ht="13.5" thickTop="1">
      <c r="A34" s="185">
        <v>19</v>
      </c>
      <c r="E34" s="752"/>
      <c r="F34" s="752"/>
      <c r="G34" s="752"/>
      <c r="H34" s="471"/>
      <c r="I34" s="752"/>
      <c r="J34" s="394"/>
      <c r="K34" s="752"/>
      <c r="L34" s="394"/>
      <c r="M34" s="394"/>
      <c r="N34" s="752"/>
      <c r="O34" s="752"/>
      <c r="P34" s="752"/>
      <c r="Q34" s="752"/>
      <c r="R34" s="752"/>
      <c r="S34" s="752"/>
      <c r="T34" s="752"/>
      <c r="U34" s="752"/>
      <c r="V34" s="752"/>
      <c r="W34" s="752"/>
    </row>
    <row r="35" spans="1:23" s="374" customFormat="1" ht="12.75">
      <c r="A35" s="145">
        <v>20</v>
      </c>
      <c r="E35" s="752"/>
      <c r="F35" s="752"/>
      <c r="G35" s="752"/>
      <c r="H35" s="471"/>
      <c r="I35" s="752"/>
      <c r="J35" s="394"/>
      <c r="K35" s="752"/>
      <c r="L35" s="394"/>
      <c r="M35" s="394"/>
      <c r="N35" s="752"/>
      <c r="O35" s="752"/>
      <c r="P35" s="752"/>
      <c r="Q35" s="752"/>
      <c r="R35" s="752"/>
      <c r="S35" s="752"/>
      <c r="T35" s="752"/>
      <c r="U35" s="752"/>
      <c r="V35" s="752"/>
      <c r="W35" s="752"/>
    </row>
    <row r="36" spans="1:22" ht="12.75">
      <c r="A36" s="145">
        <v>21</v>
      </c>
      <c r="E36" s="95"/>
      <c r="F36" s="95"/>
      <c r="G36" s="95"/>
      <c r="H36" s="767"/>
      <c r="I36" s="95"/>
      <c r="J36" s="95"/>
      <c r="K36" s="95"/>
      <c r="L36" s="95"/>
      <c r="M36" s="95"/>
      <c r="N36" s="95"/>
      <c r="O36" s="95"/>
      <c r="P36" s="95"/>
      <c r="Q36" s="95"/>
      <c r="R36" s="95"/>
      <c r="S36" s="95"/>
      <c r="T36" s="95"/>
      <c r="U36" s="95"/>
      <c r="V36" s="95"/>
    </row>
    <row r="37" spans="1:22" ht="12.75">
      <c r="A37" s="185">
        <v>22</v>
      </c>
      <c r="B37" s="194" t="s">
        <v>967</v>
      </c>
      <c r="E37" s="95"/>
      <c r="F37" s="95"/>
      <c r="G37" s="95"/>
      <c r="H37" s="767"/>
      <c r="I37" s="95"/>
      <c r="J37" s="95"/>
      <c r="K37" s="95"/>
      <c r="L37" s="95"/>
      <c r="M37" s="95"/>
      <c r="N37" s="95"/>
      <c r="O37" s="95"/>
      <c r="P37" s="95"/>
      <c r="Q37" s="95"/>
      <c r="R37" s="95"/>
      <c r="S37" s="95"/>
      <c r="T37" s="95"/>
      <c r="U37" s="95"/>
      <c r="V37" s="95"/>
    </row>
    <row r="38" spans="1:22" ht="12.75">
      <c r="A38" s="145">
        <v>23</v>
      </c>
      <c r="D38" s="352"/>
      <c r="E38" s="95"/>
      <c r="F38" s="95"/>
      <c r="G38" s="95"/>
      <c r="H38" s="767"/>
      <c r="I38" s="95"/>
      <c r="J38" s="95"/>
      <c r="K38" s="95"/>
      <c r="L38" s="95"/>
      <c r="M38" s="95"/>
      <c r="N38" s="744"/>
      <c r="O38" s="95"/>
      <c r="P38" s="95"/>
      <c r="Q38" s="95"/>
      <c r="R38" s="95"/>
      <c r="S38" s="95"/>
      <c r="T38" s="95"/>
      <c r="U38" s="95"/>
      <c r="V38" s="95"/>
    </row>
    <row r="39" spans="1:26" ht="12.75">
      <c r="A39" s="145">
        <v>24</v>
      </c>
      <c r="B39" s="447" t="s">
        <v>720</v>
      </c>
      <c r="D39" s="374" t="s">
        <v>721</v>
      </c>
      <c r="E39" s="394">
        <v>0</v>
      </c>
      <c r="F39" s="394">
        <v>0</v>
      </c>
      <c r="G39" s="394">
        <f t="shared" si="13" ref="G39:G69">+E39+F39</f>
        <v>0</v>
      </c>
      <c r="H39" s="525">
        <f>+'II-E-4.1.1'!P30</f>
        <v>1502680.04</v>
      </c>
      <c r="I39" s="394">
        <f t="shared" si="14" ref="I39:I70">+G39+H39</f>
        <v>1502680.04</v>
      </c>
      <c r="J39" s="141">
        <v>1</v>
      </c>
      <c r="K39" s="394">
        <f t="shared" si="15" ref="K39:K70">+I39*J39</f>
        <v>1502680.04</v>
      </c>
      <c r="L39" s="95"/>
      <c r="M39" s="145" t="s">
        <v>378</v>
      </c>
      <c r="N39" s="394">
        <f>ROUND(6343989.41/'II-E-4.1.1'!O30,2)</f>
        <v>1268797.8799999999</v>
      </c>
      <c r="O39" s="394">
        <f>ROUND(556203/'II-E-4.1.1'!O30,2)</f>
        <v>111240.60000000001</v>
      </c>
      <c r="P39" s="394">
        <v>0</v>
      </c>
      <c r="Q39" s="394">
        <f>SUM(N39:P39)</f>
        <v>1380038.48</v>
      </c>
      <c r="R39" s="394">
        <f>+K39-Q39</f>
        <v>122641.56000000006</v>
      </c>
      <c r="S39" s="394">
        <v>0</v>
      </c>
      <c r="T39" s="394">
        <f t="shared" si="16" ref="T39:T67">SUM(R39:S39)</f>
        <v>122641.56000000006</v>
      </c>
      <c r="U39" s="394">
        <v>0</v>
      </c>
      <c r="V39" s="394">
        <v>0</v>
      </c>
      <c r="W39" s="477">
        <f t="shared" si="17" ref="W39:W70">+Q39+T39+U39+V39</f>
        <v>1502680.04</v>
      </c>
      <c r="Y39" t="b">
        <f t="shared" si="18" ref="Y39:Y69">+K39=W39</f>
        <v>1</v>
      </c>
      <c r="Z39" s="448">
        <f t="shared" si="19" ref="Z39:Z69">+K39-W39</f>
        <v>0</v>
      </c>
    </row>
    <row r="40" spans="1:26" ht="12.75">
      <c r="A40" s="185">
        <v>25</v>
      </c>
      <c r="B40" s="447" t="s">
        <v>722</v>
      </c>
      <c r="C40" s="374"/>
      <c r="D40" s="184" t="s">
        <v>723</v>
      </c>
      <c r="E40" s="453">
        <v>0</v>
      </c>
      <c r="F40" s="454">
        <v>0</v>
      </c>
      <c r="G40" s="455">
        <f t="shared" si="13"/>
        <v>0</v>
      </c>
      <c r="H40" s="768">
        <f>+'II-E-4.1.1'!P31</f>
        <v>6923725.2599999998</v>
      </c>
      <c r="I40" s="455">
        <f t="shared" si="14"/>
        <v>6923725.2599999998</v>
      </c>
      <c r="J40" s="141">
        <v>1</v>
      </c>
      <c r="K40" s="389">
        <f t="shared" si="15"/>
        <v>6923725.2599999998</v>
      </c>
      <c r="M40" s="353" t="s">
        <v>1045</v>
      </c>
      <c r="N40" s="449">
        <f>ROUND(+$K40*'[5]II-F Alloc_Factor'!E$18,2)</f>
        <v>601322.56999999995</v>
      </c>
      <c r="O40" s="449">
        <f>ROUND(+$K40*'[5]II-F Alloc_Factor'!F$18,2)</f>
        <v>0</v>
      </c>
      <c r="P40" s="449">
        <f>ROUND(+$K40*'[5]II-F Alloc_Factor'!G$18,2)</f>
        <v>0</v>
      </c>
      <c r="Q40" s="449">
        <f t="shared" si="20" ref="Q40:Q67">SUM(N40:P40)</f>
        <v>601322.56999999995</v>
      </c>
      <c r="R40" s="449">
        <f>ROUND(+$K40*'[5]II-F Alloc_Factor'!I$18,2)</f>
        <v>5750412.3300000001</v>
      </c>
      <c r="S40" s="449">
        <f>ROUND(+$K40*'[5]II-F Alloc_Factor'!J$18,2)</f>
        <v>0</v>
      </c>
      <c r="T40" s="449">
        <f t="shared" si="16"/>
        <v>5750412.3300000001</v>
      </c>
      <c r="U40" s="449">
        <f>ROUND(+$K40*'[5]II-F Alloc_Factor'!L$18,2)</f>
        <v>315840.78000000003</v>
      </c>
      <c r="V40" s="449">
        <f>ROUND(+$K40*'[5]II-F Alloc_Factor'!M$18,2)</f>
        <v>256149.57999999999</v>
      </c>
      <c r="W40" s="478">
        <f t="shared" si="17"/>
        <v>6923725.2600000007</v>
      </c>
      <c r="Y40" s="374" t="b">
        <f t="shared" si="18"/>
        <v>1</v>
      </c>
      <c r="Z40" s="448">
        <f t="shared" si="19"/>
        <v>0</v>
      </c>
    </row>
    <row r="41" spans="1:26" ht="12.75">
      <c r="A41" s="145">
        <v>26</v>
      </c>
      <c r="B41" s="447" t="s">
        <v>724</v>
      </c>
      <c r="C41" s="374"/>
      <c r="D41" s="184" t="s">
        <v>1039</v>
      </c>
      <c r="E41" s="453">
        <v>0</v>
      </c>
      <c r="F41" s="454">
        <v>0</v>
      </c>
      <c r="G41" s="455">
        <f t="shared" si="13"/>
        <v>0</v>
      </c>
      <c r="H41" s="769">
        <f>+'II-E-4.1.1'!P32</f>
        <v>15053413.869999999</v>
      </c>
      <c r="I41" s="455">
        <f t="shared" si="14"/>
        <v>15053413.869999999</v>
      </c>
      <c r="J41" s="141">
        <v>1</v>
      </c>
      <c r="K41" s="389">
        <f t="shared" si="15"/>
        <v>15053413.869999999</v>
      </c>
      <c r="M41" s="145" t="s">
        <v>378</v>
      </c>
      <c r="N41" s="449">
        <v>0</v>
      </c>
      <c r="O41" s="449">
        <v>0</v>
      </c>
      <c r="P41" s="449">
        <v>0</v>
      </c>
      <c r="Q41" s="449">
        <f t="shared" si="20"/>
        <v>0</v>
      </c>
      <c r="R41" s="449">
        <f>+K41</f>
        <v>15053413.869999999</v>
      </c>
      <c r="S41" s="449">
        <v>0</v>
      </c>
      <c r="T41" s="449">
        <f t="shared" si="16"/>
        <v>15053413.869999999</v>
      </c>
      <c r="U41" s="449">
        <v>0</v>
      </c>
      <c r="V41" s="449">
        <v>0</v>
      </c>
      <c r="W41" s="478">
        <f t="shared" si="17"/>
        <v>15053413.869999999</v>
      </c>
      <c r="Y41" s="374" t="b">
        <f t="shared" si="18"/>
        <v>1</v>
      </c>
      <c r="Z41" s="448">
        <f t="shared" si="19"/>
        <v>0</v>
      </c>
    </row>
    <row r="42" spans="1:26" s="184" customFormat="1" ht="12.75">
      <c r="A42" s="145">
        <v>27</v>
      </c>
      <c r="B42" s="452" t="s">
        <v>1040</v>
      </c>
      <c r="D42" s="197" t="s">
        <v>1041</v>
      </c>
      <c r="E42" s="453">
        <v>0</v>
      </c>
      <c r="F42" s="454">
        <v>0</v>
      </c>
      <c r="G42" s="455">
        <f t="shared" si="13"/>
        <v>0</v>
      </c>
      <c r="H42" s="769">
        <f>+'II-E-4.1.1'!P33</f>
        <v>5217.6000000000004</v>
      </c>
      <c r="I42" s="455">
        <f t="shared" si="14"/>
        <v>5217.6000000000004</v>
      </c>
      <c r="J42" s="456">
        <v>1</v>
      </c>
      <c r="K42" s="455">
        <f t="shared" si="15"/>
        <v>5217.6000000000004</v>
      </c>
      <c r="M42" s="185" t="s">
        <v>378</v>
      </c>
      <c r="N42" s="457">
        <v>0</v>
      </c>
      <c r="O42" s="449">
        <v>0</v>
      </c>
      <c r="P42" s="449">
        <v>0</v>
      </c>
      <c r="Q42" s="457">
        <f t="shared" si="20"/>
        <v>0</v>
      </c>
      <c r="R42" s="457">
        <f>+K42</f>
        <v>5217.6000000000004</v>
      </c>
      <c r="S42" s="457">
        <v>0</v>
      </c>
      <c r="T42" s="457">
        <f t="shared" si="16"/>
        <v>5217.6000000000004</v>
      </c>
      <c r="U42" s="457">
        <v>0</v>
      </c>
      <c r="V42" s="457">
        <v>0</v>
      </c>
      <c r="W42" s="479">
        <f t="shared" si="17"/>
        <v>5217.6000000000004</v>
      </c>
      <c r="Y42" s="184" t="b">
        <f t="shared" si="18"/>
        <v>1</v>
      </c>
      <c r="Z42" s="458">
        <f t="shared" si="19"/>
        <v>0</v>
      </c>
    </row>
    <row r="43" spans="1:26" s="184" customFormat="1" ht="12.75">
      <c r="A43" s="185">
        <v>28</v>
      </c>
      <c r="B43" s="452" t="s">
        <v>561</v>
      </c>
      <c r="D43" s="197" t="s">
        <v>565</v>
      </c>
      <c r="E43" s="453">
        <v>65375.400000000001</v>
      </c>
      <c r="F43" s="454">
        <v>0</v>
      </c>
      <c r="G43" s="455">
        <f t="shared" si="13"/>
        <v>65375.400000000001</v>
      </c>
      <c r="H43" s="769">
        <f>+'II-E-4.1.1'!P34</f>
        <v>-53535.249999999993</v>
      </c>
      <c r="I43" s="455">
        <f t="shared" si="14"/>
        <v>11840.150000000009</v>
      </c>
      <c r="J43" s="456">
        <v>1</v>
      </c>
      <c r="K43" s="455">
        <f t="shared" si="15"/>
        <v>11840.150000000009</v>
      </c>
      <c r="M43" s="185" t="s">
        <v>378</v>
      </c>
      <c r="N43" s="457">
        <v>0</v>
      </c>
      <c r="O43" s="449">
        <v>0</v>
      </c>
      <c r="P43" s="449">
        <v>0</v>
      </c>
      <c r="Q43" s="457">
        <f t="shared" si="20"/>
        <v>0</v>
      </c>
      <c r="R43" s="457">
        <v>0</v>
      </c>
      <c r="S43" s="457">
        <v>0</v>
      </c>
      <c r="T43" s="457">
        <f t="shared" si="16"/>
        <v>0</v>
      </c>
      <c r="U43" s="457">
        <f>+K43</f>
        <v>11840.150000000009</v>
      </c>
      <c r="V43" s="457">
        <v>0</v>
      </c>
      <c r="W43" s="479">
        <f t="shared" si="17"/>
        <v>11840.150000000009</v>
      </c>
      <c r="Y43" s="184" t="b">
        <f t="shared" si="18"/>
        <v>1</v>
      </c>
      <c r="Z43" s="458">
        <f t="shared" si="19"/>
        <v>0</v>
      </c>
    </row>
    <row r="44" spans="1:26" s="184" customFormat="1" ht="12.75">
      <c r="A44" s="145">
        <v>29</v>
      </c>
      <c r="B44" s="452" t="s">
        <v>564</v>
      </c>
      <c r="D44" s="197" t="s">
        <v>725</v>
      </c>
      <c r="E44" s="453">
        <v>267957.35999999999</v>
      </c>
      <c r="F44" s="454">
        <v>0</v>
      </c>
      <c r="G44" s="455">
        <f t="shared" si="13"/>
        <v>267957.35999999999</v>
      </c>
      <c r="H44" s="769">
        <f>+'II-E-4.1.1'!P35</f>
        <v>1403793.4380000001</v>
      </c>
      <c r="I44" s="455">
        <f t="shared" si="14"/>
        <v>1671750.798</v>
      </c>
      <c r="J44" s="456">
        <v>1</v>
      </c>
      <c r="K44" s="455">
        <f t="shared" si="15"/>
        <v>1671750.798</v>
      </c>
      <c r="M44" s="185" t="s">
        <v>378</v>
      </c>
      <c r="N44" s="457">
        <v>0</v>
      </c>
      <c r="O44" s="449">
        <v>0</v>
      </c>
      <c r="P44" s="449">
        <v>0</v>
      </c>
      <c r="Q44" s="457">
        <f t="shared" si="20"/>
        <v>0</v>
      </c>
      <c r="R44" s="457">
        <v>0</v>
      </c>
      <c r="S44" s="457">
        <v>0</v>
      </c>
      <c r="T44" s="457">
        <f t="shared" si="16"/>
        <v>0</v>
      </c>
      <c r="U44" s="457">
        <v>0</v>
      </c>
      <c r="V44" s="457">
        <f>+K44</f>
        <v>1671750.798</v>
      </c>
      <c r="W44" s="479">
        <f t="shared" si="17"/>
        <v>1671750.798</v>
      </c>
      <c r="Y44" s="184" t="b">
        <f t="shared" si="18"/>
        <v>1</v>
      </c>
      <c r="Z44" s="458">
        <f t="shared" si="19"/>
        <v>0</v>
      </c>
    </row>
    <row r="45" spans="1:26" s="184" customFormat="1" ht="12.75">
      <c r="A45" s="145">
        <v>30</v>
      </c>
      <c r="B45" s="452" t="s">
        <v>562</v>
      </c>
      <c r="D45" s="197" t="s">
        <v>566</v>
      </c>
      <c r="E45" s="453">
        <v>579610.07999999996</v>
      </c>
      <c r="F45" s="454">
        <v>0</v>
      </c>
      <c r="G45" s="455">
        <f t="shared" si="13"/>
        <v>579610.07999999996</v>
      </c>
      <c r="H45" s="769">
        <f>+'II-E-4.1.1'!P36</f>
        <v>-474636.26999999996</v>
      </c>
      <c r="I45" s="455">
        <f t="shared" si="14"/>
        <v>104973.81</v>
      </c>
      <c r="J45" s="456">
        <v>1</v>
      </c>
      <c r="K45" s="455">
        <f t="shared" si="15"/>
        <v>104973.81</v>
      </c>
      <c r="M45" s="185" t="s">
        <v>378</v>
      </c>
      <c r="N45" s="457">
        <v>0</v>
      </c>
      <c r="O45" s="449">
        <v>0</v>
      </c>
      <c r="P45" s="449">
        <v>0</v>
      </c>
      <c r="Q45" s="457">
        <f t="shared" si="20"/>
        <v>0</v>
      </c>
      <c r="R45" s="457">
        <v>0</v>
      </c>
      <c r="S45" s="457">
        <v>0</v>
      </c>
      <c r="T45" s="457">
        <f t="shared" si="16"/>
        <v>0</v>
      </c>
      <c r="U45" s="457">
        <f>+K45</f>
        <v>104973.81</v>
      </c>
      <c r="V45" s="457">
        <v>0</v>
      </c>
      <c r="W45" s="479">
        <f t="shared" si="17"/>
        <v>104973.81</v>
      </c>
      <c r="Y45" s="184" t="b">
        <f t="shared" si="18"/>
        <v>1</v>
      </c>
      <c r="Z45" s="458">
        <f t="shared" si="19"/>
        <v>0</v>
      </c>
    </row>
    <row r="46" spans="1:26" s="184" customFormat="1" ht="12.75">
      <c r="A46" s="185">
        <v>31</v>
      </c>
      <c r="B46" s="452" t="s">
        <v>560</v>
      </c>
      <c r="D46" s="197" t="s">
        <v>726</v>
      </c>
      <c r="E46" s="453">
        <v>41308260.479999997</v>
      </c>
      <c r="F46" s="454">
        <v>0</v>
      </c>
      <c r="G46" s="455">
        <f t="shared" si="13"/>
        <v>41308260.479999997</v>
      </c>
      <c r="H46" s="768">
        <f>+'II-E-4.1.1'!P37</f>
        <v>1566566.0600000024</v>
      </c>
      <c r="I46" s="455">
        <f t="shared" si="14"/>
        <v>42874826.539999999</v>
      </c>
      <c r="J46" s="456">
        <v>1</v>
      </c>
      <c r="K46" s="455">
        <f t="shared" si="15"/>
        <v>42874826.539999999</v>
      </c>
      <c r="M46" s="195" t="s">
        <v>378</v>
      </c>
      <c r="N46" s="457">
        <f>ROUND(1812925.92/'II-E-4.1.1'!O37,2)</f>
        <v>362585.17999999999</v>
      </c>
      <c r="O46" s="457">
        <v>0</v>
      </c>
      <c r="P46" s="457">
        <v>0</v>
      </c>
      <c r="Q46" s="457">
        <f t="shared" si="20"/>
        <v>362585.17999999999</v>
      </c>
      <c r="R46" s="457">
        <f>+K46-Q46</f>
        <v>42512241.359999999</v>
      </c>
      <c r="S46" s="457">
        <v>0</v>
      </c>
      <c r="T46" s="457">
        <f t="shared" si="16"/>
        <v>42512241.359999999</v>
      </c>
      <c r="U46" s="457">
        <v>0</v>
      </c>
      <c r="V46" s="457">
        <v>0</v>
      </c>
      <c r="W46" s="475">
        <f t="shared" si="17"/>
        <v>42874826.539999999</v>
      </c>
      <c r="Y46" s="184" t="b">
        <f t="shared" si="18"/>
        <v>1</v>
      </c>
      <c r="Z46" s="458">
        <f t="shared" si="19"/>
        <v>0</v>
      </c>
    </row>
    <row r="47" spans="1:26" s="184" customFormat="1" ht="12.75">
      <c r="A47" s="145">
        <v>32</v>
      </c>
      <c r="B47" s="452" t="s">
        <v>560</v>
      </c>
      <c r="D47" s="197" t="s">
        <v>727</v>
      </c>
      <c r="E47" s="453">
        <v>0</v>
      </c>
      <c r="F47" s="454">
        <v>0</v>
      </c>
      <c r="G47" s="455">
        <f t="shared" si="13"/>
        <v>0</v>
      </c>
      <c r="H47" s="768">
        <f>+'II-E-4.1.1'!P38</f>
        <v>75217726.180000007</v>
      </c>
      <c r="I47" s="455">
        <f t="shared" si="14"/>
        <v>75217726.180000007</v>
      </c>
      <c r="J47" s="456">
        <v>1</v>
      </c>
      <c r="K47" s="455">
        <f t="shared" si="15"/>
        <v>75217726.180000007</v>
      </c>
      <c r="M47" s="195" t="s">
        <v>378</v>
      </c>
      <c r="N47" s="457">
        <f>ROUND(26346350.81/'II-E-4.1.1'!O38,2)</f>
        <v>5269270.1600000001</v>
      </c>
      <c r="O47" s="457">
        <v>0</v>
      </c>
      <c r="P47" s="457">
        <v>0</v>
      </c>
      <c r="Q47" s="457">
        <f t="shared" si="20"/>
        <v>5269270.1600000001</v>
      </c>
      <c r="R47" s="457">
        <f>+K47-Q47</f>
        <v>69948456.020000011</v>
      </c>
      <c r="S47" s="457">
        <v>0</v>
      </c>
      <c r="T47" s="457">
        <f t="shared" si="16"/>
        <v>69948456.020000011</v>
      </c>
      <c r="U47" s="457">
        <v>0</v>
      </c>
      <c r="V47" s="457">
        <v>0</v>
      </c>
      <c r="W47" s="475">
        <f t="shared" si="17"/>
        <v>75217726.180000007</v>
      </c>
      <c r="Y47" s="184" t="b">
        <f t="shared" si="18"/>
        <v>1</v>
      </c>
      <c r="Z47" s="458">
        <f t="shared" si="19"/>
        <v>0</v>
      </c>
    </row>
    <row r="48" spans="1:26" s="184" customFormat="1" ht="12.75">
      <c r="A48" s="145">
        <v>33</v>
      </c>
      <c r="B48" s="452" t="s">
        <v>560</v>
      </c>
      <c r="D48" s="197" t="s">
        <v>728</v>
      </c>
      <c r="E48" s="453">
        <v>0</v>
      </c>
      <c r="F48" s="454">
        <v>0</v>
      </c>
      <c r="G48" s="455">
        <f t="shared" si="13"/>
        <v>0</v>
      </c>
      <c r="H48" s="768">
        <f>+'II-E-4.1.1'!P39</f>
        <v>730702.90000000002</v>
      </c>
      <c r="I48" s="455">
        <f t="shared" si="14"/>
        <v>730702.90000000002</v>
      </c>
      <c r="J48" s="456">
        <v>1</v>
      </c>
      <c r="K48" s="455">
        <f t="shared" si="15"/>
        <v>730702.90000000002</v>
      </c>
      <c r="M48" s="195" t="s">
        <v>378</v>
      </c>
      <c r="N48" s="457">
        <v>0</v>
      </c>
      <c r="O48" s="457">
        <f>+K48</f>
        <v>730702.90000000002</v>
      </c>
      <c r="P48" s="457">
        <v>0</v>
      </c>
      <c r="Q48" s="457">
        <f t="shared" si="20"/>
        <v>730702.90000000002</v>
      </c>
      <c r="R48" s="457">
        <v>0</v>
      </c>
      <c r="S48" s="457">
        <v>0</v>
      </c>
      <c r="T48" s="457">
        <f t="shared" si="16"/>
        <v>0</v>
      </c>
      <c r="U48" s="457">
        <v>0</v>
      </c>
      <c r="V48" s="457">
        <v>0</v>
      </c>
      <c r="W48" s="475">
        <f t="shared" si="17"/>
        <v>730702.90000000002</v>
      </c>
      <c r="Y48" s="184" t="b">
        <f t="shared" si="18"/>
        <v>1</v>
      </c>
      <c r="Z48" s="458">
        <f t="shared" si="19"/>
        <v>0</v>
      </c>
    </row>
    <row r="49" spans="1:26" s="184" customFormat="1" ht="12.75">
      <c r="A49" s="185">
        <v>34</v>
      </c>
      <c r="B49" s="452" t="s">
        <v>468</v>
      </c>
      <c r="D49" s="197" t="s">
        <v>726</v>
      </c>
      <c r="E49" s="453">
        <v>1333834.0800000001</v>
      </c>
      <c r="F49" s="454">
        <v>0</v>
      </c>
      <c r="G49" s="455">
        <f t="shared" si="13"/>
        <v>1333834.0800000001</v>
      </c>
      <c r="H49" s="768">
        <f>+'II-E-4.1.1'!P40</f>
        <v>448779.3899999999</v>
      </c>
      <c r="I49" s="455">
        <f t="shared" si="14"/>
        <v>1782613.47</v>
      </c>
      <c r="J49" s="456">
        <v>1</v>
      </c>
      <c r="K49" s="455">
        <f t="shared" si="15"/>
        <v>1782613.47</v>
      </c>
      <c r="M49" s="195" t="s">
        <v>378</v>
      </c>
      <c r="N49" s="457">
        <f>ROUND(-479982.35/'II-E-4.1.1'!O40,2)</f>
        <v>-95996.470000000001</v>
      </c>
      <c r="O49" s="457">
        <v>0</v>
      </c>
      <c r="P49" s="457">
        <v>0</v>
      </c>
      <c r="Q49" s="457">
        <f t="shared" si="20"/>
        <v>-95996.470000000001</v>
      </c>
      <c r="R49" s="457">
        <f>+K49-Q49</f>
        <v>1878609.9399999999</v>
      </c>
      <c r="S49" s="457">
        <v>0</v>
      </c>
      <c r="T49" s="457">
        <f t="shared" si="16"/>
        <v>1878609.9399999999</v>
      </c>
      <c r="U49" s="457">
        <v>0</v>
      </c>
      <c r="V49" s="457">
        <v>0</v>
      </c>
      <c r="W49" s="475">
        <f t="shared" si="17"/>
        <v>1782613.47</v>
      </c>
      <c r="Y49" s="184" t="b">
        <f t="shared" si="18"/>
        <v>1</v>
      </c>
      <c r="Z49" s="458">
        <f t="shared" si="19"/>
        <v>0</v>
      </c>
    </row>
    <row r="50" spans="1:26" s="184" customFormat="1" ht="12.75">
      <c r="A50" s="145">
        <v>35</v>
      </c>
      <c r="B50" s="452" t="s">
        <v>468</v>
      </c>
      <c r="D50" s="197" t="s">
        <v>727</v>
      </c>
      <c r="E50" s="453">
        <v>0</v>
      </c>
      <c r="F50" s="454">
        <v>0</v>
      </c>
      <c r="G50" s="455">
        <f t="shared" si="21" ref="G50:G61">+E50+F50</f>
        <v>0</v>
      </c>
      <c r="H50" s="768">
        <f>+'II-E-4.1.1'!P41</f>
        <v>-2896737.6800000002</v>
      </c>
      <c r="I50" s="455">
        <f t="shared" si="22" ref="I50:I61">+G50+H50</f>
        <v>-2896737.6800000002</v>
      </c>
      <c r="J50" s="456">
        <v>1</v>
      </c>
      <c r="K50" s="455">
        <f t="shared" si="23" ref="K50:K61">+I50*J50</f>
        <v>-2896737.6800000002</v>
      </c>
      <c r="M50" s="195" t="s">
        <v>378</v>
      </c>
      <c r="N50" s="457">
        <f>ROUND(-5545303.49/'II-E-4.1.1'!O41,2)</f>
        <v>-1109060.7</v>
      </c>
      <c r="O50" s="457">
        <v>0</v>
      </c>
      <c r="P50" s="457">
        <v>0</v>
      </c>
      <c r="Q50" s="457">
        <f t="shared" si="20"/>
        <v>-1109060.7</v>
      </c>
      <c r="R50" s="457">
        <f>+K50-Q50</f>
        <v>-1787676.9800000002</v>
      </c>
      <c r="S50" s="457">
        <v>0</v>
      </c>
      <c r="T50" s="457">
        <f t="shared" si="16"/>
        <v>-1787676.9800000002</v>
      </c>
      <c r="U50" s="457">
        <v>0</v>
      </c>
      <c r="V50" s="457">
        <v>0</v>
      </c>
      <c r="W50" s="475">
        <f t="shared" si="24" ref="W50:W61">+Q50+T50+U50+V50</f>
        <v>-2896737.6800000002</v>
      </c>
      <c r="Y50" s="184" t="b">
        <f t="shared" si="25" ref="Y50:Y61">+K50=W50</f>
        <v>1</v>
      </c>
      <c r="Z50" s="458">
        <f t="shared" si="19"/>
        <v>0</v>
      </c>
    </row>
    <row r="51" spans="1:26" s="374" customFormat="1" ht="12.75">
      <c r="A51" s="145">
        <v>36</v>
      </c>
      <c r="B51" s="447" t="s">
        <v>407</v>
      </c>
      <c r="D51" s="197" t="s">
        <v>729</v>
      </c>
      <c r="E51" s="453">
        <v>30688193.039999999</v>
      </c>
      <c r="F51" s="454">
        <v>0</v>
      </c>
      <c r="G51" s="455">
        <f t="shared" si="21"/>
        <v>30688193.039999999</v>
      </c>
      <c r="H51" s="768">
        <f>+'II-E-4.1.1'!P42</f>
        <v>3907373.0500000045</v>
      </c>
      <c r="I51" s="455">
        <f t="shared" si="22"/>
        <v>34595566.090000004</v>
      </c>
      <c r="J51" s="141">
        <v>1</v>
      </c>
      <c r="K51" s="455">
        <f t="shared" si="23"/>
        <v>34595566.090000004</v>
      </c>
      <c r="M51" s="353" t="s">
        <v>1248</v>
      </c>
      <c r="N51" s="449">
        <f>ROUND(+$K51*0.2088,2)</f>
        <v>7223554.2000000002</v>
      </c>
      <c r="O51" s="449">
        <v>0</v>
      </c>
      <c r="P51" s="449">
        <v>0</v>
      </c>
      <c r="Q51" s="449">
        <f t="shared" si="20"/>
        <v>7223554.2000000002</v>
      </c>
      <c r="R51" s="449">
        <f>ROUND(+$K51*0.6085,2)</f>
        <v>21051401.969999999</v>
      </c>
      <c r="S51" s="449">
        <v>0</v>
      </c>
      <c r="T51" s="449">
        <f t="shared" si="16"/>
        <v>21051401.969999999</v>
      </c>
      <c r="U51" s="449">
        <f>ROUND(+$K51*0.1457,2)</f>
        <v>5040573.9800000004</v>
      </c>
      <c r="V51" s="449">
        <f>+K51-Q51-T51-U51</f>
        <v>1280035.9400000051</v>
      </c>
      <c r="W51" s="480">
        <f t="shared" si="24"/>
        <v>34595566.090000004</v>
      </c>
      <c r="Y51" s="374" t="b">
        <f t="shared" si="25"/>
        <v>1</v>
      </c>
      <c r="Z51" s="448">
        <f t="shared" si="19"/>
        <v>0</v>
      </c>
    </row>
    <row r="52" spans="1:26" s="374" customFormat="1" ht="12.75">
      <c r="A52" s="185">
        <v>37</v>
      </c>
      <c r="B52" s="447" t="s">
        <v>407</v>
      </c>
      <c r="D52" s="197" t="s">
        <v>587</v>
      </c>
      <c r="E52" s="453">
        <v>0</v>
      </c>
      <c r="F52" s="454">
        <v>0</v>
      </c>
      <c r="G52" s="455">
        <f t="shared" si="21"/>
        <v>0</v>
      </c>
      <c r="H52" s="768">
        <f>+'II-E-4.1.1'!P43</f>
        <v>-3488031.2400000002</v>
      </c>
      <c r="I52" s="455">
        <f t="shared" si="22"/>
        <v>-3488031.2400000002</v>
      </c>
      <c r="J52" s="141">
        <v>1</v>
      </c>
      <c r="K52" s="389">
        <f t="shared" si="23"/>
        <v>-3488031.2400000002</v>
      </c>
      <c r="M52" s="353" t="s">
        <v>13</v>
      </c>
      <c r="N52" s="449">
        <f>ROUND(+$K52*'[5]II-F Alloc_Factor'!E$17,2)</f>
        <v>-768069.93999999994</v>
      </c>
      <c r="O52" s="449">
        <f>ROUND(+$K52*'[5]II-F Alloc_Factor'!F$17,2)</f>
        <v>0</v>
      </c>
      <c r="P52" s="449">
        <f>ROUND(+$K52*'[5]II-F Alloc_Factor'!G$17,2)</f>
        <v>0</v>
      </c>
      <c r="Q52" s="449">
        <f t="shared" si="26" ref="Q52:Q54">SUM(N52:P52)</f>
        <v>-768069.93999999994</v>
      </c>
      <c r="R52" s="449">
        <f>ROUND(+$K52*'[5]II-F Alloc_Factor'!I$17,2)</f>
        <v>-2118977.27</v>
      </c>
      <c r="S52" s="449">
        <f>ROUND(+$K52*'[5]II-F Alloc_Factor'!J$17,2)</f>
        <v>0</v>
      </c>
      <c r="T52" s="449">
        <f t="shared" si="27" ref="T52:T54">SUM(R52:S52)</f>
        <v>-2118977.27</v>
      </c>
      <c r="U52" s="449">
        <f>ROUND(+$K52*'[5]II-F Alloc_Factor'!L$17,2)</f>
        <v>-577735.20999999996</v>
      </c>
      <c r="V52" s="449">
        <f>+K52-Q52-T52-U52</f>
        <v>-23248.820000000298</v>
      </c>
      <c r="W52" s="480">
        <f t="shared" si="24"/>
        <v>-3488031.2400000002</v>
      </c>
      <c r="Y52" s="374" t="b">
        <f t="shared" si="25"/>
        <v>1</v>
      </c>
      <c r="Z52" s="448">
        <f t="shared" si="19"/>
        <v>0</v>
      </c>
    </row>
    <row r="53" spans="1:26" s="184" customFormat="1" ht="12.75">
      <c r="A53" s="185">
        <v>38</v>
      </c>
      <c r="B53" s="452" t="s">
        <v>407</v>
      </c>
      <c r="D53" s="197" t="s">
        <v>730</v>
      </c>
      <c r="E53" s="453">
        <v>4247549.04</v>
      </c>
      <c r="F53" s="454">
        <v>0</v>
      </c>
      <c r="G53" s="455">
        <f t="shared" si="21"/>
        <v>4247549.04</v>
      </c>
      <c r="H53" s="768">
        <f>+'II-E-4.1.1'!P44</f>
        <v>-484367.08999999985</v>
      </c>
      <c r="I53" s="455">
        <f t="shared" si="22"/>
        <v>3763181.9500000002</v>
      </c>
      <c r="J53" s="456">
        <v>1</v>
      </c>
      <c r="K53" s="455">
        <f t="shared" si="23"/>
        <v>3763181.9500000002</v>
      </c>
      <c r="M53" s="195" t="s">
        <v>1248</v>
      </c>
      <c r="N53" s="457">
        <f>ROUND(+$K53*0.2088,2)</f>
        <v>785752.39000000001</v>
      </c>
      <c r="O53" s="457">
        <v>0</v>
      </c>
      <c r="P53" s="457">
        <v>0</v>
      </c>
      <c r="Q53" s="457">
        <f t="shared" si="26"/>
        <v>785752.39000000001</v>
      </c>
      <c r="R53" s="457">
        <f>ROUND(+$K53*0.6085,2)</f>
        <v>2289896.2200000002</v>
      </c>
      <c r="S53" s="457">
        <v>0</v>
      </c>
      <c r="T53" s="457">
        <f t="shared" si="27"/>
        <v>2289896.2200000002</v>
      </c>
      <c r="U53" s="457">
        <f>ROUND(+$K53*0.1457,2)</f>
        <v>548295.60999999999</v>
      </c>
      <c r="V53" s="457">
        <f>+K53-Q53-T53-U53</f>
        <v>139237.72999999987</v>
      </c>
      <c r="W53" s="475">
        <f t="shared" si="24"/>
        <v>3763181.9500000002</v>
      </c>
      <c r="Y53" s="184" t="b">
        <f t="shared" si="25"/>
        <v>1</v>
      </c>
      <c r="Z53" s="458">
        <f t="shared" si="19"/>
        <v>0</v>
      </c>
    </row>
    <row r="54" spans="1:26" s="184" customFormat="1" ht="12.75">
      <c r="A54" s="185">
        <v>39</v>
      </c>
      <c r="B54" s="452" t="s">
        <v>407</v>
      </c>
      <c r="D54" s="197" t="s">
        <v>588</v>
      </c>
      <c r="E54" s="453">
        <v>0</v>
      </c>
      <c r="F54" s="454">
        <v>0</v>
      </c>
      <c r="G54" s="455">
        <f t="shared" si="21"/>
        <v>0</v>
      </c>
      <c r="H54" s="768">
        <f>+'II-E-4.1.1'!P45</f>
        <v>-7857828.7400000002</v>
      </c>
      <c r="I54" s="455">
        <f t="shared" si="22"/>
        <v>-7857828.7400000002</v>
      </c>
      <c r="J54" s="456">
        <v>1</v>
      </c>
      <c r="K54" s="455">
        <f t="shared" si="23"/>
        <v>-7857828.7400000002</v>
      </c>
      <c r="M54" s="195" t="s">
        <v>13</v>
      </c>
      <c r="N54" s="457">
        <f>ROUND(+$K54*'[5]II-F Alloc_Factor'!E$17,2)</f>
        <v>-1730306.1799999999</v>
      </c>
      <c r="O54" s="457">
        <f>ROUND(+$K54*'[5]II-F Alloc_Factor'!F$17,2)</f>
        <v>0</v>
      </c>
      <c r="P54" s="457">
        <f>ROUND(+$K54*'[5]II-F Alloc_Factor'!G$17,2)</f>
        <v>0</v>
      </c>
      <c r="Q54" s="457">
        <f t="shared" si="26"/>
        <v>-1730306.1799999999</v>
      </c>
      <c r="R54" s="457">
        <f>ROUND(+$K54*'[5]II-F Alloc_Factor'!I$17,2)</f>
        <v>-4773627.1200000001</v>
      </c>
      <c r="S54" s="457">
        <f>ROUND(+$K54*'[5]II-F Alloc_Factor'!J$17,2)</f>
        <v>0</v>
      </c>
      <c r="T54" s="457">
        <f t="shared" si="27"/>
        <v>-4773627.1200000001</v>
      </c>
      <c r="U54" s="457">
        <f>ROUND(+$K54*'[5]II-F Alloc_Factor'!L$17,2)</f>
        <v>-1301520.54</v>
      </c>
      <c r="V54" s="457">
        <f>+K54-Q54-T54-U54</f>
        <v>-52374.900000000373</v>
      </c>
      <c r="W54" s="475">
        <f t="shared" si="24"/>
        <v>-7857828.7400000002</v>
      </c>
      <c r="Y54" s="184" t="b">
        <f t="shared" si="25"/>
        <v>1</v>
      </c>
      <c r="Z54" s="458">
        <f t="shared" si="19"/>
        <v>0</v>
      </c>
    </row>
    <row r="55" spans="1:26" s="374" customFormat="1" ht="12.75">
      <c r="A55" s="185">
        <v>40</v>
      </c>
      <c r="B55" s="447" t="s">
        <v>563</v>
      </c>
      <c r="D55" s="197" t="s">
        <v>504</v>
      </c>
      <c r="E55" s="453">
        <v>35588.279999999999</v>
      </c>
      <c r="F55" s="454">
        <v>0</v>
      </c>
      <c r="G55" s="455">
        <f t="shared" si="21"/>
        <v>35588.279999999999</v>
      </c>
      <c r="H55" s="768">
        <f>+'II-E-4.1.1'!P46</f>
        <v>-29142.868000000002</v>
      </c>
      <c r="I55" s="455">
        <f t="shared" si="22"/>
        <v>6445.4119999999966</v>
      </c>
      <c r="J55" s="141">
        <v>1</v>
      </c>
      <c r="K55" s="389">
        <f t="shared" si="23"/>
        <v>6445.4119999999966</v>
      </c>
      <c r="M55" s="353" t="s">
        <v>378</v>
      </c>
      <c r="N55" s="449">
        <v>0</v>
      </c>
      <c r="O55" s="449">
        <v>0</v>
      </c>
      <c r="P55" s="449">
        <v>0</v>
      </c>
      <c r="Q55" s="449">
        <f t="shared" si="20"/>
        <v>0</v>
      </c>
      <c r="R55" s="449">
        <v>0</v>
      </c>
      <c r="S55" s="449">
        <v>0</v>
      </c>
      <c r="T55" s="449">
        <f t="shared" si="16"/>
        <v>0</v>
      </c>
      <c r="U55" s="449">
        <f>+K55</f>
        <v>6445.4119999999966</v>
      </c>
      <c r="V55" s="449">
        <v>0</v>
      </c>
      <c r="W55" s="480">
        <f t="shared" si="24"/>
        <v>6445.4119999999966</v>
      </c>
      <c r="Y55" s="374" t="b">
        <f t="shared" si="25"/>
        <v>1</v>
      </c>
      <c r="Z55" s="448">
        <f t="shared" si="19"/>
        <v>0</v>
      </c>
    </row>
    <row r="56" spans="1:26" s="184" customFormat="1" ht="12.75">
      <c r="A56" s="185">
        <v>41</v>
      </c>
      <c r="B56" s="452" t="s">
        <v>563</v>
      </c>
      <c r="D56" s="197" t="s">
        <v>505</v>
      </c>
      <c r="E56" s="453">
        <v>31219.68</v>
      </c>
      <c r="F56" s="454">
        <v>0</v>
      </c>
      <c r="G56" s="455">
        <f t="shared" si="21"/>
        <v>31219.68</v>
      </c>
      <c r="H56" s="768">
        <f>+'II-E-4.1.1'!P47</f>
        <v>-25565.508000000002</v>
      </c>
      <c r="I56" s="455">
        <f t="shared" si="22"/>
        <v>5654.1719999999987</v>
      </c>
      <c r="J56" s="456">
        <v>1</v>
      </c>
      <c r="K56" s="455">
        <f t="shared" si="23"/>
        <v>5654.1719999999987</v>
      </c>
      <c r="M56" s="195" t="s">
        <v>378</v>
      </c>
      <c r="N56" s="457">
        <v>0</v>
      </c>
      <c r="O56" s="457">
        <v>0</v>
      </c>
      <c r="P56" s="457">
        <v>0</v>
      </c>
      <c r="Q56" s="457">
        <f t="shared" si="20"/>
        <v>0</v>
      </c>
      <c r="R56" s="457">
        <v>0</v>
      </c>
      <c r="S56" s="457">
        <v>0</v>
      </c>
      <c r="T56" s="457">
        <f t="shared" si="16"/>
        <v>0</v>
      </c>
      <c r="U56" s="457">
        <f>+K56</f>
        <v>5654.1719999999987</v>
      </c>
      <c r="V56" s="457">
        <v>0</v>
      </c>
      <c r="W56" s="475">
        <f t="shared" si="24"/>
        <v>5654.1719999999987</v>
      </c>
      <c r="Y56" s="184" t="b">
        <f t="shared" si="25"/>
        <v>1</v>
      </c>
      <c r="Z56" s="458">
        <f t="shared" si="19"/>
        <v>0</v>
      </c>
    </row>
    <row r="57" spans="1:26" s="374" customFormat="1" ht="12.75">
      <c r="A57" s="145">
        <v>42</v>
      </c>
      <c r="B57" s="447" t="s">
        <v>563</v>
      </c>
      <c r="D57" s="197" t="s">
        <v>506</v>
      </c>
      <c r="E57" s="453">
        <v>21624</v>
      </c>
      <c r="F57" s="454">
        <v>0</v>
      </c>
      <c r="G57" s="455">
        <f t="shared" si="21"/>
        <v>21624</v>
      </c>
      <c r="H57" s="768">
        <f>+'II-E-4.1.1'!P48</f>
        <v>-17707.646315804486</v>
      </c>
      <c r="I57" s="455">
        <f t="shared" si="22"/>
        <v>3916.3536841955138</v>
      </c>
      <c r="J57" s="141">
        <v>1</v>
      </c>
      <c r="K57" s="455">
        <f t="shared" si="23"/>
        <v>3916.3536841955138</v>
      </c>
      <c r="M57" s="353" t="s">
        <v>378</v>
      </c>
      <c r="N57" s="449">
        <v>0</v>
      </c>
      <c r="O57" s="449">
        <v>0</v>
      </c>
      <c r="P57" s="449">
        <v>0</v>
      </c>
      <c r="Q57" s="449">
        <f t="shared" si="20"/>
        <v>0</v>
      </c>
      <c r="R57" s="449">
        <v>0</v>
      </c>
      <c r="S57" s="449">
        <v>0</v>
      </c>
      <c r="T57" s="449">
        <f t="shared" si="16"/>
        <v>0</v>
      </c>
      <c r="U57" s="449">
        <f>+K57</f>
        <v>3916.3536841955138</v>
      </c>
      <c r="V57" s="449">
        <v>0</v>
      </c>
      <c r="W57" s="480">
        <f t="shared" si="24"/>
        <v>3916.3536841955138</v>
      </c>
      <c r="Y57" s="374" t="b">
        <f t="shared" si="25"/>
        <v>1</v>
      </c>
      <c r="Z57" s="448">
        <f t="shared" si="19"/>
        <v>0</v>
      </c>
    </row>
    <row r="58" spans="1:26" s="374" customFormat="1" ht="12.75">
      <c r="A58" s="185">
        <v>43</v>
      </c>
      <c r="B58" s="447" t="s">
        <v>563</v>
      </c>
      <c r="D58" s="197" t="s">
        <v>731</v>
      </c>
      <c r="E58" s="453">
        <v>0</v>
      </c>
      <c r="F58" s="454">
        <v>0</v>
      </c>
      <c r="G58" s="455">
        <f t="shared" si="21"/>
        <v>0</v>
      </c>
      <c r="H58" s="768">
        <f>+'II-E-4.1.1'!P49</f>
        <v>35696.599999999999</v>
      </c>
      <c r="I58" s="485">
        <f t="shared" si="22"/>
        <v>35696.599999999999</v>
      </c>
      <c r="J58" s="792">
        <v>1</v>
      </c>
      <c r="K58" s="485">
        <f t="shared" si="23"/>
        <v>35696.599999999999</v>
      </c>
      <c r="L58" s="197"/>
      <c r="M58" s="195" t="s">
        <v>378</v>
      </c>
      <c r="N58" s="474">
        <v>0</v>
      </c>
      <c r="O58" s="474">
        <v>0</v>
      </c>
      <c r="P58" s="474">
        <v>0</v>
      </c>
      <c r="Q58" s="474">
        <f t="shared" si="20"/>
        <v>0</v>
      </c>
      <c r="R58" s="474">
        <f>+K58</f>
        <v>35696.599999999999</v>
      </c>
      <c r="S58" s="474">
        <v>0</v>
      </c>
      <c r="T58" s="474">
        <f t="shared" si="16"/>
        <v>35696.599999999999</v>
      </c>
      <c r="U58" s="474">
        <v>0</v>
      </c>
      <c r="V58" s="474">
        <v>0</v>
      </c>
      <c r="W58" s="480">
        <f t="shared" si="24"/>
        <v>35696.599999999999</v>
      </c>
      <c r="Y58" s="374" t="b">
        <f t="shared" si="25"/>
        <v>1</v>
      </c>
      <c r="Z58" s="448">
        <f t="shared" si="19"/>
        <v>0</v>
      </c>
    </row>
    <row r="59" spans="1:26" s="374" customFormat="1" ht="12.75">
      <c r="A59" s="145">
        <v>44</v>
      </c>
      <c r="B59" s="447" t="s">
        <v>563</v>
      </c>
      <c r="D59" s="197" t="s">
        <v>507</v>
      </c>
      <c r="E59" s="453">
        <v>3239.0799999999999</v>
      </c>
      <c r="F59" s="454">
        <v>0</v>
      </c>
      <c r="G59" s="455">
        <f t="shared" si="21"/>
        <v>3239.0799999999999</v>
      </c>
      <c r="H59" s="768">
        <f>+'II-E-4.1.1'!P50</f>
        <v>-3239.0799999999999</v>
      </c>
      <c r="I59" s="485">
        <f t="shared" si="22"/>
        <v>0</v>
      </c>
      <c r="J59" s="792">
        <v>1</v>
      </c>
      <c r="K59" s="485">
        <f t="shared" si="23"/>
        <v>0</v>
      </c>
      <c r="L59" s="197"/>
      <c r="M59" s="195"/>
      <c r="N59" s="474">
        <v>0</v>
      </c>
      <c r="O59" s="474">
        <v>0</v>
      </c>
      <c r="P59" s="474">
        <v>0</v>
      </c>
      <c r="Q59" s="474">
        <f t="shared" si="20"/>
        <v>0</v>
      </c>
      <c r="R59" s="474">
        <v>0</v>
      </c>
      <c r="S59" s="474">
        <v>0</v>
      </c>
      <c r="T59" s="474">
        <f t="shared" si="16"/>
        <v>0</v>
      </c>
      <c r="U59" s="474">
        <v>0</v>
      </c>
      <c r="V59" s="474">
        <v>0</v>
      </c>
      <c r="W59" s="480">
        <f t="shared" si="24"/>
        <v>0</v>
      </c>
      <c r="Y59" s="374" t="b">
        <f t="shared" si="25"/>
        <v>1</v>
      </c>
      <c r="Z59" s="448">
        <f t="shared" si="19"/>
        <v>0</v>
      </c>
    </row>
    <row r="60" spans="1:26" s="374" customFormat="1" ht="12.75">
      <c r="A60" s="145">
        <v>45</v>
      </c>
      <c r="B60" s="447" t="s">
        <v>563</v>
      </c>
      <c r="D60" s="197" t="s">
        <v>732</v>
      </c>
      <c r="E60" s="453">
        <v>0</v>
      </c>
      <c r="F60" s="454">
        <v>0</v>
      </c>
      <c r="G60" s="455">
        <f t="shared" si="21"/>
        <v>0</v>
      </c>
      <c r="H60" s="768">
        <f>+'II-E-4.1.1'!P51</f>
        <v>60923.199999999997</v>
      </c>
      <c r="I60" s="485">
        <f t="shared" si="22"/>
        <v>60923.199999999997</v>
      </c>
      <c r="J60" s="792">
        <v>1</v>
      </c>
      <c r="K60" s="485">
        <f t="shared" si="23"/>
        <v>60923.199999999997</v>
      </c>
      <c r="L60" s="197"/>
      <c r="M60" s="195" t="s">
        <v>378</v>
      </c>
      <c r="N60" s="474">
        <v>0</v>
      </c>
      <c r="O60" s="474">
        <v>0</v>
      </c>
      <c r="P60" s="474">
        <v>0</v>
      </c>
      <c r="Q60" s="474">
        <f t="shared" si="20"/>
        <v>0</v>
      </c>
      <c r="R60" s="474">
        <f>+K60</f>
        <v>60923.199999999997</v>
      </c>
      <c r="S60" s="474">
        <v>0</v>
      </c>
      <c r="T60" s="474">
        <f t="shared" si="16"/>
        <v>60923.199999999997</v>
      </c>
      <c r="U60" s="474">
        <v>0</v>
      </c>
      <c r="V60" s="474">
        <v>0</v>
      </c>
      <c r="W60" s="480">
        <f t="shared" si="24"/>
        <v>60923.199999999997</v>
      </c>
      <c r="Y60" s="374" t="b">
        <f t="shared" si="25"/>
        <v>1</v>
      </c>
      <c r="Z60" s="448">
        <f t="shared" si="19"/>
        <v>0</v>
      </c>
    </row>
    <row r="61" spans="1:26" s="374" customFormat="1" ht="12.75">
      <c r="A61" s="185">
        <v>46</v>
      </c>
      <c r="B61" s="447" t="s">
        <v>563</v>
      </c>
      <c r="D61" s="197" t="s">
        <v>733</v>
      </c>
      <c r="E61" s="453">
        <v>0</v>
      </c>
      <c r="F61" s="454">
        <v>0</v>
      </c>
      <c r="G61" s="455">
        <f t="shared" si="21"/>
        <v>0</v>
      </c>
      <c r="H61" s="768">
        <f>+'II-E-4.1.1'!P52</f>
        <v>33545.599999999999</v>
      </c>
      <c r="I61" s="485">
        <f t="shared" si="22"/>
        <v>33545.599999999999</v>
      </c>
      <c r="J61" s="792">
        <v>1</v>
      </c>
      <c r="K61" s="485">
        <f t="shared" si="23"/>
        <v>33545.599999999999</v>
      </c>
      <c r="L61" s="197"/>
      <c r="M61" s="195" t="s">
        <v>378</v>
      </c>
      <c r="N61" s="474">
        <v>0</v>
      </c>
      <c r="O61" s="474">
        <v>0</v>
      </c>
      <c r="P61" s="474">
        <v>0</v>
      </c>
      <c r="Q61" s="474">
        <f t="shared" si="20"/>
        <v>0</v>
      </c>
      <c r="R61" s="474">
        <f>+K61</f>
        <v>33545.599999999999</v>
      </c>
      <c r="S61" s="474">
        <v>0</v>
      </c>
      <c r="T61" s="474">
        <f t="shared" si="16"/>
        <v>33545.599999999999</v>
      </c>
      <c r="U61" s="474">
        <v>0</v>
      </c>
      <c r="V61" s="474">
        <v>0</v>
      </c>
      <c r="W61" s="480">
        <f t="shared" si="24"/>
        <v>33545.599999999999</v>
      </c>
      <c r="Y61" s="374" t="b">
        <f t="shared" si="25"/>
        <v>1</v>
      </c>
      <c r="Z61" s="448">
        <f t="shared" si="19"/>
        <v>0</v>
      </c>
    </row>
    <row r="62" spans="1:26" ht="12.75">
      <c r="A62" s="145">
        <v>47</v>
      </c>
      <c r="B62" s="447" t="s">
        <v>563</v>
      </c>
      <c r="C62" s="374"/>
      <c r="D62" s="184" t="s">
        <v>1042</v>
      </c>
      <c r="E62" s="453">
        <v>0</v>
      </c>
      <c r="F62" s="454">
        <v>0</v>
      </c>
      <c r="G62" s="455">
        <f t="shared" si="13"/>
        <v>0</v>
      </c>
      <c r="H62" s="768">
        <f>+'II-E-4.1.1'!P53</f>
        <v>43104.400000000001</v>
      </c>
      <c r="I62" s="485">
        <f t="shared" si="14"/>
        <v>43104.400000000001</v>
      </c>
      <c r="J62" s="792">
        <v>1</v>
      </c>
      <c r="K62" s="485">
        <f t="shared" si="15"/>
        <v>43104.400000000001</v>
      </c>
      <c r="L62" s="197"/>
      <c r="M62" s="195" t="s">
        <v>378</v>
      </c>
      <c r="N62" s="474">
        <v>0</v>
      </c>
      <c r="O62" s="474">
        <v>0</v>
      </c>
      <c r="P62" s="474">
        <v>0</v>
      </c>
      <c r="Q62" s="474">
        <f t="shared" si="20"/>
        <v>0</v>
      </c>
      <c r="R62" s="474">
        <f>+K62</f>
        <v>43104.400000000001</v>
      </c>
      <c r="S62" s="474">
        <v>0</v>
      </c>
      <c r="T62" s="474">
        <f t="shared" si="16"/>
        <v>43104.400000000001</v>
      </c>
      <c r="U62" s="474">
        <v>0</v>
      </c>
      <c r="V62" s="474">
        <v>0</v>
      </c>
      <c r="W62" s="478">
        <f t="shared" si="17"/>
        <v>43104.400000000001</v>
      </c>
      <c r="Y62" s="374" t="b">
        <f t="shared" si="18"/>
        <v>1</v>
      </c>
      <c r="Z62" s="448">
        <f t="shared" si="19"/>
        <v>0</v>
      </c>
    </row>
    <row r="63" spans="1:26" ht="12.75">
      <c r="A63" s="145">
        <v>48</v>
      </c>
      <c r="B63" s="447" t="s">
        <v>563</v>
      </c>
      <c r="C63" s="374"/>
      <c r="D63" s="184" t="s">
        <v>734</v>
      </c>
      <c r="E63" s="453">
        <v>0</v>
      </c>
      <c r="F63" s="454">
        <v>0</v>
      </c>
      <c r="G63" s="455">
        <f t="shared" si="13"/>
        <v>0</v>
      </c>
      <c r="H63" s="769">
        <f>+'II-E-4.1.1'!P54</f>
        <v>66957</v>
      </c>
      <c r="I63" s="485">
        <f t="shared" si="14"/>
        <v>66957</v>
      </c>
      <c r="J63" s="792">
        <v>1</v>
      </c>
      <c r="K63" s="485">
        <f t="shared" si="15"/>
        <v>66957</v>
      </c>
      <c r="L63" s="197"/>
      <c r="M63" s="195" t="s">
        <v>378</v>
      </c>
      <c r="N63" s="474">
        <v>0</v>
      </c>
      <c r="O63" s="474">
        <f>ROUND(+$K63*'[5]II-F Alloc_Factor'!F$42,2)</f>
        <v>0</v>
      </c>
      <c r="P63" s="474">
        <f>ROUND(+$K63*'[5]II-F Alloc_Factor'!G$42,2)</f>
        <v>0</v>
      </c>
      <c r="Q63" s="474">
        <f t="shared" si="20"/>
        <v>0</v>
      </c>
      <c r="R63" s="474">
        <f>+K63</f>
        <v>66957</v>
      </c>
      <c r="S63" s="474">
        <f>ROUND(+$K63*'[5]II-F Alloc_Factor'!J$42,2)</f>
        <v>0</v>
      </c>
      <c r="T63" s="474">
        <f t="shared" si="28" ref="T63">SUM(R63:S63)</f>
        <v>66957</v>
      </c>
      <c r="U63" s="474">
        <v>0</v>
      </c>
      <c r="V63" s="474">
        <v>0</v>
      </c>
      <c r="W63" s="478">
        <f t="shared" si="17"/>
        <v>66957</v>
      </c>
      <c r="Y63" s="374" t="b">
        <f t="shared" si="18"/>
        <v>1</v>
      </c>
      <c r="Z63" s="448">
        <f t="shared" si="19"/>
        <v>0</v>
      </c>
    </row>
    <row r="64" spans="1:26" ht="12.75">
      <c r="A64" s="185">
        <v>49</v>
      </c>
      <c r="B64" s="447" t="s">
        <v>563</v>
      </c>
      <c r="C64" s="374"/>
      <c r="D64" s="184" t="s">
        <v>735</v>
      </c>
      <c r="E64" s="453">
        <v>0</v>
      </c>
      <c r="F64" s="454">
        <v>0</v>
      </c>
      <c r="G64" s="455">
        <f t="shared" si="13"/>
        <v>0</v>
      </c>
      <c r="H64" s="769">
        <f>+'II-E-4.1.1'!P55</f>
        <v>125472.60000000001</v>
      </c>
      <c r="I64" s="485">
        <f t="shared" si="14"/>
        <v>125472.60000000001</v>
      </c>
      <c r="J64" s="792">
        <v>1</v>
      </c>
      <c r="K64" s="485">
        <f t="shared" si="15"/>
        <v>125472.60000000001</v>
      </c>
      <c r="L64" s="197"/>
      <c r="M64" s="195" t="s">
        <v>378</v>
      </c>
      <c r="N64" s="474">
        <v>0</v>
      </c>
      <c r="O64" s="474">
        <v>0</v>
      </c>
      <c r="P64" s="474">
        <v>0</v>
      </c>
      <c r="Q64" s="474">
        <f t="shared" si="20"/>
        <v>0</v>
      </c>
      <c r="R64" s="474">
        <f>+K64</f>
        <v>125472.60000000001</v>
      </c>
      <c r="S64" s="474">
        <v>0</v>
      </c>
      <c r="T64" s="474">
        <f t="shared" si="16"/>
        <v>125472.60000000001</v>
      </c>
      <c r="U64" s="474">
        <v>0</v>
      </c>
      <c r="V64" s="474">
        <v>0</v>
      </c>
      <c r="W64" s="478">
        <f t="shared" si="17"/>
        <v>125472.60000000001</v>
      </c>
      <c r="Y64" s="374" t="b">
        <f t="shared" si="18"/>
        <v>1</v>
      </c>
      <c r="Z64" s="448">
        <f t="shared" si="19"/>
        <v>0</v>
      </c>
    </row>
    <row r="65" spans="1:26" ht="12.75">
      <c r="A65" s="145">
        <v>50</v>
      </c>
      <c r="B65" s="447" t="s">
        <v>563</v>
      </c>
      <c r="C65" s="374"/>
      <c r="D65" s="184" t="s">
        <v>736</v>
      </c>
      <c r="E65" s="453">
        <v>166775.51999999999</v>
      </c>
      <c r="F65" s="454">
        <v>0</v>
      </c>
      <c r="G65" s="455">
        <f t="shared" si="13"/>
        <v>166775.51999999999</v>
      </c>
      <c r="H65" s="769">
        <f>+'II-E-4.1.1'!P56</f>
        <v>353793.95999999996</v>
      </c>
      <c r="I65" s="485">
        <f t="shared" si="14"/>
        <v>520569.47999999998</v>
      </c>
      <c r="J65" s="792">
        <v>1</v>
      </c>
      <c r="K65" s="485">
        <f t="shared" si="15"/>
        <v>520569.47999999998</v>
      </c>
      <c r="L65" s="197"/>
      <c r="M65" s="195" t="s">
        <v>378</v>
      </c>
      <c r="N65" s="474">
        <v>0</v>
      </c>
      <c r="O65" s="474">
        <f>ROUND(1049228/'II-E-4.1.1'!O56,2)+166775.52</f>
        <v>376621.12</v>
      </c>
      <c r="P65" s="474">
        <v>0</v>
      </c>
      <c r="Q65" s="474">
        <f t="shared" si="20"/>
        <v>376621.12</v>
      </c>
      <c r="R65" s="474">
        <v>0</v>
      </c>
      <c r="S65" s="474">
        <f>+K65-Q65</f>
        <v>143948.35999999999</v>
      </c>
      <c r="T65" s="474">
        <f t="shared" si="16"/>
        <v>143948.35999999999</v>
      </c>
      <c r="U65" s="474">
        <v>0</v>
      </c>
      <c r="V65" s="474">
        <v>0</v>
      </c>
      <c r="W65" s="478">
        <f t="shared" si="17"/>
        <v>520569.47999999998</v>
      </c>
      <c r="Y65" s="374" t="b">
        <f t="shared" si="18"/>
        <v>1</v>
      </c>
      <c r="Z65" s="448">
        <f t="shared" si="19"/>
        <v>0</v>
      </c>
    </row>
    <row r="66" spans="1:26" ht="12.75">
      <c r="A66" s="145">
        <v>51</v>
      </c>
      <c r="B66" s="447" t="s">
        <v>563</v>
      </c>
      <c r="C66" s="374"/>
      <c r="D66" s="197" t="s">
        <v>737</v>
      </c>
      <c r="E66" s="453">
        <v>0</v>
      </c>
      <c r="F66" s="454">
        <v>0</v>
      </c>
      <c r="G66" s="455">
        <f t="shared" si="13"/>
        <v>0</v>
      </c>
      <c r="H66" s="769">
        <f>+'II-E-4.1.1'!P57</f>
        <v>16328.9</v>
      </c>
      <c r="I66" s="485">
        <f t="shared" si="14"/>
        <v>16328.9</v>
      </c>
      <c r="J66" s="792">
        <v>1</v>
      </c>
      <c r="K66" s="485">
        <f t="shared" si="15"/>
        <v>16328.9</v>
      </c>
      <c r="L66" s="197"/>
      <c r="M66" s="195" t="s">
        <v>378</v>
      </c>
      <c r="N66" s="474">
        <v>0</v>
      </c>
      <c r="O66" s="474">
        <v>0</v>
      </c>
      <c r="P66" s="474">
        <v>0</v>
      </c>
      <c r="Q66" s="474">
        <f t="shared" si="20"/>
        <v>0</v>
      </c>
      <c r="R66" s="474">
        <f>+K66</f>
        <v>16328.9</v>
      </c>
      <c r="S66" s="474">
        <v>0</v>
      </c>
      <c r="T66" s="474">
        <f t="shared" si="16"/>
        <v>16328.9</v>
      </c>
      <c r="U66" s="474">
        <v>0</v>
      </c>
      <c r="V66" s="474">
        <v>0</v>
      </c>
      <c r="W66" s="478">
        <f t="shared" si="17"/>
        <v>16328.9</v>
      </c>
      <c r="Y66" s="374" t="b">
        <f t="shared" si="18"/>
        <v>1</v>
      </c>
      <c r="Z66" s="448">
        <f t="shared" si="19"/>
        <v>0</v>
      </c>
    </row>
    <row r="67" spans="1:26" ht="12.75">
      <c r="A67" s="185">
        <v>52</v>
      </c>
      <c r="B67" s="451" t="s">
        <v>563</v>
      </c>
      <c r="C67" s="374"/>
      <c r="D67" s="197" t="s">
        <v>738</v>
      </c>
      <c r="E67" s="450">
        <v>0</v>
      </c>
      <c r="F67" s="454">
        <v>0</v>
      </c>
      <c r="G67" s="455">
        <f t="shared" si="13"/>
        <v>0</v>
      </c>
      <c r="H67" s="770">
        <f>+'II-E-4.1.1'!P58</f>
        <v>473660.65999999997</v>
      </c>
      <c r="I67" s="485">
        <f t="shared" si="14"/>
        <v>473660.65999999997</v>
      </c>
      <c r="J67" s="792">
        <v>1</v>
      </c>
      <c r="K67" s="485">
        <f t="shared" si="15"/>
        <v>473660.65999999997</v>
      </c>
      <c r="L67" s="197"/>
      <c r="M67" s="195" t="s">
        <v>378</v>
      </c>
      <c r="N67" s="474">
        <v>0</v>
      </c>
      <c r="O67" s="474">
        <v>0</v>
      </c>
      <c r="P67" s="474">
        <v>0</v>
      </c>
      <c r="Q67" s="474">
        <f t="shared" si="20"/>
        <v>0</v>
      </c>
      <c r="R67" s="474">
        <f>+K67</f>
        <v>473660.65999999997</v>
      </c>
      <c r="S67" s="474">
        <f>ROUND(+$K67*'[5]II-F Alloc_Factor'!J$42,2)</f>
        <v>0</v>
      </c>
      <c r="T67" s="474">
        <f t="shared" si="16"/>
        <v>473660.65999999997</v>
      </c>
      <c r="U67" s="474">
        <v>0</v>
      </c>
      <c r="V67" s="474">
        <v>0</v>
      </c>
      <c r="W67" s="478">
        <f t="shared" si="17"/>
        <v>473660.65999999997</v>
      </c>
      <c r="Y67" s="374" t="b">
        <f t="shared" si="18"/>
        <v>1</v>
      </c>
      <c r="Z67" s="448">
        <f t="shared" si="19"/>
        <v>0</v>
      </c>
    </row>
    <row r="68" spans="1:26" ht="12.75">
      <c r="A68" s="145">
        <v>53</v>
      </c>
      <c r="B68" s="451" t="s">
        <v>563</v>
      </c>
      <c r="C68" s="374"/>
      <c r="D68" s="197" t="s">
        <v>739</v>
      </c>
      <c r="E68" s="450">
        <v>0</v>
      </c>
      <c r="F68" s="454">
        <v>0</v>
      </c>
      <c r="G68" s="455">
        <f t="shared" si="13"/>
        <v>0</v>
      </c>
      <c r="H68" s="770">
        <f>+'II-E-4.1.1'!P63</f>
        <v>117234.53999999999</v>
      </c>
      <c r="I68" s="485">
        <f t="shared" si="14"/>
        <v>117234.53999999999</v>
      </c>
      <c r="J68" s="792">
        <v>1</v>
      </c>
      <c r="K68" s="485">
        <f t="shared" si="15"/>
        <v>117234.53999999999</v>
      </c>
      <c r="L68" s="197"/>
      <c r="M68" s="195" t="s">
        <v>378</v>
      </c>
      <c r="N68" s="474">
        <v>0</v>
      </c>
      <c r="O68" s="474">
        <f>ROUND(+$K68*'[5]II-F Alloc_Factor'!F$42,2)</f>
        <v>0</v>
      </c>
      <c r="P68" s="474">
        <f>ROUND(+$K68*'[5]II-F Alloc_Factor'!G$42,2)</f>
        <v>0</v>
      </c>
      <c r="Q68" s="474">
        <f t="shared" si="29" ref="Q68">SUM(N68:P68)</f>
        <v>0</v>
      </c>
      <c r="R68" s="474">
        <f>+K68</f>
        <v>117234.53999999999</v>
      </c>
      <c r="S68" s="474">
        <f>ROUND(+$K68*'[5]II-F Alloc_Factor'!J$42,2)</f>
        <v>0</v>
      </c>
      <c r="T68" s="474">
        <f t="shared" si="30" ref="T68">SUM(R68:S68)</f>
        <v>117234.53999999999</v>
      </c>
      <c r="U68" s="474">
        <v>0</v>
      </c>
      <c r="V68" s="474">
        <v>0</v>
      </c>
      <c r="W68" s="478">
        <f t="shared" si="17"/>
        <v>117234.53999999999</v>
      </c>
      <c r="Y68" s="374" t="b">
        <f t="shared" si="18"/>
        <v>1</v>
      </c>
      <c r="Z68" s="448">
        <f t="shared" si="19"/>
        <v>0</v>
      </c>
    </row>
    <row r="69" spans="1:26" ht="12.75">
      <c r="A69" s="145">
        <v>54</v>
      </c>
      <c r="B69" s="451" t="s">
        <v>563</v>
      </c>
      <c r="C69" s="374"/>
      <c r="D69" s="197" t="s">
        <v>740</v>
      </c>
      <c r="E69" s="450">
        <v>0</v>
      </c>
      <c r="F69" s="454">
        <v>0</v>
      </c>
      <c r="G69" s="455">
        <f t="shared" si="13"/>
        <v>0</v>
      </c>
      <c r="H69" s="770">
        <f>+'II-E-4.1.1'!P64</f>
        <v>-50835.650000000001</v>
      </c>
      <c r="I69" s="485">
        <f t="shared" si="14"/>
        <v>-50835.650000000001</v>
      </c>
      <c r="J69" s="792">
        <v>1</v>
      </c>
      <c r="K69" s="485">
        <f t="shared" si="15"/>
        <v>-50835.650000000001</v>
      </c>
      <c r="L69" s="197"/>
      <c r="M69" s="195" t="s">
        <v>378</v>
      </c>
      <c r="N69" s="474">
        <v>0</v>
      </c>
      <c r="O69" s="474">
        <f>ROUND(+$K69*'[5]II-F Alloc_Factor'!F$42,2)</f>
        <v>0</v>
      </c>
      <c r="P69" s="474">
        <f>ROUND(+$K69*'[5]II-F Alloc_Factor'!G$42,2)</f>
        <v>0</v>
      </c>
      <c r="Q69" s="474">
        <f t="shared" si="31" ref="Q69:Q70">SUM(N69:P69)</f>
        <v>0</v>
      </c>
      <c r="R69" s="474">
        <f>+K69</f>
        <v>-50835.650000000001</v>
      </c>
      <c r="S69" s="474">
        <f>ROUND(+$K69*'[5]II-F Alloc_Factor'!J$42,2)</f>
        <v>0</v>
      </c>
      <c r="T69" s="474">
        <f t="shared" si="32" ref="T69:T70">SUM(R69:S69)</f>
        <v>-50835.650000000001</v>
      </c>
      <c r="U69" s="474">
        <v>0</v>
      </c>
      <c r="V69" s="474">
        <v>0</v>
      </c>
      <c r="W69" s="478">
        <f t="shared" si="17"/>
        <v>-50835.650000000001</v>
      </c>
      <c r="Y69" s="374" t="b">
        <f t="shared" si="18"/>
        <v>1</v>
      </c>
      <c r="Z69" s="448">
        <f t="shared" si="19"/>
        <v>0</v>
      </c>
    </row>
    <row r="70" spans="1:25" ht="12.75">
      <c r="A70" s="185">
        <v>55</v>
      </c>
      <c r="B70" s="451" t="s">
        <v>563</v>
      </c>
      <c r="D70" s="184" t="s">
        <v>741</v>
      </c>
      <c r="E70" s="450">
        <v>0</v>
      </c>
      <c r="F70" s="454">
        <v>0</v>
      </c>
      <c r="G70" s="455">
        <f t="shared" si="33" ref="G70">+E70+F70</f>
        <v>0</v>
      </c>
      <c r="H70" s="770">
        <f>+'II-E-4.1.1'!P65</f>
        <v>1340000</v>
      </c>
      <c r="I70" s="485">
        <f t="shared" si="14"/>
        <v>1340000</v>
      </c>
      <c r="J70" s="792">
        <v>1</v>
      </c>
      <c r="K70" s="485">
        <f t="shared" si="15"/>
        <v>1340000</v>
      </c>
      <c r="L70" s="197"/>
      <c r="M70" s="195" t="s">
        <v>378</v>
      </c>
      <c r="N70" s="474">
        <v>0</v>
      </c>
      <c r="O70" s="474">
        <f>ROUND(+$K70*'[5]II-F Alloc_Factor'!F$42,2)</f>
        <v>0</v>
      </c>
      <c r="P70" s="474">
        <f>ROUND(+$K70*'[5]II-F Alloc_Factor'!G$42,2)</f>
        <v>0</v>
      </c>
      <c r="Q70" s="474">
        <f t="shared" si="31"/>
        <v>0</v>
      </c>
      <c r="R70" s="474">
        <f>+K70</f>
        <v>1340000</v>
      </c>
      <c r="S70" s="474">
        <f>ROUND(+$K70*'[5]II-F Alloc_Factor'!J$42,2)</f>
        <v>0</v>
      </c>
      <c r="T70" s="474">
        <f t="shared" si="32"/>
        <v>1340000</v>
      </c>
      <c r="U70" s="474">
        <v>0</v>
      </c>
      <c r="V70" s="474">
        <v>0</v>
      </c>
      <c r="W70" s="478">
        <f t="shared" si="17"/>
        <v>1340000</v>
      </c>
      <c r="Y70" s="374" t="b">
        <f>+K70=W70</f>
        <v>1</v>
      </c>
    </row>
    <row r="71" spans="1:23" ht="13.5" thickBot="1">
      <c r="A71" s="145">
        <v>56</v>
      </c>
      <c r="E71" s="460">
        <f>SUM(E39:E70)</f>
        <v>78749226.040000007</v>
      </c>
      <c r="F71" s="460">
        <f>SUM(F39:F70)</f>
        <v>0</v>
      </c>
      <c r="G71" s="460">
        <f>SUM(G39:G70)</f>
        <v>78749226.040000007</v>
      </c>
      <c r="H71" s="765">
        <f>SUM(H39:H70)</f>
        <v>94045068.225684226</v>
      </c>
      <c r="I71" s="460">
        <f>SUM(I39:I70)</f>
        <v>172794294.26568413</v>
      </c>
      <c r="K71" s="765">
        <f>SUM(K39:K70)</f>
        <v>172794294.26568413</v>
      </c>
      <c r="N71" s="460">
        <f>SUM(N39:N70)</f>
        <v>11807849.090000002</v>
      </c>
      <c r="O71" s="460">
        <f t="shared" si="34" ref="O71:W71">SUM(O39:O70)</f>
        <v>1218564.6200000001</v>
      </c>
      <c r="P71" s="460">
        <f t="shared" si="34"/>
        <v>0</v>
      </c>
      <c r="Q71" s="460">
        <f t="shared" si="34"/>
        <v>13026413.710000001</v>
      </c>
      <c r="R71" s="460">
        <f t="shared" si="34"/>
        <v>152194097.34999996</v>
      </c>
      <c r="S71" s="460">
        <f t="shared" si="34"/>
        <v>143948.35999999999</v>
      </c>
      <c r="T71" s="460">
        <f t="shared" si="34"/>
        <v>152338045.70999998</v>
      </c>
      <c r="U71" s="460">
        <f t="shared" si="34"/>
        <v>4158284.5176841961</v>
      </c>
      <c r="V71" s="460">
        <f t="shared" si="34"/>
        <v>3271550.3280000044</v>
      </c>
      <c r="W71" s="460">
        <f t="shared" si="34"/>
        <v>172794294.26568413</v>
      </c>
    </row>
    <row r="72" spans="1:8" ht="13.5" thickTop="1">
      <c r="A72" s="145">
        <v>57</v>
      </c>
      <c r="H72" s="184"/>
    </row>
    <row r="73" spans="1:8" ht="12.75">
      <c r="A73" s="185">
        <v>58</v>
      </c>
      <c r="D73" s="352" t="s">
        <v>966</v>
      </c>
      <c r="E73" s="374"/>
      <c r="F73" s="374"/>
      <c r="G73" s="374"/>
      <c r="H73" s="184"/>
    </row>
    <row r="74" spans="1:8" ht="12.75">
      <c r="A74" s="145">
        <v>59</v>
      </c>
      <c r="D74" s="374" t="s">
        <v>1043</v>
      </c>
      <c r="E74" s="374"/>
      <c r="F74" s="374"/>
      <c r="G74" s="374"/>
      <c r="H74" s="374"/>
    </row>
    <row r="75" spans="1:8" ht="12.75">
      <c r="A75" s="145">
        <v>60</v>
      </c>
      <c r="D75" s="526" t="s">
        <v>559</v>
      </c>
      <c r="E75" s="457">
        <v>-30673.619999999999</v>
      </c>
      <c r="F75" s="374"/>
      <c r="G75" s="374"/>
      <c r="H75" s="374"/>
    </row>
    <row r="76" spans="1:8" ht="12.75">
      <c r="A76" s="185">
        <v>61</v>
      </c>
      <c r="D76" s="526" t="s">
        <v>1044</v>
      </c>
      <c r="E76" s="457">
        <v>78749226.040000021</v>
      </c>
      <c r="F76" s="374"/>
      <c r="G76" s="374"/>
      <c r="H76" s="374"/>
    </row>
  </sheetData>
  <sortState ref="B30:K49">
    <sortCondition sortBy="value" ref="B30:B49"/>
    <sortCondition sortBy="value" ref="D30:D49"/>
  </sortState>
  <printOptions horizontalCentered="1"/>
  <pageMargins left="0.1" right="0.1" top="2" bottom="0.2" header="1" footer="0.5"/>
  <pageSetup fitToWidth="2" orientation="landscape" scale="39" r:id="rId1"/>
  <headerFooter alignWithMargins="0">
    <oddHeader>&amp;C&amp;B
2022 RATE CASE
ONCOR ELECTRIC DELIVERY COMPANY LLC
II-E-4.1  DEFERRED EXPENSES FROM PRIOR DOCKETS
TEST YEAR ENDING DECEMBER 31, 2021
SPONSOR: W. ALAN LEDBETTER&amp;R&amp;"Arial,Bold"Schedule &amp;A
Page &amp;P of &amp;N</oddHeader>
  </headerFooter>
  <rowBreaks count="1" manualBreakCount="1">
    <brk id="36" max="22" man="1"/>
  </rowBreaks>
  <colBreaks count="1" manualBreakCount="1">
    <brk id="12" min="10" max="75" man="1"/>
  </colBreak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
    <tabColor rgb="FF00B050"/>
  </sheetPr>
  <dimension ref="A1:S113"/>
  <sheetViews>
    <sheetView zoomScale="85" zoomScaleNormal="85" workbookViewId="0" topLeftCell="A1">
      <pane xSplit="3" ySplit="11" topLeftCell="K12" activePane="bottomRight" state="frozen"/>
      <selection pane="topLeft" activeCell="A1" sqref="A1"/>
      <selection pane="bottomLeft" activeCell="A12" sqref="A12"/>
      <selection pane="topRight" activeCell="D1" sqref="D1"/>
      <selection pane="bottomRight" activeCell="D12" sqref="D12"/>
    </sheetView>
  </sheetViews>
  <sheetFormatPr defaultRowHeight="12.75"/>
  <cols>
    <col min="1" max="1" width="7.42857142857143" customWidth="1"/>
    <col min="2" max="2" width="15.7142857142857" customWidth="1"/>
    <col min="3" max="3" width="93.1428571428571" customWidth="1"/>
    <col min="4" max="4" width="42.4285714285714" bestFit="1" customWidth="1"/>
    <col min="5" max="5" width="25.2857142857143" customWidth="1"/>
    <col min="6" max="6" width="61" bestFit="1" customWidth="1"/>
    <col min="7" max="7" width="23.2857142857143" bestFit="1" customWidth="1"/>
    <col min="8" max="8" width="28.7142857142857" bestFit="1" customWidth="1"/>
    <col min="9" max="9" width="25.5714285714286" bestFit="1" customWidth="1"/>
    <col min="10" max="10" width="19.1428571428571" customWidth="1"/>
    <col min="11" max="12" width="15.7142857142857" customWidth="1"/>
    <col min="13" max="13" width="28.4285714285714" bestFit="1" customWidth="1"/>
    <col min="14" max="14" width="41.2857142857143" bestFit="1" customWidth="1"/>
    <col min="15" max="17" width="15.7142857142857" style="184" customWidth="1"/>
    <col min="18" max="18" width="15.7142857142857" customWidth="1"/>
    <col min="19" max="19" width="18.2857142857143" bestFit="1" customWidth="1"/>
  </cols>
  <sheetData>
    <row r="1" spans="1:17" s="374" customFormat="1" ht="12.75">
      <c r="A1" s="31" t="str">
        <f>+'[3]Input Data'!$A$9</f>
        <v>2022 RATE CASE</v>
      </c>
      <c r="O1" s="184"/>
      <c r="P1" s="184"/>
      <c r="Q1" s="184"/>
    </row>
    <row r="2" spans="1:17" s="374" customFormat="1" ht="12.75">
      <c r="A2" s="34" t="str">
        <f>+'[3]Input Data'!$A$2</f>
        <v>ONCOR ELECTRIC DELIVERY COMPANY LLC</v>
      </c>
      <c r="O2" s="184"/>
      <c r="P2" s="184"/>
      <c r="Q2" s="184"/>
    </row>
    <row r="3" spans="1:17" s="374" customFormat="1" ht="12.75">
      <c r="A3" s="192" t="str">
        <f>CONCATENATE('[3]Schedule Sponsors'!$A$111,'[3]Schedule Sponsors'!$B$111)</f>
        <v>II-E-4.1  DEFERRED EXPENSES FROM PRIOR DOCKETS</v>
      </c>
      <c r="O3" s="184"/>
      <c r="P3" s="184"/>
      <c r="Q3" s="184"/>
    </row>
    <row r="4" spans="1:17" s="374" customFormat="1" ht="12.75">
      <c r="A4" s="92" t="str">
        <f>+'[3]Input Data'!$A$4</f>
        <v>TEST YEAR ENDING DECEMBER 31, 2021</v>
      </c>
      <c r="O4" s="184"/>
      <c r="P4" s="184"/>
      <c r="Q4" s="184"/>
    </row>
    <row r="5" spans="1:17" s="374" customFormat="1" ht="12.75">
      <c r="A5" s="33" t="str">
        <f>CONCATENATE("SPONSOR: ",'[3]Schedule Sponsors'!$D$111)</f>
        <v>SPONSOR: W. ALAN LEDBETTER</v>
      </c>
      <c r="O5" s="184"/>
      <c r="P5" s="184"/>
      <c r="Q5" s="184"/>
    </row>
    <row r="9" ht="13.5" thickBot="1"/>
    <row r="10" spans="1:19" s="459" customFormat="1" ht="65.25" thickTop="1" thickBot="1">
      <c r="A10" s="462" t="s">
        <v>592</v>
      </c>
      <c r="B10" s="462" t="s">
        <v>595</v>
      </c>
      <c r="C10" s="462" t="s">
        <v>69</v>
      </c>
      <c r="D10" s="462" t="s">
        <v>596</v>
      </c>
      <c r="E10" s="462" t="s">
        <v>605</v>
      </c>
      <c r="F10" s="462" t="s">
        <v>606</v>
      </c>
      <c r="G10" s="462" t="s">
        <v>971</v>
      </c>
      <c r="H10" s="462" t="s">
        <v>567</v>
      </c>
      <c r="I10" s="462" t="s">
        <v>597</v>
      </c>
      <c r="J10" s="462" t="s">
        <v>598</v>
      </c>
      <c r="K10" s="462" t="s">
        <v>599</v>
      </c>
      <c r="L10" s="462" t="s">
        <v>600</v>
      </c>
      <c r="M10" s="462" t="s">
        <v>609</v>
      </c>
      <c r="N10" s="462" t="s">
        <v>601</v>
      </c>
      <c r="O10" s="720" t="s">
        <v>608</v>
      </c>
      <c r="P10" s="720" t="s">
        <v>602</v>
      </c>
      <c r="Q10" s="720" t="s">
        <v>607</v>
      </c>
      <c r="R10" s="462" t="s">
        <v>603</v>
      </c>
      <c r="S10" s="462" t="s">
        <v>568</v>
      </c>
    </row>
    <row r="11" spans="1:19" s="459" customFormat="1" ht="13.5" thickTop="1">
      <c r="A11" s="461"/>
      <c r="B11" s="461" t="s">
        <v>237</v>
      </c>
      <c r="C11" s="461" t="s">
        <v>238</v>
      </c>
      <c r="D11" s="461" t="s">
        <v>239</v>
      </c>
      <c r="E11" s="461" t="s">
        <v>240</v>
      </c>
      <c r="F11" s="461" t="s">
        <v>241</v>
      </c>
      <c r="G11" s="461" t="s">
        <v>242</v>
      </c>
      <c r="H11" s="461" t="s">
        <v>243</v>
      </c>
      <c r="I11" s="461" t="s">
        <v>244</v>
      </c>
      <c r="J11" s="461" t="s">
        <v>245</v>
      </c>
      <c r="K11" s="461" t="s">
        <v>246</v>
      </c>
      <c r="L11" s="461" t="s">
        <v>247</v>
      </c>
      <c r="M11" s="461" t="s">
        <v>248</v>
      </c>
      <c r="N11" s="461" t="s">
        <v>249</v>
      </c>
      <c r="O11" s="336" t="s">
        <v>250</v>
      </c>
      <c r="P11" s="336" t="s">
        <v>251</v>
      </c>
      <c r="Q11" s="336" t="s">
        <v>148</v>
      </c>
      <c r="R11" s="461" t="s">
        <v>281</v>
      </c>
      <c r="S11" s="461" t="s">
        <v>292</v>
      </c>
    </row>
    <row r="13" spans="1:3" s="184" customFormat="1" ht="12.75">
      <c r="A13" s="185">
        <v>1</v>
      </c>
      <c r="C13" s="772" t="s">
        <v>610</v>
      </c>
    </row>
    <row r="14" spans="1:19" s="184" customFormat="1" ht="12.75">
      <c r="A14" s="185">
        <v>2</v>
      </c>
      <c r="B14" s="197" t="s">
        <v>559</v>
      </c>
      <c r="C14" s="197" t="s">
        <v>501</v>
      </c>
      <c r="D14" s="771" t="s">
        <v>1048</v>
      </c>
      <c r="E14" s="525">
        <v>997299.29000000004</v>
      </c>
      <c r="F14" s="184" t="s">
        <v>569</v>
      </c>
      <c r="G14" s="793">
        <v>14.761132207620438</v>
      </c>
      <c r="H14" s="184" t="s">
        <v>745</v>
      </c>
      <c r="I14" s="525">
        <f t="shared" si="0" ref="I14:I17">+E14-L14-J14</f>
        <v>209069.19</v>
      </c>
      <c r="J14" s="525">
        <v>67562.580000000002</v>
      </c>
      <c r="K14" s="525">
        <f>+J14</f>
        <v>67562.580000000002</v>
      </c>
      <c r="L14" s="525">
        <v>720667.52000000002</v>
      </c>
      <c r="M14" s="718">
        <v>10.666666666666691</v>
      </c>
      <c r="N14" s="718" t="s">
        <v>1080</v>
      </c>
      <c r="O14" s="718">
        <v>14.800000000000001</v>
      </c>
      <c r="P14" s="525">
        <v>0</v>
      </c>
      <c r="Q14" s="526"/>
      <c r="R14" s="718" t="s">
        <v>231</v>
      </c>
      <c r="S14" s="718" t="s">
        <v>572</v>
      </c>
    </row>
    <row r="15" spans="1:19" s="184" customFormat="1" ht="12.75">
      <c r="A15" s="185">
        <v>3</v>
      </c>
      <c r="B15" s="197" t="s">
        <v>559</v>
      </c>
      <c r="C15" s="184" t="s">
        <v>969</v>
      </c>
      <c r="D15" s="771" t="s">
        <v>742</v>
      </c>
      <c r="E15" s="457">
        <v>-2848484.6099999999</v>
      </c>
      <c r="F15" s="184" t="s">
        <v>970</v>
      </c>
      <c r="G15" s="793">
        <v>28.996282531286834</v>
      </c>
      <c r="H15" s="184" t="s">
        <v>746</v>
      </c>
      <c r="I15" s="457">
        <f t="shared" si="0"/>
        <v>-483987.86999999982</v>
      </c>
      <c r="J15" s="457">
        <v>-98236.199999999997</v>
      </c>
      <c r="K15" s="457">
        <f>+J15</f>
        <v>-98236.199999999997</v>
      </c>
      <c r="L15" s="457">
        <v>-2266260.54</v>
      </c>
      <c r="M15" s="718">
        <v>23.069505335100452</v>
      </c>
      <c r="N15" s="718" t="s">
        <v>1081</v>
      </c>
      <c r="O15" s="718">
        <v>29</v>
      </c>
      <c r="P15" s="457">
        <v>0</v>
      </c>
      <c r="Q15" s="526"/>
      <c r="R15" s="718" t="s">
        <v>231</v>
      </c>
      <c r="S15" s="718" t="s">
        <v>572</v>
      </c>
    </row>
    <row r="16" spans="1:19" s="184" customFormat="1" ht="12.75">
      <c r="A16" s="185">
        <v>4</v>
      </c>
      <c r="B16" s="197" t="s">
        <v>559</v>
      </c>
      <c r="C16" s="184" t="s">
        <v>717</v>
      </c>
      <c r="D16" s="197" t="s">
        <v>743</v>
      </c>
      <c r="E16" s="457">
        <v>29336384</v>
      </c>
      <c r="F16" s="184" t="s">
        <v>747</v>
      </c>
      <c r="G16" s="793">
        <v>30</v>
      </c>
      <c r="H16" s="184" t="s">
        <v>748</v>
      </c>
      <c r="I16" s="457">
        <f t="shared" si="0"/>
        <v>4905837.2600000016</v>
      </c>
      <c r="J16" s="457">
        <v>0</v>
      </c>
      <c r="K16" s="457">
        <f>+'[6]II-B-11'!$K$19/O16</f>
        <v>850967.61030478962</v>
      </c>
      <c r="L16" s="457">
        <v>24430546.739999998</v>
      </c>
      <c r="M16" s="718">
        <v>27.559999999999999</v>
      </c>
      <c r="N16" s="718" t="s">
        <v>752</v>
      </c>
      <c r="O16" s="718">
        <v>27.559999999999999</v>
      </c>
      <c r="P16" s="457">
        <f>+K16-J16</f>
        <v>850967.61030478962</v>
      </c>
      <c r="R16" s="718" t="s">
        <v>231</v>
      </c>
      <c r="S16" s="718" t="s">
        <v>572</v>
      </c>
    </row>
    <row r="17" spans="1:19" s="184" customFormat="1" ht="12.75">
      <c r="A17" s="185">
        <v>5</v>
      </c>
      <c r="B17" s="197" t="s">
        <v>718</v>
      </c>
      <c r="C17" s="184" t="s">
        <v>1037</v>
      </c>
      <c r="D17" s="197" t="s">
        <v>744</v>
      </c>
      <c r="E17" s="457">
        <v>211141130</v>
      </c>
      <c r="F17" s="184" t="s">
        <v>749</v>
      </c>
      <c r="G17" s="793">
        <v>10</v>
      </c>
      <c r="H17" s="184" t="s">
        <v>750</v>
      </c>
      <c r="I17" s="457">
        <f t="shared" si="0"/>
        <v>83841339.219999999</v>
      </c>
      <c r="J17" s="457">
        <v>0</v>
      </c>
      <c r="K17" s="457">
        <f>ROUND(+L17/O17,2)</f>
        <v>25459958.16</v>
      </c>
      <c r="L17" s="457">
        <f>+D92</f>
        <v>127299790.78</v>
      </c>
      <c r="M17" s="718">
        <v>6.217111500830276</v>
      </c>
      <c r="N17" s="827" t="str">
        <f>CONCATENATE("Pending approval in this docket for ",O30,"-year amo")</f>
        <v>Pending approval in this docket for 5-year amo</v>
      </c>
      <c r="O17" s="718">
        <v>5</v>
      </c>
      <c r="P17" s="457">
        <f>+K17-J17</f>
        <v>25459958.16</v>
      </c>
      <c r="Q17" s="526" t="s">
        <v>1077</v>
      </c>
      <c r="R17" s="718" t="s">
        <v>231</v>
      </c>
      <c r="S17" s="718" t="s">
        <v>573</v>
      </c>
    </row>
    <row r="18" spans="1:19" s="184" customFormat="1" ht="12.75">
      <c r="A18" s="185">
        <v>6</v>
      </c>
      <c r="B18" s="197" t="s">
        <v>718</v>
      </c>
      <c r="C18" s="184" t="s">
        <v>719</v>
      </c>
      <c r="D18" s="197" t="s">
        <v>1049</v>
      </c>
      <c r="E18" s="457">
        <v>1518897.72</v>
      </c>
      <c r="F18" s="184" t="s">
        <v>751</v>
      </c>
      <c r="G18" s="526" t="s">
        <v>570</v>
      </c>
      <c r="H18" s="184" t="s">
        <v>570</v>
      </c>
      <c r="I18" s="457"/>
      <c r="J18" s="457"/>
      <c r="K18" s="457">
        <f>ROUND(+L18/O18,2)</f>
        <v>303779.53999999998</v>
      </c>
      <c r="L18" s="457">
        <f>+E18</f>
        <v>1518897.72</v>
      </c>
      <c r="M18" s="718" t="s">
        <v>571</v>
      </c>
      <c r="N18" s="718" t="s">
        <v>571</v>
      </c>
      <c r="O18" s="718">
        <v>5</v>
      </c>
      <c r="P18" s="457">
        <f>+K18-J18</f>
        <v>303779.53999999998</v>
      </c>
      <c r="Q18" s="526"/>
      <c r="R18" s="718" t="s">
        <v>231</v>
      </c>
      <c r="S18" s="718" t="s">
        <v>573</v>
      </c>
    </row>
    <row r="19" spans="1:19" s="184" customFormat="1" ht="12.75">
      <c r="A19" s="185">
        <v>7</v>
      </c>
      <c r="B19" s="197" t="s">
        <v>718</v>
      </c>
      <c r="C19" s="184" t="s">
        <v>1038</v>
      </c>
      <c r="D19" s="771" t="s">
        <v>1050</v>
      </c>
      <c r="E19" s="457">
        <v>-13536942.92</v>
      </c>
      <c r="F19" s="184" t="s">
        <v>1079</v>
      </c>
      <c r="G19" s="794" t="s">
        <v>570</v>
      </c>
      <c r="H19" s="184" t="s">
        <v>570</v>
      </c>
      <c r="I19" s="457">
        <v>0</v>
      </c>
      <c r="J19" s="457">
        <v>0</v>
      </c>
      <c r="K19" s="457">
        <f>ROUND(+L19/O19,2)</f>
        <v>-2707388.5800000001</v>
      </c>
      <c r="L19" s="457">
        <f>+E19</f>
        <v>-13536942.92</v>
      </c>
      <c r="M19" s="718" t="s">
        <v>571</v>
      </c>
      <c r="N19" s="718" t="s">
        <v>571</v>
      </c>
      <c r="O19" s="718">
        <v>5</v>
      </c>
      <c r="P19" s="457">
        <f>+K19-J19</f>
        <v>-2707388.5800000001</v>
      </c>
      <c r="Q19" s="526" t="s">
        <v>1078</v>
      </c>
      <c r="R19" s="718" t="s">
        <v>231</v>
      </c>
      <c r="S19" s="718" t="s">
        <v>573</v>
      </c>
    </row>
    <row r="20" spans="1:17" s="184" customFormat="1" ht="13.5" thickBot="1">
      <c r="A20" s="185">
        <v>8</v>
      </c>
      <c r="C20" s="199" t="s">
        <v>575</v>
      </c>
      <c r="E20" s="721">
        <f>SUM(E14:E19)</f>
        <v>226608283.48000002</v>
      </c>
      <c r="G20" s="526"/>
      <c r="I20" s="721">
        <f>SUM(I14:I19)</f>
        <v>88472257.799999997</v>
      </c>
      <c r="J20" s="721">
        <f>SUM(J14:J19)</f>
        <v>-30673.619999999995</v>
      </c>
      <c r="K20" s="721">
        <f>SUM(K14:K19)</f>
        <v>23876643.110304788</v>
      </c>
      <c r="L20" s="721">
        <f>SUM(L14:L19)</f>
        <v>138166699.30000001</v>
      </c>
      <c r="P20" s="721">
        <f>SUM(P14:P19)</f>
        <v>23907316.730304793</v>
      </c>
      <c r="Q20" s="526"/>
    </row>
    <row r="21" spans="1:17" s="184" customFormat="1" ht="13.5" thickTop="1">
      <c r="A21" s="185">
        <v>9</v>
      </c>
      <c r="E21" s="457"/>
      <c r="G21" s="526"/>
      <c r="I21" s="457"/>
      <c r="J21" s="457"/>
      <c r="K21" s="457"/>
      <c r="L21" s="457"/>
      <c r="P21" s="457"/>
      <c r="Q21" s="526"/>
    </row>
    <row r="22" spans="1:17" s="184" customFormat="1" ht="12.75">
      <c r="A22" s="185">
        <v>10</v>
      </c>
      <c r="E22" s="457"/>
      <c r="G22" s="526"/>
      <c r="I22" s="457"/>
      <c r="J22" s="457"/>
      <c r="K22" s="457"/>
      <c r="L22" s="457"/>
      <c r="P22" s="457"/>
      <c r="Q22" s="526"/>
    </row>
    <row r="23" spans="1:17" s="184" customFormat="1" ht="12.75">
      <c r="A23" s="185">
        <v>11</v>
      </c>
      <c r="C23" s="772" t="s">
        <v>1125</v>
      </c>
      <c r="E23" s="457"/>
      <c r="G23" s="526"/>
      <c r="I23" s="457"/>
      <c r="J23" s="457"/>
      <c r="K23" s="457"/>
      <c r="L23" s="457"/>
      <c r="P23" s="457"/>
      <c r="Q23" s="526"/>
    </row>
    <row r="24" spans="1:19" s="184" customFormat="1" ht="12.75">
      <c r="A24" s="185">
        <v>12</v>
      </c>
      <c r="B24" s="197" t="s">
        <v>1124</v>
      </c>
      <c r="C24" s="197" t="s">
        <v>1046</v>
      </c>
      <c r="D24" s="197" t="s">
        <v>1047</v>
      </c>
      <c r="E24" s="457">
        <v>3146147.48</v>
      </c>
      <c r="F24" s="795" t="s">
        <v>1127</v>
      </c>
      <c r="G24" s="526">
        <v>7</v>
      </c>
      <c r="H24" s="771" t="s">
        <v>1128</v>
      </c>
      <c r="I24" s="457">
        <v>0</v>
      </c>
      <c r="J24" s="457">
        <v>0</v>
      </c>
      <c r="K24" s="457">
        <f>+P24</f>
        <v>449449.64000000001</v>
      </c>
      <c r="L24" s="457">
        <f>+E24</f>
        <v>3146147.48</v>
      </c>
      <c r="M24" s="184">
        <v>7</v>
      </c>
      <c r="N24" s="771" t="s">
        <v>1129</v>
      </c>
      <c r="O24" s="184">
        <v>7</v>
      </c>
      <c r="P24" s="457">
        <f>ROUND(+L24/O24,2)</f>
        <v>449449.64000000001</v>
      </c>
      <c r="Q24" s="526">
        <v>32</v>
      </c>
      <c r="R24" s="184" t="s">
        <v>583</v>
      </c>
      <c r="S24" s="197" t="s">
        <v>1130</v>
      </c>
    </row>
    <row r="25" spans="1:17" s="184" customFormat="1" ht="12.75">
      <c r="A25" s="185">
        <v>13</v>
      </c>
      <c r="E25" s="457"/>
      <c r="G25" s="526"/>
      <c r="I25" s="457"/>
      <c r="J25" s="457"/>
      <c r="K25" s="457"/>
      <c r="L25" s="457"/>
      <c r="P25" s="457"/>
      <c r="Q25" s="526"/>
    </row>
    <row r="26" spans="1:17" s="184" customFormat="1" ht="13.5" thickBot="1">
      <c r="A26" s="185">
        <v>14</v>
      </c>
      <c r="C26" s="199" t="s">
        <v>1126</v>
      </c>
      <c r="E26" s="721">
        <f>SUM(E24:E25)</f>
        <v>3146147.48</v>
      </c>
      <c r="G26" s="526"/>
      <c r="I26" s="721">
        <f t="shared" si="1" ref="I26:L26">SUM(I24:I25)</f>
        <v>0</v>
      </c>
      <c r="J26" s="721">
        <f t="shared" si="1"/>
        <v>0</v>
      </c>
      <c r="K26" s="721">
        <f t="shared" si="1"/>
        <v>449449.64000000001</v>
      </c>
      <c r="L26" s="721">
        <f t="shared" si="1"/>
        <v>3146147.48</v>
      </c>
      <c r="P26" s="721">
        <f>SUM(P24:P25)</f>
        <v>449449.64000000001</v>
      </c>
      <c r="Q26" s="526"/>
    </row>
    <row r="27" spans="1:17" s="184" customFormat="1" ht="13.5" thickTop="1">
      <c r="A27" s="185">
        <v>15</v>
      </c>
      <c r="E27" s="457"/>
      <c r="G27" s="526"/>
      <c r="I27" s="457"/>
      <c r="J27" s="457"/>
      <c r="K27" s="457"/>
      <c r="L27" s="457"/>
      <c r="P27" s="457"/>
      <c r="Q27" s="526"/>
    </row>
    <row r="28" spans="1:17" s="184" customFormat="1" ht="12.75">
      <c r="A28" s="185">
        <v>16</v>
      </c>
      <c r="E28" s="457"/>
      <c r="G28" s="526"/>
      <c r="I28" s="457"/>
      <c r="J28" s="457"/>
      <c r="K28" s="457"/>
      <c r="L28" s="457"/>
      <c r="P28" s="457"/>
      <c r="Q28" s="526"/>
    </row>
    <row r="29" spans="1:17" s="184" customFormat="1" ht="12.75">
      <c r="A29" s="185">
        <v>17</v>
      </c>
      <c r="C29" s="772" t="s">
        <v>576</v>
      </c>
      <c r="E29" s="457"/>
      <c r="G29" s="526"/>
      <c r="I29" s="457"/>
      <c r="J29" s="457"/>
      <c r="K29" s="457"/>
      <c r="L29" s="457"/>
      <c r="P29" s="457"/>
      <c r="Q29" s="526"/>
    </row>
    <row r="30" spans="1:19" s="184" customFormat="1" ht="12.75">
      <c r="A30" s="185">
        <v>18</v>
      </c>
      <c r="B30" s="197" t="s">
        <v>720</v>
      </c>
      <c r="C30" s="184" t="s">
        <v>721</v>
      </c>
      <c r="D30" s="197" t="s">
        <v>753</v>
      </c>
      <c r="E30" s="525">
        <v>7513400.1899999995</v>
      </c>
      <c r="F30" s="188" t="s">
        <v>1087</v>
      </c>
      <c r="G30" s="526">
        <v>4</v>
      </c>
      <c r="H30" s="184" t="s">
        <v>570</v>
      </c>
      <c r="I30" s="766">
        <v>0</v>
      </c>
      <c r="J30" s="766">
        <v>0</v>
      </c>
      <c r="K30" s="766">
        <f>ROUND(L30/O30,2)</f>
        <v>1502680.04</v>
      </c>
      <c r="L30" s="766">
        <f>E30</f>
        <v>7513400.1899999995</v>
      </c>
      <c r="M30" s="184" t="s">
        <v>571</v>
      </c>
      <c r="N30" s="603" t="s">
        <v>571</v>
      </c>
      <c r="O30" s="719">
        <v>5</v>
      </c>
      <c r="P30" s="766">
        <f>K30-J30</f>
        <v>1502680.04</v>
      </c>
      <c r="Q30" s="526">
        <v>41</v>
      </c>
      <c r="R30" s="184" t="s">
        <v>583</v>
      </c>
      <c r="S30" s="197" t="s">
        <v>573</v>
      </c>
    </row>
    <row r="31" spans="1:19" s="184" customFormat="1" ht="12.75">
      <c r="A31" s="185">
        <v>19</v>
      </c>
      <c r="B31" s="197" t="s">
        <v>722</v>
      </c>
      <c r="C31" s="184" t="s">
        <v>723</v>
      </c>
      <c r="D31" s="197" t="s">
        <v>754</v>
      </c>
      <c r="E31" s="457">
        <v>34659802.689999998</v>
      </c>
      <c r="F31" s="188" t="s">
        <v>1088</v>
      </c>
      <c r="G31" s="526">
        <v>4</v>
      </c>
      <c r="H31" s="184" t="s">
        <v>570</v>
      </c>
      <c r="I31" s="455">
        <v>0</v>
      </c>
      <c r="J31" s="455">
        <v>0</v>
      </c>
      <c r="K31" s="455">
        <f>ROUND(L31/O31,2)</f>
        <v>6923725.2599999998</v>
      </c>
      <c r="L31" s="455">
        <f>+'[6]II-B-12'!$I$22</f>
        <v>34618626.32</v>
      </c>
      <c r="M31" s="184" t="s">
        <v>571</v>
      </c>
      <c r="N31" s="603" t="s">
        <v>571</v>
      </c>
      <c r="O31" s="719">
        <v>5</v>
      </c>
      <c r="P31" s="455">
        <f t="shared" si="2" ref="P31:P58">K31-J31</f>
        <v>6923725.2599999998</v>
      </c>
      <c r="Q31" s="526">
        <v>42</v>
      </c>
      <c r="R31" s="184" t="s">
        <v>583</v>
      </c>
      <c r="S31" s="197" t="s">
        <v>573</v>
      </c>
    </row>
    <row r="32" spans="1:19" s="184" customFormat="1" ht="12.75">
      <c r="A32" s="185">
        <v>20</v>
      </c>
      <c r="B32" s="197" t="s">
        <v>724</v>
      </c>
      <c r="C32" s="184" t="s">
        <v>1039</v>
      </c>
      <c r="D32" s="197" t="s">
        <v>755</v>
      </c>
      <c r="E32" s="457">
        <f>D101</f>
        <v>75267069.370000005</v>
      </c>
      <c r="F32" s="188" t="s">
        <v>1089</v>
      </c>
      <c r="G32" s="526">
        <v>4</v>
      </c>
      <c r="H32" s="184" t="s">
        <v>570</v>
      </c>
      <c r="I32" s="455">
        <v>0</v>
      </c>
      <c r="J32" s="455">
        <v>0</v>
      </c>
      <c r="K32" s="455">
        <f>ROUND(L32/O32,2)</f>
        <v>15053413.869999999</v>
      </c>
      <c r="L32" s="455">
        <f>E32</f>
        <v>75267069.370000005</v>
      </c>
      <c r="M32" s="184" t="s">
        <v>571</v>
      </c>
      <c r="N32" s="603" t="s">
        <v>571</v>
      </c>
      <c r="O32" s="719">
        <v>5</v>
      </c>
      <c r="P32" s="455">
        <f t="shared" si="2"/>
        <v>15053413.869999999</v>
      </c>
      <c r="Q32" s="526">
        <v>33</v>
      </c>
      <c r="R32" s="184" t="s">
        <v>583</v>
      </c>
      <c r="S32" s="184" t="s">
        <v>573</v>
      </c>
    </row>
    <row r="33" spans="1:19" s="184" customFormat="1" ht="12.75">
      <c r="A33" s="185">
        <v>21</v>
      </c>
      <c r="B33" s="197" t="s">
        <v>1040</v>
      </c>
      <c r="C33" s="184" t="s">
        <v>1041</v>
      </c>
      <c r="D33" s="197" t="s">
        <v>1047</v>
      </c>
      <c r="E33" s="457">
        <v>26088</v>
      </c>
      <c r="F33" s="188" t="s">
        <v>1090</v>
      </c>
      <c r="G33" s="526">
        <v>4</v>
      </c>
      <c r="H33" s="184" t="s">
        <v>570</v>
      </c>
      <c r="I33" s="457">
        <v>0</v>
      </c>
      <c r="J33" s="457">
        <v>0</v>
      </c>
      <c r="K33" s="455">
        <f>ROUND(L33/O33,2)</f>
        <v>5217.6000000000004</v>
      </c>
      <c r="L33" s="457">
        <f>E33</f>
        <v>26088</v>
      </c>
      <c r="M33" s="184" t="s">
        <v>571</v>
      </c>
      <c r="N33" s="603" t="s">
        <v>571</v>
      </c>
      <c r="O33" s="719">
        <v>5</v>
      </c>
      <c r="P33" s="455">
        <f t="shared" si="2"/>
        <v>5217.6000000000004</v>
      </c>
      <c r="Q33" s="526">
        <v>40</v>
      </c>
      <c r="R33" s="184" t="s">
        <v>583</v>
      </c>
      <c r="S33" s="184" t="s">
        <v>573</v>
      </c>
    </row>
    <row r="34" spans="1:19" s="184" customFormat="1" ht="12.75">
      <c r="A34" s="185">
        <v>22</v>
      </c>
      <c r="B34" s="197" t="s">
        <v>561</v>
      </c>
      <c r="C34" s="184" t="s">
        <v>565</v>
      </c>
      <c r="D34" s="197" t="s">
        <v>744</v>
      </c>
      <c r="E34" s="457">
        <v>1115904.8399999999</v>
      </c>
      <c r="F34" s="323" t="s">
        <v>582</v>
      </c>
      <c r="G34" s="526">
        <v>5</v>
      </c>
      <c r="H34" s="184" t="s">
        <v>745</v>
      </c>
      <c r="I34" s="457">
        <f>+E34-L34-J34</f>
        <v>991328.66866666509</v>
      </c>
      <c r="J34" s="455">
        <f>5447.95*12</f>
        <v>65375.399999999994</v>
      </c>
      <c r="K34" s="455">
        <f>ROUND(L34/O34,2)</f>
        <v>11840.15</v>
      </c>
      <c r="L34" s="455">
        <v>59200.771333334764</v>
      </c>
      <c r="M34" s="739">
        <f>L34/J34</f>
        <v>0.90555119101886594</v>
      </c>
      <c r="N34" s="184" t="s">
        <v>1082</v>
      </c>
      <c r="O34" s="719">
        <v>5</v>
      </c>
      <c r="P34" s="455">
        <f t="shared" si="2"/>
        <v>-53535.249999999993</v>
      </c>
      <c r="Q34" s="526">
        <v>35</v>
      </c>
      <c r="R34" s="184" t="s">
        <v>583</v>
      </c>
      <c r="S34" s="184" t="s">
        <v>972</v>
      </c>
    </row>
    <row r="35" spans="1:19" s="184" customFormat="1" ht="12.75">
      <c r="A35" s="185">
        <v>23</v>
      </c>
      <c r="B35" s="197" t="s">
        <v>564</v>
      </c>
      <c r="C35" s="197" t="s">
        <v>725</v>
      </c>
      <c r="D35" s="197" t="s">
        <v>756</v>
      </c>
      <c r="E35" s="457">
        <f>803871.96+9182651.56-I35</f>
        <v>8889386.9999999981</v>
      </c>
      <c r="F35" s="188" t="s">
        <v>1091</v>
      </c>
      <c r="G35" s="526">
        <v>3</v>
      </c>
      <c r="H35" s="184" t="s">
        <v>745</v>
      </c>
      <c r="I35" s="455">
        <v>1097136.520000001</v>
      </c>
      <c r="J35" s="455">
        <f>22329.78*12</f>
        <v>267957.35999999999</v>
      </c>
      <c r="K35" s="455">
        <f>L35/O35</f>
        <v>1671750.798</v>
      </c>
      <c r="L35" s="455">
        <f>+'[6]II-B-12'!$I$42</f>
        <v>8358753.9900000002</v>
      </c>
      <c r="M35" s="740">
        <f>L35/J35</f>
        <v>31.194343719463429</v>
      </c>
      <c r="N35" s="184" t="s">
        <v>1082</v>
      </c>
      <c r="O35" s="719">
        <v>5</v>
      </c>
      <c r="P35" s="455">
        <f t="shared" si="2"/>
        <v>1403793.4380000001</v>
      </c>
      <c r="Q35" s="526">
        <v>43</v>
      </c>
      <c r="R35" s="184" t="s">
        <v>583</v>
      </c>
      <c r="S35" s="197" t="s">
        <v>1287</v>
      </c>
    </row>
    <row r="36" spans="1:19" s="184" customFormat="1" ht="12.75">
      <c r="A36" s="185">
        <v>24</v>
      </c>
      <c r="B36" s="197" t="s">
        <v>562</v>
      </c>
      <c r="C36" s="184" t="s">
        <v>566</v>
      </c>
      <c r="D36" s="197" t="s">
        <v>744</v>
      </c>
      <c r="E36" s="457">
        <v>12815790.08</v>
      </c>
      <c r="F36" s="188" t="s">
        <v>584</v>
      </c>
      <c r="G36" s="526">
        <v>5</v>
      </c>
      <c r="H36" s="184" t="s">
        <v>745</v>
      </c>
      <c r="I36" s="455">
        <f>12290921.04-J36</f>
        <v>11711310.959999999</v>
      </c>
      <c r="J36" s="455">
        <f>48300.84*12</f>
        <v>579610.07999999996</v>
      </c>
      <c r="K36" s="455">
        <f t="shared" si="3" ref="K36:K45">ROUND(L36/O36,2)</f>
        <v>104973.81</v>
      </c>
      <c r="L36" s="455">
        <v>524869.040000009</v>
      </c>
      <c r="M36" s="718">
        <f>L36/J36</f>
        <v>0.90555540372936416</v>
      </c>
      <c r="N36" s="184" t="s">
        <v>1082</v>
      </c>
      <c r="O36" s="719">
        <v>5</v>
      </c>
      <c r="P36" s="455">
        <f t="shared" si="2"/>
        <v>-474636.26999999996</v>
      </c>
      <c r="Q36" s="526">
        <v>34</v>
      </c>
      <c r="R36" s="184" t="s">
        <v>583</v>
      </c>
      <c r="S36" s="184" t="s">
        <v>972</v>
      </c>
    </row>
    <row r="37" spans="1:19" s="184" customFormat="1" ht="12.75">
      <c r="A37" s="185">
        <v>25</v>
      </c>
      <c r="B37" s="197" t="s">
        <v>560</v>
      </c>
      <c r="C37" s="184" t="s">
        <v>726</v>
      </c>
      <c r="D37" s="197" t="s">
        <v>1051</v>
      </c>
      <c r="E37" s="457">
        <v>413082605.37</v>
      </c>
      <c r="F37" s="188" t="s">
        <v>765</v>
      </c>
      <c r="G37" s="526">
        <v>10</v>
      </c>
      <c r="H37" s="184" t="s">
        <v>745</v>
      </c>
      <c r="I37" s="455">
        <v>157400212.21000001</v>
      </c>
      <c r="J37" s="455">
        <v>41308260.479999997</v>
      </c>
      <c r="K37" s="455">
        <f t="shared" si="3"/>
        <v>42874826.539999999</v>
      </c>
      <c r="L37" s="455">
        <v>214374132.67999998</v>
      </c>
      <c r="M37" s="718">
        <f>L37/J37</f>
        <v>5.1896189815059479</v>
      </c>
      <c r="N37" s="184" t="s">
        <v>1082</v>
      </c>
      <c r="O37" s="719">
        <v>5</v>
      </c>
      <c r="P37" s="455">
        <f t="shared" si="2"/>
        <v>1566566.0600000024</v>
      </c>
      <c r="Q37" s="526">
        <v>44</v>
      </c>
      <c r="R37" s="184" t="s">
        <v>578</v>
      </c>
      <c r="S37" s="184" t="s">
        <v>972</v>
      </c>
    </row>
    <row r="38" spans="1:19" s="184" customFormat="1" ht="12.75">
      <c r="A38" s="185">
        <v>26</v>
      </c>
      <c r="B38" s="197" t="s">
        <v>560</v>
      </c>
      <c r="C38" s="184" t="s">
        <v>727</v>
      </c>
      <c r="D38" s="197" t="s">
        <v>1052</v>
      </c>
      <c r="E38" s="457">
        <v>376088630.88</v>
      </c>
      <c r="F38" s="188" t="s">
        <v>1092</v>
      </c>
      <c r="G38" s="526">
        <v>4</v>
      </c>
      <c r="H38" s="184" t="s">
        <v>570</v>
      </c>
      <c r="I38" s="455">
        <v>0</v>
      </c>
      <c r="J38" s="455">
        <v>0</v>
      </c>
      <c r="K38" s="455">
        <f t="shared" si="3"/>
        <v>75217726.180000007</v>
      </c>
      <c r="L38" s="455">
        <f>+E38</f>
        <v>376088630.88</v>
      </c>
      <c r="M38" s="184" t="s">
        <v>571</v>
      </c>
      <c r="N38" s="603" t="s">
        <v>571</v>
      </c>
      <c r="O38" s="719">
        <v>5</v>
      </c>
      <c r="P38" s="455">
        <f t="shared" si="2"/>
        <v>75217726.180000007</v>
      </c>
      <c r="Q38" s="526">
        <v>45</v>
      </c>
      <c r="R38" s="184" t="s">
        <v>578</v>
      </c>
      <c r="S38" s="184" t="s">
        <v>972</v>
      </c>
    </row>
    <row r="39" spans="1:19" s="184" customFormat="1" ht="12.75">
      <c r="A39" s="185">
        <v>27</v>
      </c>
      <c r="B39" s="197" t="s">
        <v>560</v>
      </c>
      <c r="C39" s="184" t="s">
        <v>728</v>
      </c>
      <c r="D39" s="197" t="s">
        <v>1052</v>
      </c>
      <c r="E39" s="457">
        <v>3653514.4900000002</v>
      </c>
      <c r="F39" s="188" t="s">
        <v>1093</v>
      </c>
      <c r="G39" s="526">
        <v>4</v>
      </c>
      <c r="H39" s="184" t="s">
        <v>570</v>
      </c>
      <c r="I39" s="455">
        <v>0</v>
      </c>
      <c r="J39" s="455">
        <v>0</v>
      </c>
      <c r="K39" s="455">
        <f t="shared" si="3"/>
        <v>730702.90000000002</v>
      </c>
      <c r="L39" s="455">
        <f>+E39</f>
        <v>3653514.4900000002</v>
      </c>
      <c r="M39" s="184" t="s">
        <v>571</v>
      </c>
      <c r="N39" s="603" t="s">
        <v>571</v>
      </c>
      <c r="O39" s="719">
        <v>5</v>
      </c>
      <c r="P39" s="455">
        <f t="shared" si="2"/>
        <v>730702.90000000002</v>
      </c>
      <c r="Q39" s="526">
        <v>45</v>
      </c>
      <c r="R39" s="184" t="s">
        <v>578</v>
      </c>
      <c r="S39" s="184" t="s">
        <v>972</v>
      </c>
    </row>
    <row r="40" spans="1:19" s="184" customFormat="1" ht="12.75">
      <c r="A40" s="185">
        <v>28</v>
      </c>
      <c r="B40" s="197" t="s">
        <v>468</v>
      </c>
      <c r="C40" s="184" t="s">
        <v>726</v>
      </c>
      <c r="D40" s="197" t="s">
        <v>1051</v>
      </c>
      <c r="E40" s="457">
        <v>13338340.199999999</v>
      </c>
      <c r="F40" s="188" t="s">
        <v>765</v>
      </c>
      <c r="G40" s="526">
        <v>10</v>
      </c>
      <c r="H40" s="184" t="s">
        <v>745</v>
      </c>
      <c r="I40" s="455">
        <v>3091438.7599999998</v>
      </c>
      <c r="J40" s="455">
        <v>1333834.0800000001</v>
      </c>
      <c r="K40" s="455">
        <f t="shared" si="3"/>
        <v>1782613.47</v>
      </c>
      <c r="L40" s="455">
        <v>8913067.3599999994</v>
      </c>
      <c r="M40" s="718">
        <f>L40/J40</f>
        <v>6.6822909188225266</v>
      </c>
      <c r="N40" s="184" t="s">
        <v>1082</v>
      </c>
      <c r="O40" s="719">
        <v>5</v>
      </c>
      <c r="P40" s="455">
        <f t="shared" si="2"/>
        <v>448779.3899999999</v>
      </c>
      <c r="Q40" s="526">
        <v>44</v>
      </c>
      <c r="R40" s="184" t="s">
        <v>578</v>
      </c>
      <c r="S40" s="184" t="s">
        <v>972</v>
      </c>
    </row>
    <row r="41" spans="1:19" s="184" customFormat="1" ht="12.75">
      <c r="A41" s="185">
        <v>29</v>
      </c>
      <c r="B41" s="197" t="s">
        <v>468</v>
      </c>
      <c r="C41" s="184" t="s">
        <v>727</v>
      </c>
      <c r="D41" s="197" t="s">
        <v>1052</v>
      </c>
      <c r="E41" s="457">
        <v>-14483688.380000001</v>
      </c>
      <c r="F41" s="188" t="s">
        <v>1092</v>
      </c>
      <c r="G41" s="526">
        <v>4</v>
      </c>
      <c r="H41" s="184" t="s">
        <v>570</v>
      </c>
      <c r="I41" s="455">
        <v>0</v>
      </c>
      <c r="J41" s="455">
        <v>0</v>
      </c>
      <c r="K41" s="455">
        <f t="shared" si="3"/>
        <v>-2896737.6800000002</v>
      </c>
      <c r="L41" s="455">
        <f>+E41</f>
        <v>-14483688.380000001</v>
      </c>
      <c r="M41" s="184" t="s">
        <v>571</v>
      </c>
      <c r="N41" s="603" t="s">
        <v>571</v>
      </c>
      <c r="O41" s="719">
        <v>5</v>
      </c>
      <c r="P41" s="455">
        <f t="shared" si="2"/>
        <v>-2896737.6800000002</v>
      </c>
      <c r="Q41" s="526">
        <v>45</v>
      </c>
      <c r="R41" s="184" t="s">
        <v>578</v>
      </c>
      <c r="S41" s="184" t="s">
        <v>972</v>
      </c>
    </row>
    <row r="42" spans="1:19" s="184" customFormat="1" ht="12.75">
      <c r="A42" s="185">
        <v>30</v>
      </c>
      <c r="B42" s="197" t="s">
        <v>407</v>
      </c>
      <c r="C42" s="184" t="s">
        <v>729</v>
      </c>
      <c r="D42" s="197" t="s">
        <v>1053</v>
      </c>
      <c r="E42" s="457">
        <v>306881928</v>
      </c>
      <c r="F42" s="188" t="s">
        <v>765</v>
      </c>
      <c r="G42" s="526">
        <v>10</v>
      </c>
      <c r="H42" s="184" t="s">
        <v>745</v>
      </c>
      <c r="I42" s="455">
        <f>E42-L42-J42</f>
        <v>103215904.49000001</v>
      </c>
      <c r="J42" s="455">
        <f>(E42/10)+0.24</f>
        <v>30688193.039999999</v>
      </c>
      <c r="K42" s="455">
        <f t="shared" si="3"/>
        <v>34595566.090000004</v>
      </c>
      <c r="L42" s="455">
        <v>172977830.47</v>
      </c>
      <c r="M42" s="718">
        <f>L42/J42</f>
        <v>5.636624816734404</v>
      </c>
      <c r="N42" s="184" t="s">
        <v>1082</v>
      </c>
      <c r="O42" s="719">
        <v>5</v>
      </c>
      <c r="P42" s="455">
        <f t="shared" si="2"/>
        <v>3907373.0500000045</v>
      </c>
      <c r="Q42" s="526">
        <v>46</v>
      </c>
      <c r="R42" s="184" t="s">
        <v>578</v>
      </c>
      <c r="S42" s="184" t="s">
        <v>580</v>
      </c>
    </row>
    <row r="43" spans="1:19" s="184" customFormat="1" ht="12.75">
      <c r="A43" s="185">
        <v>31</v>
      </c>
      <c r="B43" s="197" t="s">
        <v>407</v>
      </c>
      <c r="C43" s="184" t="s">
        <v>587</v>
      </c>
      <c r="D43" s="197" t="s">
        <v>1054</v>
      </c>
      <c r="E43" s="457">
        <v>-17440156.219999999</v>
      </c>
      <c r="F43" s="188" t="s">
        <v>1092</v>
      </c>
      <c r="G43" s="526">
        <v>4</v>
      </c>
      <c r="H43" s="184" t="s">
        <v>570</v>
      </c>
      <c r="I43" s="455">
        <v>0</v>
      </c>
      <c r="J43" s="455">
        <v>0</v>
      </c>
      <c r="K43" s="455">
        <f t="shared" si="3"/>
        <v>-3488031.2400000002</v>
      </c>
      <c r="L43" s="455">
        <f>E43</f>
        <v>-17440156.219999999</v>
      </c>
      <c r="M43" s="184" t="s">
        <v>571</v>
      </c>
      <c r="N43" s="603" t="s">
        <v>571</v>
      </c>
      <c r="O43" s="719">
        <v>5</v>
      </c>
      <c r="P43" s="455">
        <f t="shared" si="2"/>
        <v>-3488031.2400000002</v>
      </c>
      <c r="Q43" s="526">
        <v>47</v>
      </c>
      <c r="R43" s="184" t="s">
        <v>578</v>
      </c>
      <c r="S43" s="184" t="s">
        <v>580</v>
      </c>
    </row>
    <row r="44" spans="1:19" s="184" customFormat="1" ht="12.75">
      <c r="A44" s="185">
        <v>32</v>
      </c>
      <c r="B44" s="197" t="s">
        <v>407</v>
      </c>
      <c r="C44" s="184" t="s">
        <v>730</v>
      </c>
      <c r="D44" s="197" t="s">
        <v>1053</v>
      </c>
      <c r="E44" s="457">
        <v>42475486</v>
      </c>
      <c r="F44" s="188" t="s">
        <v>765</v>
      </c>
      <c r="G44" s="526">
        <v>10</v>
      </c>
      <c r="H44" s="184" t="s">
        <v>745</v>
      </c>
      <c r="I44" s="455">
        <f>E44-L44-J44</f>
        <v>19412027.220000003</v>
      </c>
      <c r="J44" s="455">
        <f>(E44/10)+0.44</f>
        <v>4247549.04</v>
      </c>
      <c r="K44" s="455">
        <f t="shared" si="3"/>
        <v>3763181.9500000002</v>
      </c>
      <c r="L44" s="455">
        <v>18815909.739999998</v>
      </c>
      <c r="M44" s="718">
        <f>L44/J44</f>
        <v>4.4298275459110412</v>
      </c>
      <c r="N44" s="184" t="s">
        <v>1082</v>
      </c>
      <c r="O44" s="719">
        <v>5</v>
      </c>
      <c r="P44" s="455">
        <f t="shared" si="2"/>
        <v>-484367.08999999985</v>
      </c>
      <c r="Q44" s="526">
        <v>48</v>
      </c>
      <c r="R44" s="184" t="s">
        <v>578</v>
      </c>
      <c r="S44" s="184" t="s">
        <v>580</v>
      </c>
    </row>
    <row r="45" spans="1:19" s="184" customFormat="1" ht="12.75">
      <c r="A45" s="185">
        <v>33</v>
      </c>
      <c r="B45" s="197" t="s">
        <v>407</v>
      </c>
      <c r="C45" s="184" t="s">
        <v>588</v>
      </c>
      <c r="D45" s="197" t="s">
        <v>1054</v>
      </c>
      <c r="E45" s="457">
        <v>-39289143.68</v>
      </c>
      <c r="F45" s="188" t="s">
        <v>1092</v>
      </c>
      <c r="G45" s="526">
        <v>4</v>
      </c>
      <c r="H45" s="184" t="s">
        <v>570</v>
      </c>
      <c r="I45" s="455">
        <v>0</v>
      </c>
      <c r="J45" s="455">
        <v>0</v>
      </c>
      <c r="K45" s="455">
        <f t="shared" si="3"/>
        <v>-7857828.7400000002</v>
      </c>
      <c r="L45" s="455">
        <f>E45</f>
        <v>-39289143.68</v>
      </c>
      <c r="M45" s="184" t="s">
        <v>571</v>
      </c>
      <c r="N45" s="603" t="s">
        <v>571</v>
      </c>
      <c r="O45" s="719">
        <v>5</v>
      </c>
      <c r="P45" s="455">
        <f t="shared" si="2"/>
        <v>-7857828.7400000002</v>
      </c>
      <c r="Q45" s="526">
        <v>49</v>
      </c>
      <c r="R45" s="184" t="s">
        <v>578</v>
      </c>
      <c r="S45" s="184" t="s">
        <v>580</v>
      </c>
    </row>
    <row r="46" spans="1:19" s="184" customFormat="1" ht="12.75">
      <c r="A46" s="185">
        <v>34</v>
      </c>
      <c r="B46" s="197" t="s">
        <v>563</v>
      </c>
      <c r="C46" s="184" t="s">
        <v>504</v>
      </c>
      <c r="D46" s="197" t="s">
        <v>744</v>
      </c>
      <c r="E46" s="457">
        <v>921535.54999999993</v>
      </c>
      <c r="F46" s="188" t="s">
        <v>584</v>
      </c>
      <c r="G46" s="526">
        <v>5</v>
      </c>
      <c r="H46" s="184" t="s">
        <v>745</v>
      </c>
      <c r="I46" s="455">
        <v>853720.20999999996</v>
      </c>
      <c r="J46" s="455">
        <v>35588.279999999992</v>
      </c>
      <c r="K46" s="455">
        <f>+L46/O46</f>
        <v>6445.4119999999875</v>
      </c>
      <c r="L46" s="455">
        <v>32227.059999999939</v>
      </c>
      <c r="M46" s="718">
        <f>L46/J46</f>
        <v>0.90555261451241664</v>
      </c>
      <c r="N46" s="184" t="s">
        <v>1082</v>
      </c>
      <c r="O46" s="719">
        <v>5</v>
      </c>
      <c r="P46" s="455">
        <f t="shared" si="2"/>
        <v>-29142.868000000002</v>
      </c>
      <c r="Q46" s="526">
        <v>36</v>
      </c>
      <c r="R46" s="184" t="s">
        <v>578</v>
      </c>
      <c r="S46" s="184" t="s">
        <v>972</v>
      </c>
    </row>
    <row r="47" spans="1:19" s="184" customFormat="1" ht="12.75">
      <c r="A47" s="185">
        <v>35</v>
      </c>
      <c r="B47" s="197" t="s">
        <v>563</v>
      </c>
      <c r="C47" s="184" t="s">
        <v>505</v>
      </c>
      <c r="D47" s="197" t="s">
        <v>744</v>
      </c>
      <c r="E47" s="457">
        <v>608959.52000000002</v>
      </c>
      <c r="F47" s="188">
        <v>2011</v>
      </c>
      <c r="G47" s="526">
        <v>5</v>
      </c>
      <c r="H47" s="184" t="s">
        <v>745</v>
      </c>
      <c r="I47" s="455">
        <v>549468.97999999998</v>
      </c>
      <c r="J47" s="455">
        <v>31219.679999999997</v>
      </c>
      <c r="K47" s="455">
        <f>+L47/O47</f>
        <v>5654.1719999999968</v>
      </c>
      <c r="L47" s="455">
        <v>28270.859999999986</v>
      </c>
      <c r="M47" s="718">
        <f>L47/J47</f>
        <v>0.9055461170646204</v>
      </c>
      <c r="N47" s="184" t="s">
        <v>1082</v>
      </c>
      <c r="O47" s="719">
        <v>5</v>
      </c>
      <c r="P47" s="455">
        <f t="shared" si="2"/>
        <v>-25565.508000000002</v>
      </c>
      <c r="Q47" s="526">
        <v>36</v>
      </c>
      <c r="R47" s="184" t="s">
        <v>578</v>
      </c>
      <c r="S47" s="184" t="s">
        <v>972</v>
      </c>
    </row>
    <row r="48" spans="1:19" s="184" customFormat="1" ht="12.75">
      <c r="A48" s="185">
        <v>36</v>
      </c>
      <c r="B48" s="197" t="s">
        <v>563</v>
      </c>
      <c r="C48" s="184" t="s">
        <v>506</v>
      </c>
      <c r="D48" s="197" t="s">
        <v>744</v>
      </c>
      <c r="E48" s="457">
        <v>312730.25</v>
      </c>
      <c r="F48" s="188">
        <v>2013</v>
      </c>
      <c r="G48" s="526">
        <v>5</v>
      </c>
      <c r="H48" s="184" t="s">
        <v>745</v>
      </c>
      <c r="I48" s="455">
        <v>271524.48157902242</v>
      </c>
      <c r="J48" s="455">
        <v>21624</v>
      </c>
      <c r="K48" s="455">
        <f>+L48/O48</f>
        <v>3916.3536841955151</v>
      </c>
      <c r="L48" s="455">
        <v>19581.768420977576</v>
      </c>
      <c r="M48" s="718">
        <f>L48/J48</f>
        <v>0.90555717818061299</v>
      </c>
      <c r="N48" s="184" t="s">
        <v>1082</v>
      </c>
      <c r="O48" s="719">
        <v>5</v>
      </c>
      <c r="P48" s="455">
        <f t="shared" si="2"/>
        <v>-17707.646315804486</v>
      </c>
      <c r="Q48" s="526">
        <v>36</v>
      </c>
      <c r="R48" s="184" t="s">
        <v>578</v>
      </c>
      <c r="S48" s="184" t="s">
        <v>972</v>
      </c>
    </row>
    <row r="49" spans="1:19" s="184" customFormat="1" ht="12.75">
      <c r="A49" s="185">
        <v>37</v>
      </c>
      <c r="B49" s="197" t="s">
        <v>563</v>
      </c>
      <c r="C49" s="184" t="s">
        <v>731</v>
      </c>
      <c r="D49" s="197" t="s">
        <v>758</v>
      </c>
      <c r="E49" s="457">
        <f>+'II-E-4.5'!M46</f>
        <v>178483</v>
      </c>
      <c r="F49" s="188">
        <v>2019</v>
      </c>
      <c r="G49" s="526">
        <v>4</v>
      </c>
      <c r="H49" s="184" t="s">
        <v>570</v>
      </c>
      <c r="I49" s="455">
        <v>0</v>
      </c>
      <c r="J49" s="455">
        <v>0</v>
      </c>
      <c r="K49" s="455">
        <f>ROUND(+E49/O49,2)</f>
        <v>35696.599999999999</v>
      </c>
      <c r="L49" s="455">
        <f>E49</f>
        <v>178483</v>
      </c>
      <c r="M49" s="184" t="s">
        <v>571</v>
      </c>
      <c r="N49" s="603" t="s">
        <v>571</v>
      </c>
      <c r="O49" s="719">
        <v>5</v>
      </c>
      <c r="P49" s="455">
        <f t="shared" si="2"/>
        <v>35696.599999999999</v>
      </c>
      <c r="Q49" s="526">
        <v>24</v>
      </c>
      <c r="R49" s="184" t="s">
        <v>578</v>
      </c>
      <c r="S49" s="184" t="s">
        <v>590</v>
      </c>
    </row>
    <row r="50" spans="1:19" s="184" customFormat="1" ht="12.75">
      <c r="A50" s="185">
        <v>38</v>
      </c>
      <c r="B50" s="197" t="s">
        <v>563</v>
      </c>
      <c r="C50" s="184" t="s">
        <v>507</v>
      </c>
      <c r="D50" s="197" t="s">
        <v>604</v>
      </c>
      <c r="E50" s="457">
        <v>62294.309999999998</v>
      </c>
      <c r="F50" s="188" t="s">
        <v>585</v>
      </c>
      <c r="G50" s="526" t="s">
        <v>574</v>
      </c>
      <c r="H50" s="184" t="s">
        <v>586</v>
      </c>
      <c r="I50" s="455">
        <f>E50-L50-J50</f>
        <v>35256.139999999999</v>
      </c>
      <c r="J50" s="455">
        <v>3239.0799999999999</v>
      </c>
      <c r="K50" s="455">
        <v>0</v>
      </c>
      <c r="L50" s="455">
        <v>23799.09</v>
      </c>
      <c r="M50" s="323" t="s">
        <v>1249</v>
      </c>
      <c r="N50" s="323" t="s">
        <v>1249</v>
      </c>
      <c r="O50" s="719" t="s">
        <v>574</v>
      </c>
      <c r="P50" s="455">
        <f t="shared" si="2"/>
        <v>-3239.0799999999999</v>
      </c>
      <c r="Q50" s="526">
        <v>52</v>
      </c>
      <c r="R50" s="184" t="s">
        <v>578</v>
      </c>
      <c r="S50" s="184" t="s">
        <v>573</v>
      </c>
    </row>
    <row r="51" spans="1:19" s="184" customFormat="1" ht="12.75">
      <c r="A51" s="185">
        <v>39</v>
      </c>
      <c r="B51" s="197" t="s">
        <v>563</v>
      </c>
      <c r="C51" s="184" t="s">
        <v>732</v>
      </c>
      <c r="D51" s="197" t="s">
        <v>759</v>
      </c>
      <c r="E51" s="457">
        <f>+'II-E-4.5'!M44</f>
        <v>304616</v>
      </c>
      <c r="F51" s="188" t="s">
        <v>766</v>
      </c>
      <c r="G51" s="526">
        <v>4</v>
      </c>
      <c r="H51" s="184" t="s">
        <v>570</v>
      </c>
      <c r="I51" s="455">
        <v>0</v>
      </c>
      <c r="J51" s="455">
        <v>0</v>
      </c>
      <c r="K51" s="455">
        <f>ROUND(+E51/O51,2)</f>
        <v>60923.199999999997</v>
      </c>
      <c r="L51" s="455">
        <f t="shared" si="4" ref="L51:L53">E51</f>
        <v>304616</v>
      </c>
      <c r="M51" s="184" t="s">
        <v>571</v>
      </c>
      <c r="N51" s="603" t="s">
        <v>571</v>
      </c>
      <c r="O51" s="719">
        <v>5</v>
      </c>
      <c r="P51" s="455">
        <f t="shared" si="2"/>
        <v>60923.199999999997</v>
      </c>
      <c r="Q51" s="526">
        <v>24</v>
      </c>
      <c r="R51" s="184" t="s">
        <v>578</v>
      </c>
      <c r="S51" s="184" t="s">
        <v>590</v>
      </c>
    </row>
    <row r="52" spans="1:19" s="184" customFormat="1" ht="12.75">
      <c r="A52" s="185">
        <v>40</v>
      </c>
      <c r="B52" s="197" t="s">
        <v>563</v>
      </c>
      <c r="C52" s="184" t="s">
        <v>733</v>
      </c>
      <c r="D52" s="197" t="s">
        <v>760</v>
      </c>
      <c r="E52" s="457">
        <f>+'II-E-4.5'!M45</f>
        <v>167728</v>
      </c>
      <c r="F52" s="188" t="s">
        <v>645</v>
      </c>
      <c r="G52" s="526">
        <v>4</v>
      </c>
      <c r="H52" s="184" t="s">
        <v>570</v>
      </c>
      <c r="I52" s="455">
        <v>0</v>
      </c>
      <c r="J52" s="455">
        <v>0</v>
      </c>
      <c r="K52" s="455">
        <f>ROUND(+E52/O52,2)</f>
        <v>33545.599999999999</v>
      </c>
      <c r="L52" s="455">
        <f t="shared" si="4"/>
        <v>167728</v>
      </c>
      <c r="M52" s="184" t="s">
        <v>571</v>
      </c>
      <c r="N52" s="603" t="s">
        <v>571</v>
      </c>
      <c r="O52" s="719">
        <v>5</v>
      </c>
      <c r="P52" s="455">
        <f t="shared" si="2"/>
        <v>33545.599999999999</v>
      </c>
      <c r="Q52" s="526">
        <v>24</v>
      </c>
      <c r="R52" s="184" t="s">
        <v>578</v>
      </c>
      <c r="S52" s="184" t="s">
        <v>590</v>
      </c>
    </row>
    <row r="53" spans="1:19" s="184" customFormat="1" ht="12.75">
      <c r="A53" s="185">
        <v>41</v>
      </c>
      <c r="B53" s="197" t="s">
        <v>563</v>
      </c>
      <c r="C53" s="184" t="s">
        <v>1042</v>
      </c>
      <c r="D53" s="771" t="s">
        <v>1055</v>
      </c>
      <c r="E53" s="457">
        <f>+'II-E-4.5'!M47</f>
        <v>215522</v>
      </c>
      <c r="F53" s="188">
        <v>2021</v>
      </c>
      <c r="G53" s="526">
        <v>4</v>
      </c>
      <c r="H53" s="184" t="s">
        <v>570</v>
      </c>
      <c r="I53" s="455">
        <v>0</v>
      </c>
      <c r="J53" s="455">
        <v>0</v>
      </c>
      <c r="K53" s="455">
        <f>ROUND(+E53/O53,2)</f>
        <v>43104.400000000001</v>
      </c>
      <c r="L53" s="455">
        <f t="shared" si="4"/>
        <v>215522</v>
      </c>
      <c r="M53" s="184" t="s">
        <v>571</v>
      </c>
      <c r="N53" s="603" t="s">
        <v>571</v>
      </c>
      <c r="O53" s="719">
        <v>5</v>
      </c>
      <c r="P53" s="455">
        <f t="shared" si="2"/>
        <v>43104.400000000001</v>
      </c>
      <c r="Q53" s="526">
        <v>24</v>
      </c>
      <c r="R53" s="184" t="s">
        <v>578</v>
      </c>
      <c r="S53" s="184" t="s">
        <v>590</v>
      </c>
    </row>
    <row r="54" spans="1:19" s="184" customFormat="1" ht="12.75">
      <c r="A54" s="185">
        <v>42</v>
      </c>
      <c r="B54" s="197" t="s">
        <v>563</v>
      </c>
      <c r="C54" s="184" t="s">
        <v>734</v>
      </c>
      <c r="D54" s="197" t="s">
        <v>761</v>
      </c>
      <c r="E54" s="457">
        <f>+'II-E-4.5'!M43</f>
        <v>334785</v>
      </c>
      <c r="F54" s="188" t="s">
        <v>767</v>
      </c>
      <c r="G54" s="526">
        <v>4</v>
      </c>
      <c r="H54" s="184" t="s">
        <v>570</v>
      </c>
      <c r="I54" s="455">
        <v>0</v>
      </c>
      <c r="J54" s="455">
        <v>0</v>
      </c>
      <c r="K54" s="455">
        <f>ROUND(+E54/O54,2)</f>
        <v>66957</v>
      </c>
      <c r="L54" s="455">
        <v>334785.03000000003</v>
      </c>
      <c r="M54" s="184" t="s">
        <v>571</v>
      </c>
      <c r="N54" s="603" t="s">
        <v>571</v>
      </c>
      <c r="O54" s="719">
        <v>5</v>
      </c>
      <c r="P54" s="455">
        <f t="shared" si="2"/>
        <v>66957</v>
      </c>
      <c r="Q54" s="526">
        <v>24</v>
      </c>
      <c r="R54" s="184" t="s">
        <v>578</v>
      </c>
      <c r="S54" s="184" t="s">
        <v>590</v>
      </c>
    </row>
    <row r="55" spans="1:19" s="184" customFormat="1" ht="12.75">
      <c r="A55" s="185">
        <v>43</v>
      </c>
      <c r="B55" s="197" t="s">
        <v>563</v>
      </c>
      <c r="C55" s="184" t="s">
        <v>735</v>
      </c>
      <c r="D55" s="197" t="s">
        <v>762</v>
      </c>
      <c r="E55" s="457">
        <v>627362.98999999999</v>
      </c>
      <c r="F55" s="188" t="s">
        <v>768</v>
      </c>
      <c r="G55" s="526">
        <v>4</v>
      </c>
      <c r="H55" s="184" t="s">
        <v>570</v>
      </c>
      <c r="I55" s="455">
        <v>0</v>
      </c>
      <c r="J55" s="455">
        <v>0</v>
      </c>
      <c r="K55" s="455">
        <f>ROUND(+E55/O55,2)</f>
        <v>125472.60000000001</v>
      </c>
      <c r="L55" s="455">
        <f>E55</f>
        <v>627362.98999999999</v>
      </c>
      <c r="M55" s="184" t="s">
        <v>571</v>
      </c>
      <c r="N55" s="603" t="s">
        <v>571</v>
      </c>
      <c r="O55" s="719">
        <v>5</v>
      </c>
      <c r="P55" s="455">
        <f t="shared" si="2"/>
        <v>125472.60000000001</v>
      </c>
      <c r="Q55" s="526">
        <v>50</v>
      </c>
      <c r="R55" s="184" t="s">
        <v>578</v>
      </c>
      <c r="S55" s="184" t="s">
        <v>573</v>
      </c>
    </row>
    <row r="56" spans="1:19" s="184" customFormat="1" ht="12.75">
      <c r="A56" s="185">
        <v>44</v>
      </c>
      <c r="B56" s="197" t="s">
        <v>563</v>
      </c>
      <c r="C56" s="184" t="s">
        <v>1056</v>
      </c>
      <c r="D56" s="184" t="s">
        <v>763</v>
      </c>
      <c r="E56" s="457">
        <v>3040409</v>
      </c>
      <c r="F56" s="188" t="s">
        <v>769</v>
      </c>
      <c r="G56" s="526">
        <v>4</v>
      </c>
      <c r="H56" s="184" t="s">
        <v>769</v>
      </c>
      <c r="I56" s="455">
        <f>104011+J56</f>
        <v>270786.52000000002</v>
      </c>
      <c r="J56" s="455">
        <v>166775.51999999999</v>
      </c>
      <c r="K56" s="455">
        <f>ROUND(+L56/O56,2)</f>
        <v>520569.47999999998</v>
      </c>
      <c r="L56" s="455">
        <f>D107</f>
        <v>2602847.4199999999</v>
      </c>
      <c r="M56" s="718">
        <f>L56/J56</f>
        <v>15.606891347123368</v>
      </c>
      <c r="N56" s="184" t="s">
        <v>1082</v>
      </c>
      <c r="O56" s="719">
        <v>5</v>
      </c>
      <c r="P56" s="455">
        <f t="shared" si="2"/>
        <v>353793.95999999996</v>
      </c>
      <c r="Q56" s="526">
        <v>37</v>
      </c>
      <c r="R56" s="184" t="s">
        <v>578</v>
      </c>
      <c r="S56" s="184" t="s">
        <v>973</v>
      </c>
    </row>
    <row r="57" spans="1:19" s="184" customFormat="1" ht="12.75">
      <c r="A57" s="185">
        <v>45</v>
      </c>
      <c r="B57" s="197" t="s">
        <v>563</v>
      </c>
      <c r="C57" s="184" t="s">
        <v>737</v>
      </c>
      <c r="D57" s="184" t="s">
        <v>764</v>
      </c>
      <c r="E57" s="457">
        <v>81644.490000000005</v>
      </c>
      <c r="F57" s="188" t="s">
        <v>1094</v>
      </c>
      <c r="G57" s="526">
        <v>4</v>
      </c>
      <c r="H57" s="184" t="s">
        <v>570</v>
      </c>
      <c r="I57" s="455">
        <v>0</v>
      </c>
      <c r="J57" s="455">
        <v>0</v>
      </c>
      <c r="K57" s="455">
        <f>ROUND(+E57/O57,2)</f>
        <v>16328.9</v>
      </c>
      <c r="L57" s="455">
        <f>E57</f>
        <v>81644.490000000005</v>
      </c>
      <c r="M57" s="184" t="s">
        <v>571</v>
      </c>
      <c r="N57" s="603" t="s">
        <v>571</v>
      </c>
      <c r="O57" s="719">
        <v>5</v>
      </c>
      <c r="P57" s="455">
        <f t="shared" si="2"/>
        <v>16328.9</v>
      </c>
      <c r="Q57" s="526">
        <v>38</v>
      </c>
      <c r="R57" s="184" t="s">
        <v>578</v>
      </c>
      <c r="S57" s="197" t="s">
        <v>573</v>
      </c>
    </row>
    <row r="58" spans="1:19" s="184" customFormat="1" ht="12.75">
      <c r="A58" s="185">
        <v>46</v>
      </c>
      <c r="B58" s="197" t="s">
        <v>563</v>
      </c>
      <c r="C58" s="184" t="s">
        <v>738</v>
      </c>
      <c r="D58" s="184" t="s">
        <v>761</v>
      </c>
      <c r="E58" s="457">
        <v>2368303.2899999991</v>
      </c>
      <c r="F58" s="188" t="s">
        <v>1095</v>
      </c>
      <c r="G58" s="526">
        <v>4</v>
      </c>
      <c r="H58" s="184" t="s">
        <v>570</v>
      </c>
      <c r="I58" s="455">
        <v>0</v>
      </c>
      <c r="J58" s="455">
        <v>0</v>
      </c>
      <c r="K58" s="455">
        <f>ROUND(+E58/O58,2)</f>
        <v>473660.65999999997</v>
      </c>
      <c r="L58" s="455">
        <f>E58</f>
        <v>2368303.2899999991</v>
      </c>
      <c r="M58" s="184" t="s">
        <v>571</v>
      </c>
      <c r="N58" s="603" t="s">
        <v>571</v>
      </c>
      <c r="O58" s="719">
        <v>5</v>
      </c>
      <c r="P58" s="455">
        <f t="shared" si="2"/>
        <v>473660.65999999997</v>
      </c>
      <c r="Q58" s="526">
        <v>39</v>
      </c>
      <c r="R58" s="184" t="s">
        <v>578</v>
      </c>
      <c r="S58" s="197" t="s">
        <v>573</v>
      </c>
    </row>
    <row r="59" spans="1:19" s="184" customFormat="1" ht="12.75">
      <c r="A59" s="185">
        <v>47</v>
      </c>
      <c r="B59" s="197"/>
      <c r="E59" s="457"/>
      <c r="F59" s="188"/>
      <c r="G59" s="526"/>
      <c r="I59" s="455"/>
      <c r="J59" s="455"/>
      <c r="K59" s="455"/>
      <c r="L59" s="455"/>
      <c r="N59" s="603"/>
      <c r="O59" s="719"/>
      <c r="P59" s="455"/>
      <c r="Q59" s="526"/>
      <c r="S59" s="197"/>
    </row>
    <row r="60" spans="1:17" s="184" customFormat="1" ht="13.5" thickBot="1">
      <c r="A60" s="185">
        <v>48</v>
      </c>
      <c r="C60" s="199" t="s">
        <v>589</v>
      </c>
      <c r="E60" s="721">
        <f>SUM(E30:E58)</f>
        <v>1233819332.2299998</v>
      </c>
      <c r="I60" s="721">
        <f>SUM(I30:I58)</f>
        <v>298900115.16024566</v>
      </c>
      <c r="J60" s="721">
        <f>SUM(J30:J58)</f>
        <v>78749226.040000007</v>
      </c>
      <c r="K60" s="721">
        <f>SUM(K30:K58)</f>
        <v>171387895.37568414</v>
      </c>
      <c r="L60" s="721">
        <f>SUM(L30:L58)</f>
        <v>856963276.01975417</v>
      </c>
      <c r="P60" s="721">
        <f>SUM(P30:P58)</f>
        <v>92638669.335684225</v>
      </c>
      <c r="Q60" s="526"/>
    </row>
    <row r="61" spans="1:17" s="184" customFormat="1" ht="13.5" thickTop="1">
      <c r="A61" s="185">
        <v>49</v>
      </c>
      <c r="E61" s="457"/>
      <c r="I61" s="457"/>
      <c r="J61" s="457"/>
      <c r="K61" s="457"/>
      <c r="L61" s="457"/>
      <c r="P61" s="457"/>
      <c r="Q61" s="526"/>
    </row>
    <row r="62" spans="1:17" s="184" customFormat="1" ht="12.75">
      <c r="A62" s="185">
        <v>50</v>
      </c>
      <c r="C62" s="772" t="s">
        <v>611</v>
      </c>
      <c r="E62" s="457"/>
      <c r="I62" s="457"/>
      <c r="J62" s="457"/>
      <c r="K62" s="457"/>
      <c r="L62" s="457"/>
      <c r="P62" s="457"/>
      <c r="Q62" s="526"/>
    </row>
    <row r="63" spans="1:19" s="184" customFormat="1" ht="12.75">
      <c r="A63" s="185">
        <v>51</v>
      </c>
      <c r="B63" s="197" t="s">
        <v>563</v>
      </c>
      <c r="C63" s="184" t="s">
        <v>739</v>
      </c>
      <c r="D63" s="184" t="s">
        <v>770</v>
      </c>
      <c r="E63" s="525">
        <v>586172.70000000007</v>
      </c>
      <c r="F63" s="184" t="s">
        <v>771</v>
      </c>
      <c r="G63" s="184">
        <v>4</v>
      </c>
      <c r="H63" s="184" t="s">
        <v>570</v>
      </c>
      <c r="I63" s="525">
        <v>0</v>
      </c>
      <c r="J63" s="525">
        <v>0</v>
      </c>
      <c r="K63" s="525">
        <f>ROUND(+E63/O63,2)</f>
        <v>117234.53999999999</v>
      </c>
      <c r="L63" s="525">
        <f>+E63</f>
        <v>586172.70000000007</v>
      </c>
      <c r="M63" s="184" t="s">
        <v>571</v>
      </c>
      <c r="O63" s="719">
        <v>5</v>
      </c>
      <c r="P63" s="525">
        <f>+K63-J63</f>
        <v>117234.53999999999</v>
      </c>
      <c r="Q63" s="526">
        <v>24</v>
      </c>
      <c r="R63" s="184" t="s">
        <v>578</v>
      </c>
      <c r="S63" s="184" t="s">
        <v>590</v>
      </c>
    </row>
    <row r="64" spans="1:19" s="184" customFormat="1" ht="12.75">
      <c r="A64" s="185">
        <v>52</v>
      </c>
      <c r="B64" s="197" t="s">
        <v>563</v>
      </c>
      <c r="C64" s="184" t="s">
        <v>740</v>
      </c>
      <c r="D64" s="184" t="s">
        <v>770</v>
      </c>
      <c r="E64" s="457">
        <v>-254178.24000000002</v>
      </c>
      <c r="F64" s="184" t="s">
        <v>1086</v>
      </c>
      <c r="G64" s="184">
        <v>4</v>
      </c>
      <c r="H64" s="184" t="s">
        <v>570</v>
      </c>
      <c r="I64" s="457">
        <v>0</v>
      </c>
      <c r="J64" s="457">
        <v>0</v>
      </c>
      <c r="K64" s="457">
        <f>ROUND(+E64/O64,2)</f>
        <v>-50835.650000000001</v>
      </c>
      <c r="L64" s="457">
        <f t="shared" si="5" ref="L64:L65">+E64</f>
        <v>-254178.24000000002</v>
      </c>
      <c r="M64" s="184" t="s">
        <v>571</v>
      </c>
      <c r="O64" s="719">
        <v>5</v>
      </c>
      <c r="P64" s="457">
        <f t="shared" si="6" ref="P64:P65">+K64-J64</f>
        <v>-50835.650000000001</v>
      </c>
      <c r="Q64" s="526">
        <v>24</v>
      </c>
      <c r="R64" s="184" t="s">
        <v>578</v>
      </c>
      <c r="S64" s="184" t="s">
        <v>590</v>
      </c>
    </row>
    <row r="65" spans="1:19" s="184" customFormat="1" ht="12.75">
      <c r="A65" s="185">
        <v>53</v>
      </c>
      <c r="B65" s="197" t="s">
        <v>563</v>
      </c>
      <c r="C65" s="184" t="s">
        <v>741</v>
      </c>
      <c r="D65" s="184" t="s">
        <v>757</v>
      </c>
      <c r="E65" s="457">
        <f>+'II-E-4.5'!M48</f>
        <v>6700000</v>
      </c>
      <c r="F65" s="184" t="s">
        <v>772</v>
      </c>
      <c r="G65" s="184">
        <v>4</v>
      </c>
      <c r="H65" s="184" t="s">
        <v>570</v>
      </c>
      <c r="I65" s="457">
        <v>0</v>
      </c>
      <c r="J65" s="457">
        <v>0</v>
      </c>
      <c r="K65" s="457">
        <f>ROUND(+E65/O65,2)</f>
        <v>1340000</v>
      </c>
      <c r="L65" s="457">
        <f t="shared" si="5"/>
        <v>6700000</v>
      </c>
      <c r="M65" s="184" t="s">
        <v>571</v>
      </c>
      <c r="O65" s="719">
        <v>5</v>
      </c>
      <c r="P65" s="457">
        <f t="shared" si="6"/>
        <v>1340000</v>
      </c>
      <c r="Q65" s="526">
        <v>24</v>
      </c>
      <c r="R65" s="184" t="s">
        <v>578</v>
      </c>
      <c r="S65" s="184" t="s">
        <v>590</v>
      </c>
    </row>
    <row r="66" spans="1:16" s="184" customFormat="1" ht="13.5" thickBot="1">
      <c r="A66" s="185">
        <v>54</v>
      </c>
      <c r="C66" s="199" t="s">
        <v>591</v>
      </c>
      <c r="E66" s="721">
        <f>SUM(E63:E65)</f>
        <v>7031994.46</v>
      </c>
      <c r="I66" s="721">
        <f>SUM(I63:I65)</f>
        <v>0</v>
      </c>
      <c r="J66" s="721">
        <f>SUM(J63:J65)</f>
        <v>0</v>
      </c>
      <c r="K66" s="721">
        <f>SUM(K63:K65)</f>
        <v>1406398.8899999999</v>
      </c>
      <c r="L66" s="721">
        <f>SUM(L63:L65)</f>
        <v>7031994.46</v>
      </c>
      <c r="P66" s="721">
        <f>SUM(P63:P65)</f>
        <v>1406398.8899999999</v>
      </c>
    </row>
    <row r="67" spans="1:12" s="184" customFormat="1" ht="13.5" thickTop="1">
      <c r="A67" s="185">
        <v>55</v>
      </c>
      <c r="I67" s="457"/>
      <c r="J67" s="457"/>
      <c r="K67" s="457"/>
      <c r="L67" s="457"/>
    </row>
    <row r="68" spans="1:2" s="184" customFormat="1" ht="12.75">
      <c r="A68" s="185">
        <v>56</v>
      </c>
      <c r="B68" s="197" t="s">
        <v>773</v>
      </c>
    </row>
    <row r="69" spans="1:4" s="184" customFormat="1" ht="12.75">
      <c r="A69" s="185">
        <v>57</v>
      </c>
      <c r="B69" s="197" t="s">
        <v>560</v>
      </c>
      <c r="C69" s="184" t="s">
        <v>577</v>
      </c>
      <c r="D69" s="525">
        <v>29574095.060000002</v>
      </c>
    </row>
    <row r="70" spans="1:4" s="184" customFormat="1" ht="12.75">
      <c r="A70" s="185">
        <v>58</v>
      </c>
      <c r="B70" s="197" t="s">
        <v>468</v>
      </c>
      <c r="C70" s="184" t="s">
        <v>577</v>
      </c>
      <c r="D70" s="457">
        <v>-1036036.6999999997</v>
      </c>
    </row>
    <row r="71" spans="1:4" s="184" customFormat="1" ht="12.75">
      <c r="A71" s="185">
        <v>59</v>
      </c>
      <c r="B71" s="197" t="s">
        <v>407</v>
      </c>
      <c r="C71" s="184" t="s">
        <v>579</v>
      </c>
      <c r="D71" s="457">
        <v>8252995.6799999988</v>
      </c>
    </row>
    <row r="72" spans="1:4" s="184" customFormat="1" ht="12.75">
      <c r="A72" s="185">
        <v>60</v>
      </c>
      <c r="B72" s="197" t="s">
        <v>407</v>
      </c>
      <c r="C72" s="184" t="s">
        <v>581</v>
      </c>
      <c r="D72" s="457">
        <v>6268222.2699999996</v>
      </c>
    </row>
    <row r="73" spans="1:4" s="184" customFormat="1" ht="13.5" thickBot="1">
      <c r="A73" s="185">
        <v>61</v>
      </c>
      <c r="C73" s="197" t="s">
        <v>774</v>
      </c>
      <c r="D73" s="721">
        <f>SUM(D69:D72)</f>
        <v>43059276.310000002</v>
      </c>
    </row>
    <row r="74" spans="1:1" s="184" customFormat="1" ht="14.25" thickTop="1" thickBot="1">
      <c r="A74" s="185">
        <v>62</v>
      </c>
    </row>
    <row r="75" spans="1:8" s="184" customFormat="1" ht="13.5" thickTop="1">
      <c r="A75" s="185">
        <v>63</v>
      </c>
      <c r="D75" s="796"/>
      <c r="E75" s="796" t="s">
        <v>318</v>
      </c>
      <c r="F75" s="796" t="s">
        <v>66</v>
      </c>
      <c r="G75" s="796" t="s">
        <v>400</v>
      </c>
      <c r="H75" s="796" t="s">
        <v>67</v>
      </c>
    </row>
    <row r="76" spans="1:8" s="184" customFormat="1" ht="12.75">
      <c r="A76" s="185">
        <v>64</v>
      </c>
      <c r="D76" s="573" t="s">
        <v>76</v>
      </c>
      <c r="E76" s="573" t="s">
        <v>1083</v>
      </c>
      <c r="F76" s="573" t="s">
        <v>68</v>
      </c>
      <c r="G76" s="573" t="s">
        <v>401</v>
      </c>
      <c r="H76" s="573" t="s">
        <v>66</v>
      </c>
    </row>
    <row r="77" spans="1:8" s="184" customFormat="1" ht="13.5" thickBot="1">
      <c r="A77" s="185">
        <v>65</v>
      </c>
      <c r="C77" s="184" t="s">
        <v>1057</v>
      </c>
      <c r="D77" s="574" t="s">
        <v>81</v>
      </c>
      <c r="E77" s="574" t="s">
        <v>82</v>
      </c>
      <c r="F77" s="574" t="s">
        <v>83</v>
      </c>
      <c r="G77" s="574" t="s">
        <v>402</v>
      </c>
      <c r="H77" s="574" t="s">
        <v>68</v>
      </c>
    </row>
    <row r="78" spans="1:1" s="184" customFormat="1" ht="13.5" thickTop="1">
      <c r="A78" s="185">
        <v>66</v>
      </c>
    </row>
    <row r="79" spans="1:8" s="184" customFormat="1" ht="12.75">
      <c r="A79" s="185">
        <v>67</v>
      </c>
      <c r="C79" s="197" t="s">
        <v>1058</v>
      </c>
      <c r="D79" s="525">
        <f>+J20-J17</f>
        <v>-30673.619999999995</v>
      </c>
      <c r="E79" s="525">
        <v>0</v>
      </c>
      <c r="F79" s="525">
        <f>SUM(D79:E79)</f>
        <v>-30673.619999999995</v>
      </c>
      <c r="G79" s="525">
        <f>+H79-F79</f>
        <v>23907316.730304789</v>
      </c>
      <c r="H79" s="525">
        <f>+K20</f>
        <v>23876643.110304788</v>
      </c>
    </row>
    <row r="80" spans="1:1" s="184" customFormat="1" ht="12.75">
      <c r="A80" s="185">
        <v>68</v>
      </c>
    </row>
    <row r="81" spans="1:2" s="184" customFormat="1" ht="12.75">
      <c r="A81" s="185">
        <v>69</v>
      </c>
      <c r="B81" s="184" t="s">
        <v>1059</v>
      </c>
    </row>
    <row r="82" spans="1:2" s="184" customFormat="1" ht="12.75">
      <c r="A82" s="185">
        <v>70</v>
      </c>
      <c r="B82" s="184" t="s">
        <v>1060</v>
      </c>
    </row>
    <row r="83" spans="1:2" s="184" customFormat="1" ht="12.75">
      <c r="A83" s="185">
        <v>71</v>
      </c>
      <c r="B83" s="184" t="s">
        <v>1061</v>
      </c>
    </row>
    <row r="84" spans="1:2" s="184" customFormat="1" ht="12.75">
      <c r="A84" s="185">
        <v>72</v>
      </c>
      <c r="B84" s="197" t="s">
        <v>1292</v>
      </c>
    </row>
    <row r="85" spans="1:2" s="184" customFormat="1" ht="12.75">
      <c r="A85" s="185">
        <v>73</v>
      </c>
      <c r="B85" s="184" t="s">
        <v>1062</v>
      </c>
    </row>
    <row r="86" spans="1:1" s="184" customFormat="1" ht="12.75">
      <c r="A86" s="185">
        <v>74</v>
      </c>
    </row>
    <row r="87" spans="1:9" s="184" customFormat="1" ht="12.75">
      <c r="A87" s="185">
        <v>75</v>
      </c>
      <c r="B87" s="729" t="s">
        <v>1063</v>
      </c>
      <c r="C87" s="730"/>
      <c r="I87" s="797" t="s">
        <v>1096</v>
      </c>
    </row>
    <row r="88" spans="1:9" s="184" customFormat="1" ht="12.75">
      <c r="A88" s="185">
        <v>76</v>
      </c>
      <c r="B88" s="731" t="s">
        <v>1064</v>
      </c>
      <c r="C88" s="730"/>
      <c r="D88" s="525">
        <v>204757130</v>
      </c>
      <c r="E88" s="729" t="s">
        <v>1084</v>
      </c>
      <c r="H88" s="526" t="s">
        <v>1097</v>
      </c>
      <c r="I88" s="525">
        <f>D88/10</f>
        <v>20475713</v>
      </c>
    </row>
    <row r="89" spans="1:9" s="184" customFormat="1" ht="12.75">
      <c r="A89" s="185">
        <v>77</v>
      </c>
      <c r="B89" s="732" t="s">
        <v>1065</v>
      </c>
      <c r="C89" s="730"/>
      <c r="D89" s="457">
        <v>-83836669.939999998</v>
      </c>
      <c r="E89" s="730"/>
      <c r="H89" s="826" t="str">
        <f>CONCATENATE("Requested recovery over ",O30," years")</f>
        <v>Requested recovery over 5 years</v>
      </c>
      <c r="I89" s="798">
        <f>D92/4</f>
        <v>31824947.695</v>
      </c>
    </row>
    <row r="90" spans="1:9" s="184" customFormat="1" ht="12.75">
      <c r="A90" s="185">
        <v>78</v>
      </c>
      <c r="B90" s="731" t="s">
        <v>1293</v>
      </c>
      <c r="C90" s="730"/>
      <c r="D90" s="457">
        <v>6384000</v>
      </c>
      <c r="E90" s="730"/>
      <c r="H90" s="526" t="s">
        <v>1098</v>
      </c>
      <c r="I90" s="525">
        <f>I89-I88</f>
        <v>11349234.695</v>
      </c>
    </row>
    <row r="91" spans="1:5" s="184" customFormat="1" ht="12.75">
      <c r="A91" s="185">
        <v>79</v>
      </c>
      <c r="B91" s="732" t="s">
        <v>1066</v>
      </c>
      <c r="C91" s="730"/>
      <c r="D91" s="457">
        <v>-4669.2799999999997</v>
      </c>
      <c r="E91" s="730"/>
    </row>
    <row r="92" spans="1:5" s="184" customFormat="1" ht="12.75">
      <c r="A92" s="185">
        <v>80</v>
      </c>
      <c r="B92" s="731" t="s">
        <v>78</v>
      </c>
      <c r="C92" s="730"/>
      <c r="D92" s="734">
        <f>SUM(D88:D91)</f>
        <v>127299790.78</v>
      </c>
      <c r="E92" s="730"/>
    </row>
    <row r="93" spans="1:5" s="184" customFormat="1" ht="12.75">
      <c r="A93" s="185">
        <v>81</v>
      </c>
      <c r="B93" s="731"/>
      <c r="C93" s="730"/>
      <c r="E93" s="730"/>
    </row>
    <row r="94" spans="1:5" s="184" customFormat="1" ht="12.75">
      <c r="A94" s="185">
        <v>82</v>
      </c>
      <c r="B94" s="733" t="s">
        <v>1067</v>
      </c>
      <c r="C94" s="730"/>
      <c r="E94" s="730"/>
    </row>
    <row r="95" spans="1:5" s="184" customFormat="1" ht="12.75">
      <c r="A95" s="185">
        <v>83</v>
      </c>
      <c r="B95" s="730"/>
      <c r="C95" s="730"/>
      <c r="E95" s="730"/>
    </row>
    <row r="96" spans="1:5" s="184" customFormat="1" ht="12.75">
      <c r="A96" s="185">
        <v>84</v>
      </c>
      <c r="B96" s="729" t="s">
        <v>1068</v>
      </c>
      <c r="C96" s="730"/>
      <c r="E96" s="730"/>
    </row>
    <row r="97" spans="1:5" s="184" customFormat="1" ht="12.75">
      <c r="A97" s="185">
        <v>85</v>
      </c>
      <c r="B97" s="731" t="s">
        <v>1069</v>
      </c>
      <c r="C97" s="730"/>
      <c r="D97" s="525">
        <v>19862389.960000001</v>
      </c>
      <c r="E97" s="730"/>
    </row>
    <row r="98" spans="1:5" s="184" customFormat="1" ht="12.75">
      <c r="A98" s="185">
        <v>86</v>
      </c>
      <c r="B98" s="731" t="s">
        <v>1070</v>
      </c>
      <c r="C98" s="730"/>
      <c r="D98" s="457">
        <v>55595511.030000001</v>
      </c>
      <c r="E98" s="730"/>
    </row>
    <row r="99" spans="1:5" s="184" customFormat="1" ht="12.75">
      <c r="A99" s="185">
        <v>87</v>
      </c>
      <c r="B99" s="731" t="s">
        <v>1071</v>
      </c>
      <c r="C99" s="730"/>
      <c r="D99" s="457">
        <v>-185831.26000000001</v>
      </c>
      <c r="E99" s="730"/>
    </row>
    <row r="100" spans="1:5" s="184" customFormat="1" ht="12.75">
      <c r="A100" s="185">
        <v>88</v>
      </c>
      <c r="B100" s="731" t="s">
        <v>1072</v>
      </c>
      <c r="C100" s="730"/>
      <c r="D100" s="457">
        <v>-5000.3599999999997</v>
      </c>
      <c r="E100" s="730"/>
    </row>
    <row r="101" spans="1:5" s="184" customFormat="1" ht="12.75">
      <c r="A101" s="185">
        <v>89</v>
      </c>
      <c r="B101" s="731" t="s">
        <v>78</v>
      </c>
      <c r="C101" s="730"/>
      <c r="D101" s="734">
        <f>SUM(D97:D100)</f>
        <v>75267069.370000005</v>
      </c>
      <c r="E101" s="735"/>
    </row>
    <row r="102" spans="1:5" s="184" customFormat="1" ht="12.75">
      <c r="A102" s="185">
        <v>90</v>
      </c>
      <c r="B102" s="730"/>
      <c r="C102" s="730"/>
      <c r="E102" s="735"/>
    </row>
    <row r="103" spans="1:9" s="184" customFormat="1" ht="25.5">
      <c r="A103" s="185">
        <v>91</v>
      </c>
      <c r="B103" s="729" t="s">
        <v>1073</v>
      </c>
      <c r="C103" s="730"/>
      <c r="E103" s="736" t="s">
        <v>1085</v>
      </c>
      <c r="G103" s="799" t="s">
        <v>1294</v>
      </c>
      <c r="H103" s="799" t="s">
        <v>639</v>
      </c>
      <c r="I103" s="799" t="s">
        <v>642</v>
      </c>
    </row>
    <row r="104" spans="1:9" s="184" customFormat="1" ht="12.75">
      <c r="A104" s="185">
        <v>92</v>
      </c>
      <c r="B104" s="731" t="s">
        <v>1074</v>
      </c>
      <c r="C104" s="730"/>
      <c r="D104" s="525">
        <v>1049228</v>
      </c>
      <c r="E104" s="737"/>
      <c r="G104" s="525">
        <v>262307.07000000001</v>
      </c>
      <c r="H104" s="525">
        <v>262307.07000000001</v>
      </c>
      <c r="I104" s="525">
        <v>0</v>
      </c>
    </row>
    <row r="105" spans="1:9" s="184" customFormat="1" ht="12.75">
      <c r="A105" s="185">
        <v>93</v>
      </c>
      <c r="B105" s="731" t="s">
        <v>1075</v>
      </c>
      <c r="C105" s="730"/>
      <c r="D105" s="457">
        <v>325044</v>
      </c>
      <c r="E105" s="738"/>
      <c r="G105" s="457">
        <v>81260.970000000001</v>
      </c>
      <c r="H105" s="457">
        <v>0</v>
      </c>
      <c r="I105" s="457">
        <v>81260.970000000001</v>
      </c>
    </row>
    <row r="106" spans="1:9" s="184" customFormat="1" ht="12.75">
      <c r="A106" s="185">
        <v>94</v>
      </c>
      <c r="B106" s="731" t="s">
        <v>1076</v>
      </c>
      <c r="C106" s="730"/>
      <c r="D106" s="457">
        <v>1228575.4199999999</v>
      </c>
      <c r="E106" s="457">
        <v>166775.51999999999</v>
      </c>
      <c r="G106" s="457">
        <v>348837.70000000001</v>
      </c>
      <c r="H106" s="457">
        <v>166775.51999999999</v>
      </c>
      <c r="I106" s="457">
        <v>182062.17999999999</v>
      </c>
    </row>
    <row r="107" spans="1:9" s="184" customFormat="1" ht="12.75">
      <c r="A107" s="185">
        <v>95</v>
      </c>
      <c r="B107" s="731" t="s">
        <v>78</v>
      </c>
      <c r="C107" s="730"/>
      <c r="D107" s="734">
        <f>SUM(D104:D106)</f>
        <v>2602847.4199999999</v>
      </c>
      <c r="G107" s="800">
        <f>SUM(G104:G106)</f>
        <v>692405.73999999999</v>
      </c>
      <c r="H107" s="800">
        <f>SUM(H104:H106)</f>
        <v>429082.58999999997</v>
      </c>
      <c r="I107" s="800">
        <f>SUM(I104:I106)</f>
        <v>263323.15000000002</v>
      </c>
    </row>
    <row r="108" spans="1:1" s="184" customFormat="1" ht="12.75">
      <c r="A108" s="185">
        <v>96</v>
      </c>
    </row>
    <row r="109" spans="1:1" s="184" customFormat="1" ht="12.75">
      <c r="A109" s="185">
        <v>97</v>
      </c>
    </row>
    <row r="110" spans="1:12" s="184" customFormat="1" ht="12.75">
      <c r="A110" s="185"/>
      <c r="K110" s="526"/>
      <c r="L110" s="801"/>
    </row>
    <row r="111" spans="1:12" s="184" customFormat="1" ht="12.75">
      <c r="A111" s="185"/>
      <c r="K111" s="526"/>
      <c r="L111" s="802"/>
    </row>
    <row r="112" spans="1:12" s="184" customFormat="1" ht="12.75">
      <c r="A112" s="185"/>
      <c r="K112" s="803"/>
      <c r="L112" s="457"/>
    </row>
    <row r="113" spans="1:12" s="184" customFormat="1" ht="12.75">
      <c r="A113" s="185"/>
      <c r="K113" s="526"/>
      <c r="L113" s="457"/>
    </row>
    <row r="114" s="184" customFormat="1" ht="12.75"/>
    <row r="115" s="184" customFormat="1" ht="12.75"/>
    <row r="116" s="184" customFormat="1" ht="12.75"/>
    <row r="117" s="184" customFormat="1" ht="12.75"/>
    <row r="118" s="184" customFormat="1" ht="12.75"/>
    <row r="119" s="184" customFormat="1" ht="12.75"/>
    <row r="120" s="184" customFormat="1" ht="12.75"/>
    <row r="121" s="184" customFormat="1" ht="12.75"/>
    <row r="122" s="184" customFormat="1" ht="12.75"/>
    <row r="123" s="184" customFormat="1" ht="12.75"/>
    <row r="124" s="184" customFormat="1" ht="12.75"/>
    <row r="125" s="184" customFormat="1" ht="12.75"/>
    <row r="126" s="184" customFormat="1" ht="12.75"/>
    <row r="127" s="184" customFormat="1" ht="12.75"/>
    <row r="128" s="184" customFormat="1" ht="12.75"/>
    <row r="129" s="184" customFormat="1" ht="12.75"/>
    <row r="130" s="184" customFormat="1" ht="12.75"/>
    <row r="131" s="184" customFormat="1" ht="12.75"/>
    <row r="132" s="184" customFormat="1" ht="12.75"/>
    <row r="133" s="184" customFormat="1" ht="12.75"/>
    <row r="134" s="184" customFormat="1" ht="12.75"/>
    <row r="135" s="184" customFormat="1" ht="12.75"/>
    <row r="136" s="184" customFormat="1" ht="12.75"/>
    <row r="137" s="184" customFormat="1" ht="12.75"/>
    <row r="138" s="184" customFormat="1" ht="12.75"/>
    <row r="139" s="184" customFormat="1" ht="12.75"/>
    <row r="140" s="184" customFormat="1" ht="12.75"/>
    <row r="141" s="184" customFormat="1" ht="12.75"/>
    <row r="142" s="184" customFormat="1" ht="12.75"/>
    <row r="143" s="184" customFormat="1" ht="12.75"/>
    <row r="144" s="184" customFormat="1" ht="12.75"/>
    <row r="145" s="184" customFormat="1" ht="12.75"/>
    <row r="146" s="184" customFormat="1" ht="12.75"/>
    <row r="147" s="184" customFormat="1" ht="12.75"/>
    <row r="148" s="184" customFormat="1" ht="12.75"/>
    <row r="149" s="184" customFormat="1" ht="12.75"/>
    <row r="150" s="184" customFormat="1" ht="12.75"/>
    <row r="151" s="184" customFormat="1" ht="12.75"/>
    <row r="152" s="184" customFormat="1" ht="12.75"/>
    <row r="153" s="184" customFormat="1" ht="12.75"/>
    <row r="154" s="184" customFormat="1" ht="12.75"/>
    <row r="155" s="184" customFormat="1" ht="12.75"/>
    <row r="156" s="184" customFormat="1" ht="12.75"/>
    <row r="157" s="184" customFormat="1" ht="12.75"/>
    <row r="158" s="184" customFormat="1" ht="12.75"/>
    <row r="159" s="184" customFormat="1" ht="12.75"/>
    <row r="160" s="184" customFormat="1" ht="12.75"/>
    <row r="161" s="184" customFormat="1" ht="12.75"/>
    <row r="162" s="184" customFormat="1" ht="12.75"/>
    <row r="163" s="184" customFormat="1" ht="12.75"/>
    <row r="164" s="184" customFormat="1" ht="12.75"/>
    <row r="165" s="184" customFormat="1" ht="12.75"/>
    <row r="166" s="184" customFormat="1" ht="12.75"/>
    <row r="167" s="184" customFormat="1" ht="12.75"/>
    <row r="168" s="184" customFormat="1" ht="12.75"/>
    <row r="169" s="184" customFormat="1" ht="12.75"/>
    <row r="170" s="184" customFormat="1" ht="12.75"/>
    <row r="171" s="184" customFormat="1" ht="12.75"/>
    <row r="172" s="184" customFormat="1" ht="12.75"/>
    <row r="173" s="184" customFormat="1" ht="12.75"/>
    <row r="174" s="184" customFormat="1" ht="12.75"/>
    <row r="175" s="184" customFormat="1" ht="12.75"/>
    <row r="176" s="184" customFormat="1" ht="12.75"/>
    <row r="177" s="184" customFormat="1" ht="12.75"/>
    <row r="178" s="184" customFormat="1" ht="12.75"/>
    <row r="179" s="184" customFormat="1" ht="12.75"/>
    <row r="180" s="184" customFormat="1" ht="12.75"/>
    <row r="181" s="184" customFormat="1" ht="12.75"/>
    <row r="182" s="184" customFormat="1" ht="12.75"/>
    <row r="183" s="184" customFormat="1" ht="12.75"/>
    <row r="184" s="184" customFormat="1" ht="12.75"/>
    <row r="185" s="184" customFormat="1" ht="12.75"/>
    <row r="186" s="184" customFormat="1" ht="12.75"/>
    <row r="187" s="184" customFormat="1" ht="12.75"/>
    <row r="188" s="184" customFormat="1" ht="12.75"/>
  </sheetData>
  <printOptions horizontalCentered="1"/>
  <pageMargins left="0.5" right="0.5" top="2.5" bottom="0.5" header="1.25" footer="0.3"/>
  <pageSetup fitToHeight="0" fitToWidth="2" orientation="landscape" scale="40" r:id="rId1"/>
  <headerFooter>
    <oddHeader>&amp;C&amp;B
2022 RATE CASE
ONCOR ELECTRIC DELIVERY COMPANY LLC
II-E-4.1  DEFERRED EXPENSES FROM PRIOR DOCKETS
TEST YEAR ENDING DECEMBER 31, 2021
SPONSOR: W. ALAN LEDBETTER&amp;R&amp;"Arial,Bold"Schedule &amp;A
Page &amp;P of &amp;N</oddHeader>
  </headerFooter>
  <rowBreaks count="1" manualBreakCount="1">
    <brk id="73" min="3" max="18" man="1"/>
  </rowBreaks>
  <colBreaks count="1" manualBreakCount="1">
    <brk id="9" min="12" max="112" man="1"/>
  </colBreak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5">
    <tabColor rgb="FF00B050"/>
    <pageSetUpPr fitToPage="1"/>
  </sheetPr>
  <dimension ref="A1:V49"/>
  <sheetViews>
    <sheetView zoomScale="85" zoomScaleNormal="85" workbookViewId="0" topLeftCell="A1">
      <pane xSplit="3" ySplit="14" topLeftCell="D15" activePane="bottomRight" state="frozen"/>
      <selection pane="topLeft" activeCell="E14" sqref="E14"/>
      <selection pane="bottomLeft" activeCell="E14" sqref="E14"/>
      <selection pane="topRight" activeCell="E14" sqref="E14"/>
      <selection pane="bottomRight" activeCell="H50" sqref="H50"/>
    </sheetView>
  </sheetViews>
  <sheetFormatPr defaultRowHeight="12.75"/>
  <cols>
    <col min="2" max="2" width="12.1428571428571" customWidth="1"/>
    <col min="3" max="3" width="33" customWidth="1"/>
    <col min="4" max="4" width="2.71428571428571" customWidth="1"/>
    <col min="5" max="5" width="16.5714285714286" bestFit="1" customWidth="1"/>
    <col min="6" max="6" width="17.1428571428571" customWidth="1"/>
    <col min="7" max="7" width="14.1428571428571" customWidth="1"/>
    <col min="8" max="10" width="15.7142857142857" style="374" customWidth="1"/>
    <col min="11" max="11" width="15.7142857142857" customWidth="1"/>
    <col min="12" max="13" width="15.7142857142857" style="374" customWidth="1"/>
    <col min="14" max="16" width="15.7142857142857" customWidth="1"/>
    <col min="18" max="18" width="9.28571428571429" bestFit="1" customWidth="1"/>
  </cols>
  <sheetData>
    <row r="1" spans="1:1" ht="12.75">
      <c r="A1" s="31" t="str">
        <f>+'[3]Input Data'!$A$9</f>
        <v>2022 RATE CASE</v>
      </c>
    </row>
    <row r="2" spans="1:1" ht="12.75">
      <c r="A2" s="34" t="str">
        <f>+'[3]Input Data'!$A$2</f>
        <v>ONCOR ELECTRIC DELIVERY COMPANY LLC</v>
      </c>
    </row>
    <row r="3" spans="1:1" ht="12.75">
      <c r="A3" s="168" t="str">
        <f>CONCATENATE('[3]Schedule Sponsors'!$A$112,'[3]Schedule Sponsors'!$B$112)</f>
        <v>II-E-4.2 BELOW THE LINE EXPENSES</v>
      </c>
    </row>
    <row r="4" spans="1:1" ht="12.75">
      <c r="A4" s="92" t="str">
        <f>+'[3]Input Data'!$A$4</f>
        <v>TEST YEAR ENDING DECEMBER 31, 2021</v>
      </c>
    </row>
    <row r="5" spans="1:1" ht="12.75">
      <c r="A5" s="33" t="str">
        <f>CONCATENATE("SPONSOR: ",'[3]Schedule Sponsors'!$D$112)</f>
        <v>SPONSOR: W. ALAN LEDBETTER</v>
      </c>
    </row>
    <row r="10" s="184" customFormat="1" ht="12.75"/>
    <row r="11" spans="1:16" s="184" customFormat="1" ht="12.75">
      <c r="A11" s="577" t="s">
        <v>252</v>
      </c>
      <c r="B11" s="577" t="s">
        <v>74</v>
      </c>
      <c r="C11" s="577"/>
      <c r="D11" s="577"/>
      <c r="E11" s="577"/>
      <c r="F11" s="577"/>
      <c r="G11" s="577"/>
      <c r="H11" s="577" t="s">
        <v>628</v>
      </c>
      <c r="I11" s="577" t="s">
        <v>629</v>
      </c>
      <c r="J11" s="577" t="s">
        <v>631</v>
      </c>
      <c r="K11" s="577"/>
      <c r="L11" s="577" t="s">
        <v>628</v>
      </c>
      <c r="M11" s="577" t="s">
        <v>631</v>
      </c>
      <c r="N11" s="577"/>
      <c r="O11" s="577"/>
      <c r="P11" s="577"/>
    </row>
    <row r="12" spans="1:16" s="184" customFormat="1" ht="12.75">
      <c r="A12" s="578" t="s">
        <v>279</v>
      </c>
      <c r="B12" s="578" t="s">
        <v>213</v>
      </c>
      <c r="C12" s="45" t="s">
        <v>69</v>
      </c>
      <c r="D12" s="577"/>
      <c r="E12" s="577" t="s">
        <v>354</v>
      </c>
      <c r="F12" s="577" t="s">
        <v>80</v>
      </c>
      <c r="G12" s="45" t="s">
        <v>208</v>
      </c>
      <c r="H12" s="45" t="s">
        <v>208</v>
      </c>
      <c r="I12" s="45" t="s">
        <v>632</v>
      </c>
      <c r="J12" s="45" t="s">
        <v>208</v>
      </c>
      <c r="K12" s="578" t="s">
        <v>209</v>
      </c>
      <c r="L12" s="578" t="s">
        <v>209</v>
      </c>
      <c r="M12" s="578" t="s">
        <v>209</v>
      </c>
      <c r="N12" s="578" t="s">
        <v>203</v>
      </c>
      <c r="O12" s="578" t="s">
        <v>291</v>
      </c>
      <c r="P12" s="578" t="s">
        <v>78</v>
      </c>
    </row>
    <row r="13" spans="1:16" s="184" customFormat="1" ht="12.75">
      <c r="A13" s="185"/>
      <c r="B13" s="185" t="s">
        <v>237</v>
      </c>
      <c r="C13" s="579" t="s">
        <v>238</v>
      </c>
      <c r="D13" s="579"/>
      <c r="E13" s="579" t="s">
        <v>239</v>
      </c>
      <c r="F13" s="579" t="s">
        <v>240</v>
      </c>
      <c r="G13" s="579" t="s">
        <v>241</v>
      </c>
      <c r="H13" s="580" t="s">
        <v>242</v>
      </c>
      <c r="I13" s="580" t="s">
        <v>243</v>
      </c>
      <c r="J13" s="580" t="s">
        <v>244</v>
      </c>
      <c r="K13" s="580" t="s">
        <v>245</v>
      </c>
      <c r="L13" s="580" t="s">
        <v>246</v>
      </c>
      <c r="M13" s="580" t="s">
        <v>247</v>
      </c>
      <c r="N13" s="580" t="s">
        <v>248</v>
      </c>
      <c r="O13" s="580" t="s">
        <v>249</v>
      </c>
      <c r="P13" s="580" t="s">
        <v>250</v>
      </c>
    </row>
    <row r="14" spans="1:1" s="184" customFormat="1" ht="12.75">
      <c r="A14" s="185"/>
    </row>
    <row r="15" spans="1:22" ht="12.75">
      <c r="A15" s="27">
        <v>1</v>
      </c>
      <c r="F15" s="32"/>
      <c r="G15" s="131"/>
      <c r="H15" s="131"/>
      <c r="I15" s="131"/>
      <c r="J15" s="131"/>
      <c r="K15" s="131"/>
      <c r="L15" s="131"/>
      <c r="M15" s="131"/>
      <c r="N15" s="131"/>
      <c r="O15" s="131"/>
      <c r="P15" s="131"/>
      <c r="Q15" s="32"/>
      <c r="R15" s="32"/>
      <c r="S15" s="32"/>
      <c r="T15" s="32"/>
      <c r="U15" s="32"/>
      <c r="V15" s="32"/>
    </row>
    <row r="16" spans="1:22" ht="12.75">
      <c r="A16" s="27">
        <v>2</v>
      </c>
      <c r="B16" s="104" t="s">
        <v>974</v>
      </c>
      <c r="C16" s="31"/>
      <c r="F16" s="32"/>
      <c r="G16" s="131"/>
      <c r="H16" s="131"/>
      <c r="I16" s="131"/>
      <c r="J16" s="131"/>
      <c r="K16" s="131"/>
      <c r="L16" s="131"/>
      <c r="M16" s="131"/>
      <c r="N16" s="131"/>
      <c r="O16" s="131"/>
      <c r="P16" s="131"/>
      <c r="Q16" s="32"/>
      <c r="R16" s="32"/>
      <c r="S16" s="32"/>
      <c r="T16" s="32"/>
      <c r="U16" s="32"/>
      <c r="V16" s="32"/>
    </row>
    <row r="17" spans="1:22" ht="12.75">
      <c r="A17" s="27">
        <v>3</v>
      </c>
      <c r="F17" s="32"/>
      <c r="G17" s="32"/>
      <c r="H17" s="32"/>
      <c r="I17" s="32"/>
      <c r="J17" s="32"/>
      <c r="K17" s="32"/>
      <c r="L17" s="32"/>
      <c r="M17" s="32"/>
      <c r="N17" s="32"/>
      <c r="O17" s="32"/>
      <c r="P17" s="32"/>
      <c r="Q17" s="32"/>
      <c r="R17" s="32"/>
      <c r="S17" s="32"/>
      <c r="T17" s="32"/>
      <c r="U17" s="32"/>
      <c r="V17" s="32"/>
    </row>
    <row r="18" spans="1:22" ht="12.75">
      <c r="A18" s="145">
        <v>4</v>
      </c>
      <c r="B18" s="101" t="s">
        <v>496</v>
      </c>
      <c r="C18" s="352" t="s">
        <v>975</v>
      </c>
      <c r="E18" s="387">
        <v>353019</v>
      </c>
      <c r="F18" s="29" t="s">
        <v>408</v>
      </c>
      <c r="G18" s="387">
        <v>58567.32</v>
      </c>
      <c r="H18" s="387">
        <v>0</v>
      </c>
      <c r="I18" s="387">
        <v>0</v>
      </c>
      <c r="J18" s="387">
        <f>SUM(G18:I18)</f>
        <v>58567.32</v>
      </c>
      <c r="K18" s="387">
        <v>235160.23000000001</v>
      </c>
      <c r="L18" s="387">
        <v>0</v>
      </c>
      <c r="M18" s="387">
        <f>SUM(K18:L18)</f>
        <v>235160.23000000001</v>
      </c>
      <c r="N18" s="387">
        <v>57118.75</v>
      </c>
      <c r="O18" s="387">
        <v>2172.6999999999998</v>
      </c>
      <c r="P18" s="388">
        <f>+J18+M18+N18+O18</f>
        <v>353019</v>
      </c>
      <c r="Q18" s="32" t="b">
        <f t="shared" si="0" ref="Q18:Q24">+E18=P18</f>
        <v>1</v>
      </c>
      <c r="R18" s="32"/>
      <c r="S18" s="32"/>
      <c r="T18" s="32"/>
      <c r="U18" s="32"/>
      <c r="V18" s="32"/>
    </row>
    <row r="19" spans="1:22" ht="12.75">
      <c r="A19" s="145">
        <v>5</v>
      </c>
      <c r="B19" s="101" t="s">
        <v>497</v>
      </c>
      <c r="C19" t="s">
        <v>359</v>
      </c>
      <c r="E19" s="389">
        <v>764038.15000000002</v>
      </c>
      <c r="F19" s="518" t="s">
        <v>408</v>
      </c>
      <c r="G19" s="389">
        <v>192000</v>
      </c>
      <c r="H19" s="389">
        <v>0</v>
      </c>
      <c r="I19" s="389">
        <v>0</v>
      </c>
      <c r="J19" s="389">
        <f t="shared" si="1" ref="J19:J24">SUM(G19:I19)</f>
        <v>192000</v>
      </c>
      <c r="K19" s="389">
        <v>572038.15000000002</v>
      </c>
      <c r="L19" s="389">
        <v>0</v>
      </c>
      <c r="M19" s="389">
        <f t="shared" si="2" ref="M19:M24">SUM(K19:L19)</f>
        <v>572038.15000000002</v>
      </c>
      <c r="N19" s="389">
        <v>0</v>
      </c>
      <c r="O19" s="389">
        <v>0</v>
      </c>
      <c r="P19" s="390">
        <f t="shared" si="3" ref="P19:P24">+J19+M19+N19+O19</f>
        <v>764038.15000000002</v>
      </c>
      <c r="Q19" s="32" t="b">
        <f t="shared" si="0"/>
        <v>1</v>
      </c>
      <c r="R19" s="32"/>
      <c r="S19" s="32"/>
      <c r="T19" s="32"/>
      <c r="U19" s="32"/>
      <c r="V19" s="32"/>
    </row>
    <row r="20" spans="1:22" ht="12.75">
      <c r="A20" s="145">
        <v>6</v>
      </c>
      <c r="B20" s="101" t="s">
        <v>498</v>
      </c>
      <c r="C20" t="s">
        <v>499</v>
      </c>
      <c r="E20" s="389">
        <v>28000</v>
      </c>
      <c r="F20" s="518" t="s">
        <v>13</v>
      </c>
      <c r="G20" s="389">
        <f>ROUND(+$E20*'[5]II-F Alloc_Factor'!E$17,2)</f>
        <v>6165.6400000000003</v>
      </c>
      <c r="H20" s="389">
        <f>ROUND(+$E20*'[5]II-F Alloc_Factor'!F$17,2)</f>
        <v>0</v>
      </c>
      <c r="I20" s="389">
        <f>ROUND(+$E20*'[5]II-F Alloc_Factor'!G$17,2)</f>
        <v>0</v>
      </c>
      <c r="J20" s="389">
        <f t="shared" si="1"/>
        <v>6165.6400000000003</v>
      </c>
      <c r="K20" s="389">
        <f>ROUND(+$E20*'[5]II-F Alloc_Factor'!I$17,2)</f>
        <v>17009.990000000002</v>
      </c>
      <c r="L20" s="389">
        <f>ROUND(+$E20*'[5]II-F Alloc_Factor'!J$17,2)</f>
        <v>0</v>
      </c>
      <c r="M20" s="389">
        <f t="shared" si="2"/>
        <v>17009.990000000002</v>
      </c>
      <c r="N20" s="389">
        <f>ROUND(+$E20*'[5]II-F Alloc_Factor'!L$17,2)</f>
        <v>4637.7399999999998</v>
      </c>
      <c r="O20" s="389">
        <f>ROUND(+$E20*'[5]II-F Alloc_Factor'!M$17,2)</f>
        <v>186.63</v>
      </c>
      <c r="P20" s="390">
        <f t="shared" si="3"/>
        <v>28000.000000000004</v>
      </c>
      <c r="Q20" s="32" t="b">
        <f t="shared" si="0"/>
        <v>1</v>
      </c>
      <c r="R20" s="32"/>
      <c r="S20" s="32"/>
      <c r="T20" s="32"/>
      <c r="U20" s="32"/>
      <c r="V20" s="32"/>
    </row>
    <row r="21" spans="1:22" ht="12.75">
      <c r="A21" s="145">
        <v>7</v>
      </c>
      <c r="B21" s="101" t="s">
        <v>178</v>
      </c>
      <c r="C21" t="s">
        <v>314</v>
      </c>
      <c r="E21" s="389">
        <v>6440730.3600000003</v>
      </c>
      <c r="F21" s="518" t="s">
        <v>13</v>
      </c>
      <c r="G21" s="389">
        <f>ROUND(+$E21*'[5]II-F Alloc_Factor'!E$17,2)</f>
        <v>1418258.8999999999</v>
      </c>
      <c r="H21" s="389">
        <f>ROUND(+$E21*'[5]II-F Alloc_Factor'!F$17,2)</f>
        <v>0</v>
      </c>
      <c r="I21" s="389">
        <f>ROUND(+$E21*'[5]II-F Alloc_Factor'!G$17,2)</f>
        <v>0</v>
      </c>
      <c r="J21" s="389">
        <f t="shared" si="1"/>
        <v>1418258.8999999999</v>
      </c>
      <c r="K21" s="389">
        <f>ROUND(+$E21*'[5]II-F Alloc_Factor'!I$17,2)</f>
        <v>3912740.5499999998</v>
      </c>
      <c r="L21" s="389">
        <f>ROUND(+$E21*'[5]II-F Alloc_Factor'!J$17,2)</f>
        <v>0</v>
      </c>
      <c r="M21" s="389">
        <f t="shared" si="2"/>
        <v>3912740.5499999998</v>
      </c>
      <c r="N21" s="389">
        <f>ROUND(+$E21*'[5]II-F Alloc_Factor'!L$17,2)</f>
        <v>1066801.4199999999</v>
      </c>
      <c r="O21" s="389">
        <f>ROUND(+$E21*'[5]II-F Alloc_Factor'!M$17,2)</f>
        <v>42929.489999999998</v>
      </c>
      <c r="P21" s="390">
        <f t="shared" si="3"/>
        <v>6440730.3599999994</v>
      </c>
      <c r="Q21" s="32" t="b">
        <f t="shared" si="0"/>
        <v>1</v>
      </c>
      <c r="R21" s="32"/>
      <c r="S21" s="32"/>
      <c r="T21" s="32"/>
      <c r="U21" s="32"/>
      <c r="V21" s="32"/>
    </row>
    <row r="22" spans="1:22" ht="12.75">
      <c r="A22" s="145">
        <v>8</v>
      </c>
      <c r="B22" s="101" t="s">
        <v>179</v>
      </c>
      <c r="C22" t="s">
        <v>315</v>
      </c>
      <c r="E22" s="389">
        <v>373207.79999999999</v>
      </c>
      <c r="F22" s="518" t="s">
        <v>13</v>
      </c>
      <c r="G22" s="389">
        <f>ROUND(+$E22*'[5]II-F Alloc_Factor'!E$17,2)</f>
        <v>82180.940000000002</v>
      </c>
      <c r="H22" s="389">
        <f>ROUND(+$E22*'[5]II-F Alloc_Factor'!F$17,2)</f>
        <v>0</v>
      </c>
      <c r="I22" s="389">
        <f>ROUND(+$E22*'[5]II-F Alloc_Factor'!G$17,2)</f>
        <v>0</v>
      </c>
      <c r="J22" s="389">
        <f t="shared" si="1"/>
        <v>82180.940000000002</v>
      </c>
      <c r="K22" s="389">
        <f>ROUND(+$E22*'[5]II-F Alloc_Factor'!I$17,2)</f>
        <v>226723.56</v>
      </c>
      <c r="L22" s="389">
        <f>ROUND(+$E22*'[5]II-F Alloc_Factor'!J$17,2)</f>
        <v>0</v>
      </c>
      <c r="M22" s="389">
        <f t="shared" si="2"/>
        <v>226723.56</v>
      </c>
      <c r="N22" s="389">
        <f>ROUND(+$E22*'[5]II-F Alloc_Factor'!L$17,2)</f>
        <v>61815.760000000002</v>
      </c>
      <c r="O22" s="389">
        <f>+E22-J22-M22-N22</f>
        <v>2487.5399999999863</v>
      </c>
      <c r="P22" s="390">
        <f t="shared" si="3"/>
        <v>373207.79999999999</v>
      </c>
      <c r="Q22" s="32" t="b">
        <f t="shared" si="0"/>
        <v>1</v>
      </c>
      <c r="R22" s="32"/>
      <c r="S22" s="32"/>
      <c r="T22" s="32"/>
      <c r="U22" s="32"/>
      <c r="V22" s="32"/>
    </row>
    <row r="23" spans="1:22" ht="12.75">
      <c r="A23" s="145">
        <v>9</v>
      </c>
      <c r="B23" s="29" t="s">
        <v>180</v>
      </c>
      <c r="C23" s="28" t="s">
        <v>182</v>
      </c>
      <c r="E23" s="389">
        <v>1947</v>
      </c>
      <c r="F23" s="518" t="s">
        <v>13</v>
      </c>
      <c r="G23" s="389">
        <f>ROUND(+$E23*'[5]II-F Alloc_Factor'!E$17,2)</f>
        <v>428.73000000000002</v>
      </c>
      <c r="H23" s="389">
        <f>ROUND(+$E23*'[5]II-F Alloc_Factor'!F$17,2)</f>
        <v>0</v>
      </c>
      <c r="I23" s="389">
        <f>ROUND(+$E23*'[5]II-F Alloc_Factor'!G$17,2)</f>
        <v>0</v>
      </c>
      <c r="J23" s="389">
        <f t="shared" si="1"/>
        <v>428.73000000000002</v>
      </c>
      <c r="K23" s="389">
        <f>ROUND(+$E23*'[5]II-F Alloc_Factor'!I$17,2)</f>
        <v>1182.8</v>
      </c>
      <c r="L23" s="389">
        <f>ROUND(+$E23*'[5]II-F Alloc_Factor'!J$17,2)</f>
        <v>0</v>
      </c>
      <c r="M23" s="389">
        <f t="shared" si="2"/>
        <v>1182.8</v>
      </c>
      <c r="N23" s="389">
        <f>ROUND(+$E23*'[5]II-F Alloc_Factor'!L$17,2)</f>
        <v>322.49000000000001</v>
      </c>
      <c r="O23" s="389">
        <f>ROUND(+$E23*'[5]II-F Alloc_Factor'!M$17,2)</f>
        <v>12.98</v>
      </c>
      <c r="P23" s="390">
        <f t="shared" si="3"/>
        <v>1947</v>
      </c>
      <c r="Q23" s="32" t="b">
        <f t="shared" si="0"/>
        <v>1</v>
      </c>
      <c r="R23" s="32"/>
      <c r="S23" s="32"/>
      <c r="T23" s="32"/>
      <c r="U23" s="32"/>
      <c r="V23" s="32"/>
    </row>
    <row r="24" spans="1:22" ht="12.75">
      <c r="A24" s="145">
        <v>10</v>
      </c>
      <c r="B24" s="29" t="s">
        <v>181</v>
      </c>
      <c r="C24" s="28" t="s">
        <v>500</v>
      </c>
      <c r="E24" s="389">
        <v>6078420.0300000003</v>
      </c>
      <c r="F24" s="518" t="s">
        <v>13</v>
      </c>
      <c r="G24" s="389">
        <f>ROUND(+$E24*'[5]II-F Alloc_Factor'!E$17,2)</f>
        <v>1338477.6000000001</v>
      </c>
      <c r="H24" s="389">
        <f>ROUND(+$E24*'[5]II-F Alloc_Factor'!F$17,2)</f>
        <v>0</v>
      </c>
      <c r="I24" s="389">
        <f>ROUND(+$E24*'[5]II-F Alloc_Factor'!G$17,2)</f>
        <v>0</v>
      </c>
      <c r="J24" s="389">
        <f t="shared" si="1"/>
        <v>1338477.6000000001</v>
      </c>
      <c r="K24" s="389">
        <f>ROUND(+$E24*'[5]II-F Alloc_Factor'!I$17,2)</f>
        <v>3692637.2000000002</v>
      </c>
      <c r="L24" s="389">
        <f>ROUND(+$E24*'[5]II-F Alloc_Factor'!J$17,2)</f>
        <v>0</v>
      </c>
      <c r="M24" s="389">
        <f t="shared" si="2"/>
        <v>3692637.2000000002</v>
      </c>
      <c r="N24" s="389">
        <f>ROUND(+$E24*'[5]II-F Alloc_Factor'!L$17,2)</f>
        <v>1006790.65</v>
      </c>
      <c r="O24" s="389">
        <f>ROUND(+$E24*'[5]II-F Alloc_Factor'!M$17,2)</f>
        <v>40514.580000000002</v>
      </c>
      <c r="P24" s="390">
        <f t="shared" si="3"/>
        <v>6078420.0300000012</v>
      </c>
      <c r="Q24" s="32" t="b">
        <f t="shared" si="0"/>
        <v>1</v>
      </c>
      <c r="R24" s="32"/>
      <c r="S24" s="32"/>
      <c r="T24" s="32"/>
      <c r="U24" s="32"/>
      <c r="V24" s="32"/>
    </row>
    <row r="25" spans="1:22" ht="12.75">
      <c r="A25" s="145">
        <v>11</v>
      </c>
      <c r="C25" s="31" t="s">
        <v>347</v>
      </c>
      <c r="E25" s="391">
        <f>SUM(E18:E24)</f>
        <v>14039362.34</v>
      </c>
      <c r="F25" s="32"/>
      <c r="G25" s="391">
        <f t="shared" si="4" ref="G25:P25">SUM(G18:G24)</f>
        <v>3096079.1299999999</v>
      </c>
      <c r="H25" s="391">
        <f t="shared" si="5" ref="H25:O25">SUM(H18:H24)</f>
        <v>0</v>
      </c>
      <c r="I25" s="391">
        <f t="shared" si="5"/>
        <v>0</v>
      </c>
      <c r="J25" s="391">
        <f t="shared" si="5"/>
        <v>3096079.1299999999</v>
      </c>
      <c r="K25" s="391">
        <f t="shared" si="5"/>
        <v>8657492.4800000004</v>
      </c>
      <c r="L25" s="391">
        <f t="shared" si="5"/>
        <v>0</v>
      </c>
      <c r="M25" s="391">
        <f t="shared" si="5"/>
        <v>8657492.4800000004</v>
      </c>
      <c r="N25" s="391">
        <f t="shared" si="5"/>
        <v>2197486.8100000001</v>
      </c>
      <c r="O25" s="391">
        <f t="shared" si="5"/>
        <v>88303.919999999984</v>
      </c>
      <c r="P25" s="391">
        <f t="shared" si="4"/>
        <v>14039362.34</v>
      </c>
      <c r="Q25" s="32"/>
      <c r="R25" s="32"/>
      <c r="S25" s="32"/>
      <c r="T25" s="32"/>
      <c r="U25" s="32"/>
      <c r="V25" s="32"/>
    </row>
    <row r="26" spans="1:22" ht="12.75">
      <c r="A26" s="145">
        <v>12</v>
      </c>
      <c r="E26" s="103"/>
      <c r="F26" s="782"/>
      <c r="G26" s="32"/>
      <c r="H26" s="32"/>
      <c r="I26" s="32"/>
      <c r="J26" s="32"/>
      <c r="K26" s="32"/>
      <c r="L26" s="32"/>
      <c r="M26" s="32"/>
      <c r="N26" s="32"/>
      <c r="O26" s="32"/>
      <c r="P26" s="32"/>
      <c r="Q26" s="32"/>
      <c r="R26" s="32"/>
      <c r="S26" s="32"/>
      <c r="T26" s="32"/>
      <c r="U26" s="32"/>
      <c r="V26" s="32"/>
    </row>
    <row r="27" spans="1:22" ht="12.75">
      <c r="A27" s="145">
        <v>13</v>
      </c>
      <c r="B27" s="104" t="s">
        <v>804</v>
      </c>
      <c r="E27" s="103"/>
      <c r="F27" s="32"/>
      <c r="G27" s="131"/>
      <c r="H27" s="131"/>
      <c r="I27" s="131"/>
      <c r="J27" s="131"/>
      <c r="K27" s="131"/>
      <c r="L27" s="131"/>
      <c r="M27" s="131"/>
      <c r="N27" s="131"/>
      <c r="O27" s="131"/>
      <c r="P27" s="131"/>
      <c r="Q27" s="32"/>
      <c r="R27" s="32"/>
      <c r="S27" s="32"/>
      <c r="T27" s="32"/>
      <c r="U27" s="32"/>
      <c r="V27" s="32"/>
    </row>
    <row r="28" spans="1:5" ht="12.75">
      <c r="A28" s="145">
        <v>14</v>
      </c>
      <c r="E28" s="103"/>
    </row>
    <row r="29" spans="1:18" ht="12.75">
      <c r="A29" s="145">
        <v>15</v>
      </c>
      <c r="B29" s="27" t="s">
        <v>183</v>
      </c>
      <c r="C29" t="s">
        <v>348</v>
      </c>
      <c r="E29" s="387">
        <v>-6181676.0499999989</v>
      </c>
      <c r="F29" s="29" t="s">
        <v>13</v>
      </c>
      <c r="G29" s="387">
        <f>ROUND(+$E29*'[5]II-F Alloc_Factor'!E$17,2)</f>
        <v>-1361214.74</v>
      </c>
      <c r="H29" s="387">
        <f>ROUND(+$E29*'[5]II-F Alloc_Factor'!F$17,2)</f>
        <v>0</v>
      </c>
      <c r="I29" s="387">
        <f>ROUND(+$E29*'[5]II-F Alloc_Factor'!G$17,2)</f>
        <v>0</v>
      </c>
      <c r="J29" s="387">
        <f t="shared" si="6" ref="J29:J32">SUM(G29:I29)</f>
        <v>-1361214.74</v>
      </c>
      <c r="K29" s="387">
        <f>ROUND(+$E29*'[5]II-F Alloc_Factor'!I$17,2)</f>
        <v>-3755365.1800000002</v>
      </c>
      <c r="L29" s="387">
        <f>ROUND(+$E29*'[5]II-F Alloc_Factor'!J$17,2)</f>
        <v>0</v>
      </c>
      <c r="M29" s="387">
        <f t="shared" si="7" ref="M29:M32">SUM(K29:L29)</f>
        <v>-3755365.1800000002</v>
      </c>
      <c r="N29" s="387">
        <f>ROUND(+$E29*'[5]II-F Alloc_Factor'!L$17,2)</f>
        <v>-1023893.32</v>
      </c>
      <c r="O29" s="387">
        <f>ROUND(+$E29*'[5]II-F Alloc_Factor'!M$17,2)</f>
        <v>-41202.809999999998</v>
      </c>
      <c r="P29" s="387">
        <f t="shared" si="8" ref="P29:P32">+J29+M29+N29+O29</f>
        <v>-6181676.0499999998</v>
      </c>
      <c r="Q29" s="32" t="b">
        <f>+E29=P29</f>
        <v>1</v>
      </c>
      <c r="R29" s="781">
        <f>+P29-E29</f>
        <v>0</v>
      </c>
    </row>
    <row r="30" spans="1:18" ht="12.75">
      <c r="A30" s="145">
        <v>16</v>
      </c>
      <c r="B30" s="27" t="s">
        <v>184</v>
      </c>
      <c r="C30" t="s">
        <v>349</v>
      </c>
      <c r="E30" s="389">
        <v>22625.57</v>
      </c>
      <c r="F30" s="29" t="s">
        <v>13</v>
      </c>
      <c r="G30" s="389">
        <f>ROUND(+$E30*'[5]II-F Alloc_Factor'!E$17,2)</f>
        <v>4982.1899999999996</v>
      </c>
      <c r="H30" s="389">
        <f>ROUND(+$E30*'[5]II-F Alloc_Factor'!F$17,2)</f>
        <v>0</v>
      </c>
      <c r="I30" s="389">
        <f>ROUND(+$E30*'[5]II-F Alloc_Factor'!G$17,2)</f>
        <v>0</v>
      </c>
      <c r="J30" s="389">
        <f t="shared" si="6"/>
        <v>4982.1899999999996</v>
      </c>
      <c r="K30" s="389">
        <f>ROUND(+$E30*'[5]II-F Alloc_Factor'!I$17,2)</f>
        <v>13745.02</v>
      </c>
      <c r="L30" s="389">
        <f>ROUND(+$E30*'[5]II-F Alloc_Factor'!J$17,2)</f>
        <v>0</v>
      </c>
      <c r="M30" s="389">
        <f t="shared" si="7"/>
        <v>13745.02</v>
      </c>
      <c r="N30" s="389">
        <f>ROUND(+$E30*'[5]II-F Alloc_Factor'!L$17,2)</f>
        <v>3747.5500000000002</v>
      </c>
      <c r="O30" s="389">
        <f>ROUND(+$E30*'[5]II-F Alloc_Factor'!M$17,2)</f>
        <v>150.81</v>
      </c>
      <c r="P30" s="389">
        <f t="shared" si="8"/>
        <v>22625.57</v>
      </c>
      <c r="Q30" s="32" t="b">
        <f>+E30=P30</f>
        <v>1</v>
      </c>
      <c r="R30" s="781">
        <f t="shared" si="9" ref="R30:R32">+P30-E30</f>
        <v>0</v>
      </c>
    </row>
    <row r="31" spans="1:18" ht="12.75">
      <c r="A31" s="145">
        <v>17</v>
      </c>
      <c r="B31" s="27" t="s">
        <v>185</v>
      </c>
      <c r="C31" t="s">
        <v>350</v>
      </c>
      <c r="E31" s="389">
        <v>4950831.8599999994</v>
      </c>
      <c r="F31" s="29" t="s">
        <v>13</v>
      </c>
      <c r="G31" s="389">
        <f>ROUND(+$E31*'[5]II-F Alloc_Factor'!E$17,2)</f>
        <v>1090180.9199999999</v>
      </c>
      <c r="H31" s="389">
        <f>ROUND(+$E31*'[5]II-F Alloc_Factor'!F$17,2)</f>
        <v>0</v>
      </c>
      <c r="I31" s="389">
        <f>ROUND(+$E31*'[5]II-F Alloc_Factor'!G$17,2)</f>
        <v>0</v>
      </c>
      <c r="J31" s="389">
        <f t="shared" si="6"/>
        <v>1090180.9199999999</v>
      </c>
      <c r="K31" s="389">
        <f>ROUND(+$E31*'[5]II-F Alloc_Factor'!I$17,2)</f>
        <v>3007627.9300000002</v>
      </c>
      <c r="L31" s="389">
        <f>ROUND(+$E31*'[5]II-F Alloc_Factor'!J$17,2)</f>
        <v>0</v>
      </c>
      <c r="M31" s="389">
        <f t="shared" si="7"/>
        <v>3007627.9300000002</v>
      </c>
      <c r="N31" s="389">
        <f>ROUND(+$E31*'[5]II-F Alloc_Factor'!L$17,2)</f>
        <v>820024.15000000002</v>
      </c>
      <c r="O31" s="389">
        <f>ROUND(+$E31*'[5]II-F Alloc_Factor'!M$17,2)+0.01</f>
        <v>32998.860000000001</v>
      </c>
      <c r="P31" s="389">
        <f t="shared" si="8"/>
        <v>4950831.8600000003</v>
      </c>
      <c r="Q31" s="32" t="b">
        <f>+E31=P31</f>
        <v>1</v>
      </c>
      <c r="R31" s="781">
        <f t="shared" si="9"/>
        <v>0</v>
      </c>
    </row>
    <row r="32" spans="1:18" ht="12.75">
      <c r="A32" s="145">
        <v>18</v>
      </c>
      <c r="B32" s="27" t="s">
        <v>186</v>
      </c>
      <c r="C32" t="s">
        <v>351</v>
      </c>
      <c r="E32" s="389">
        <v>0</v>
      </c>
      <c r="F32" s="29" t="s">
        <v>13</v>
      </c>
      <c r="G32" s="389">
        <f>ROUND(+$E32*'[5]II-F Alloc_Factor'!E$17,2)</f>
        <v>0</v>
      </c>
      <c r="H32" s="389">
        <f>ROUND(+$E32*'[5]II-F Alloc_Factor'!F$17,2)</f>
        <v>0</v>
      </c>
      <c r="I32" s="389">
        <f>ROUND(+$E32*'[5]II-F Alloc_Factor'!G$17,2)</f>
        <v>0</v>
      </c>
      <c r="J32" s="389">
        <f t="shared" si="6"/>
        <v>0</v>
      </c>
      <c r="K32" s="389">
        <f>ROUND(+$E32*'[5]II-F Alloc_Factor'!I$17,2)</f>
        <v>0</v>
      </c>
      <c r="L32" s="389">
        <f>ROUND(+$E32*'[5]II-F Alloc_Factor'!J$17,2)</f>
        <v>0</v>
      </c>
      <c r="M32" s="389">
        <f t="shared" si="7"/>
        <v>0</v>
      </c>
      <c r="N32" s="389">
        <f>ROUND(+$E32*'[5]II-F Alloc_Factor'!L$17,2)</f>
        <v>0</v>
      </c>
      <c r="O32" s="389">
        <f>ROUND(+$E32*'[5]II-F Alloc_Factor'!M$17,2)</f>
        <v>0</v>
      </c>
      <c r="P32" s="389">
        <f t="shared" si="8"/>
        <v>0</v>
      </c>
      <c r="Q32" s="32" t="b">
        <f>+E32=P32</f>
        <v>1</v>
      </c>
      <c r="R32" s="781">
        <f t="shared" si="9"/>
        <v>0</v>
      </c>
    </row>
    <row r="33" spans="1:16" ht="12.75">
      <c r="A33" s="145">
        <v>19</v>
      </c>
      <c r="C33" s="31" t="s">
        <v>187</v>
      </c>
      <c r="E33" s="391">
        <f>SUM(E29:E32)</f>
        <v>-1208218.6199999992</v>
      </c>
      <c r="G33" s="391">
        <f t="shared" si="10" ref="G33:P33">SUM(G29:G32)</f>
        <v>-266051.63000000012</v>
      </c>
      <c r="H33" s="391">
        <f t="shared" si="11" ref="H33:O33">SUM(H29:H32)</f>
        <v>0</v>
      </c>
      <c r="I33" s="391">
        <f t="shared" si="11"/>
        <v>0</v>
      </c>
      <c r="J33" s="391">
        <f t="shared" si="11"/>
        <v>-266051.63000000012</v>
      </c>
      <c r="K33" s="391">
        <f t="shared" si="11"/>
        <v>-733992.22999999998</v>
      </c>
      <c r="L33" s="391">
        <f t="shared" si="11"/>
        <v>0</v>
      </c>
      <c r="M33" s="391">
        <f t="shared" si="11"/>
        <v>-733992.22999999998</v>
      </c>
      <c r="N33" s="391">
        <f t="shared" si="11"/>
        <v>-200121.61999999988</v>
      </c>
      <c r="O33" s="391">
        <f t="shared" si="11"/>
        <v>-8053.1399999999994</v>
      </c>
      <c r="P33" s="391">
        <f t="shared" si="10"/>
        <v>-1208218.6199999992</v>
      </c>
    </row>
    <row r="34" spans="1:1" ht="12.75">
      <c r="A34" s="145">
        <v>20</v>
      </c>
    </row>
    <row r="35" spans="1:7" ht="12.75">
      <c r="A35" s="145">
        <v>21</v>
      </c>
      <c r="B35" s="106" t="s">
        <v>1102</v>
      </c>
      <c r="C35" s="374"/>
      <c r="D35" s="374"/>
      <c r="E35" s="374"/>
      <c r="F35" s="374"/>
      <c r="G35" s="374"/>
    </row>
    <row r="36" spans="1:2" s="374" customFormat="1" ht="12.75">
      <c r="A36" s="145">
        <v>22</v>
      </c>
      <c r="B36" s="106" t="s">
        <v>976</v>
      </c>
    </row>
    <row r="37" spans="1:7" ht="12.75">
      <c r="A37" s="145">
        <v>23</v>
      </c>
      <c r="B37" s="527" t="s">
        <v>803</v>
      </c>
      <c r="C37" s="374"/>
      <c r="D37" s="374"/>
      <c r="E37" s="374"/>
      <c r="F37" s="374"/>
      <c r="G37" s="374"/>
    </row>
    <row r="38" spans="1:7" ht="12.75">
      <c r="A38" s="145">
        <v>24</v>
      </c>
      <c r="B38" s="374"/>
      <c r="C38" s="374"/>
      <c r="D38" s="374"/>
      <c r="E38" s="374"/>
      <c r="F38" s="374"/>
      <c r="G38" s="374"/>
    </row>
    <row r="39" spans="1:7" ht="12.75">
      <c r="A39" s="145">
        <v>25</v>
      </c>
      <c r="B39" s="374"/>
      <c r="C39" s="374"/>
      <c r="D39" s="374"/>
      <c r="E39" s="145" t="s">
        <v>383</v>
      </c>
      <c r="F39" s="374" t="s">
        <v>71</v>
      </c>
      <c r="G39" s="374"/>
    </row>
    <row r="40" spans="1:7" ht="12.75">
      <c r="A40" s="145">
        <v>26</v>
      </c>
      <c r="B40" s="374"/>
      <c r="C40" s="660" t="s">
        <v>1103</v>
      </c>
      <c r="D40" s="374"/>
      <c r="E40" s="102">
        <f>E25</f>
        <v>14039362.34</v>
      </c>
      <c r="F40" s="374" t="s">
        <v>1104</v>
      </c>
      <c r="G40" s="374"/>
    </row>
    <row r="41" spans="1:7" ht="12.75">
      <c r="A41" s="145">
        <v>27</v>
      </c>
      <c r="B41" s="374" t="s">
        <v>1105</v>
      </c>
      <c r="C41" s="374"/>
      <c r="D41" s="374"/>
      <c r="E41" s="102"/>
      <c r="F41" s="374"/>
      <c r="G41" s="374"/>
    </row>
    <row r="42" spans="1:7" ht="12.75">
      <c r="A42" s="145">
        <v>28</v>
      </c>
      <c r="B42" s="145">
        <v>4210200</v>
      </c>
      <c r="C42" s="374" t="s">
        <v>977</v>
      </c>
      <c r="D42" s="374"/>
      <c r="E42" s="102">
        <v>125486.16</v>
      </c>
      <c r="F42" s="374" t="s">
        <v>978</v>
      </c>
      <c r="G42" s="374"/>
    </row>
    <row r="43" spans="1:7" ht="12.75">
      <c r="A43" s="145">
        <v>29</v>
      </c>
      <c r="B43" s="145">
        <v>4250000</v>
      </c>
      <c r="C43" s="374" t="s">
        <v>975</v>
      </c>
      <c r="D43" s="374"/>
      <c r="E43" s="102">
        <v>977879.40000000002</v>
      </c>
      <c r="F43" s="374" t="s">
        <v>979</v>
      </c>
      <c r="G43" s="374"/>
    </row>
    <row r="44" spans="1:7" ht="12.75">
      <c r="A44" s="145">
        <v>30</v>
      </c>
      <c r="B44" s="145">
        <v>4253800</v>
      </c>
      <c r="C44" s="374" t="s">
        <v>980</v>
      </c>
      <c r="D44" s="374"/>
      <c r="E44" s="102">
        <v>2100089.2000000002</v>
      </c>
      <c r="F44" s="374" t="s">
        <v>1106</v>
      </c>
      <c r="G44" s="374"/>
    </row>
    <row r="45" spans="1:7" ht="12.75">
      <c r="A45" s="145">
        <v>31</v>
      </c>
      <c r="B45" s="145" t="s">
        <v>180</v>
      </c>
      <c r="C45" s="374" t="s">
        <v>182</v>
      </c>
      <c r="D45" s="374"/>
      <c r="E45" s="741">
        <v>50944520.020000003</v>
      </c>
      <c r="F45" s="374" t="s">
        <v>1107</v>
      </c>
      <c r="G45" s="374"/>
    </row>
    <row r="46" spans="1:7" ht="12.75">
      <c r="A46" s="145">
        <v>32</v>
      </c>
      <c r="B46" s="145"/>
      <c r="C46" s="374"/>
      <c r="D46" s="374"/>
      <c r="E46" s="102"/>
      <c r="F46" s="374"/>
      <c r="G46" s="374"/>
    </row>
    <row r="47" spans="1:7" ht="12.75">
      <c r="A47" s="145">
        <v>33</v>
      </c>
      <c r="B47" s="374"/>
      <c r="C47" s="374" t="s">
        <v>981</v>
      </c>
      <c r="D47" s="374"/>
      <c r="E47" s="455">
        <f>SUM(E40:E46)</f>
        <v>68187337.120000005</v>
      </c>
      <c r="F47" s="374" t="s">
        <v>1108</v>
      </c>
      <c r="G47" s="374"/>
    </row>
    <row r="48" spans="1:7" ht="12.75">
      <c r="A48" s="145">
        <v>34</v>
      </c>
      <c r="B48" s="374"/>
      <c r="C48" s="374"/>
      <c r="D48" s="374"/>
      <c r="E48" s="457"/>
      <c r="F48" s="374"/>
      <c r="G48" s="374"/>
    </row>
    <row r="49" spans="1:7" ht="12.75">
      <c r="A49" s="145">
        <v>35</v>
      </c>
      <c r="B49" s="374"/>
      <c r="C49" s="374" t="s">
        <v>1109</v>
      </c>
      <c r="D49" s="374"/>
      <c r="E49" s="457">
        <v>68187337.11999999</v>
      </c>
      <c r="F49" s="374"/>
      <c r="G49" s="374"/>
    </row>
  </sheetData>
  <printOptions horizontalCentered="1"/>
  <pageMargins left="0.1" right="0.1" top="2.25" bottom="0.2" header="1" footer="0.5"/>
  <pageSetup orientation="landscape" scale="56" r:id="rId1"/>
  <headerFooter alignWithMargins="0">
    <oddHeader>&amp;C&amp;B
2022 RATE CASE
ONCOR ELECTRIC DELIVERY COMPANY LLC
II-E-4.2 BELOW THE LINE EXPENSES
TEST YEAR ENDING DECEMBER 31, 2021
SPONSOR: W. ALAN LEDBETTER&amp;R&amp;"Arial,Bold"Schedule &amp;A
Page &amp;P of &amp;N</oddHead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6">
    <tabColor rgb="FF00B050"/>
  </sheetPr>
  <dimension ref="A1:I17"/>
  <sheetViews>
    <sheetView workbookViewId="0" topLeftCell="A1">
      <selection pane="topLeft" activeCell="A16" sqref="A16:I16"/>
    </sheetView>
  </sheetViews>
  <sheetFormatPr defaultRowHeight="12.75"/>
  <sheetData>
    <row r="1" spans="1:1" ht="12.75">
      <c r="A1" s="31" t="str">
        <f>+'[3]Input Data'!$A$9</f>
        <v>2022 RATE CASE</v>
      </c>
    </row>
    <row r="2" spans="1:1" ht="12.75">
      <c r="A2" s="34" t="str">
        <f>+'[3]Input Data'!$A$2</f>
        <v>ONCOR ELECTRIC DELIVERY COMPANY LLC</v>
      </c>
    </row>
    <row r="3" spans="1:1" ht="12.75">
      <c r="A3" s="168" t="str">
        <f>CONCATENATE('[3]Schedule Sponsors'!$A$113,'[3]Schedule Sponsors'!$B$113)</f>
        <v>II-E-4.3  NONRECURRING OR EXTRAORDINARY EXPENSES</v>
      </c>
    </row>
    <row r="4" spans="1:1" ht="12.75">
      <c r="A4" s="92" t="str">
        <f>+'[3]Input Data'!$A$4</f>
        <v>TEST YEAR ENDING DECEMBER 31, 2021</v>
      </c>
    </row>
    <row r="5" spans="1:1" ht="12.75">
      <c r="A5" s="33" t="str">
        <f>CONCATENATE("SPONSOR: ",'[3]Schedule Sponsors'!$D$113)</f>
        <v>SPONSOR: W. ALAN LEDBETTER</v>
      </c>
    </row>
    <row r="16" spans="1:9" ht="15">
      <c r="A16" s="841" t="s">
        <v>12</v>
      </c>
      <c r="B16" s="841"/>
      <c r="C16" s="841"/>
      <c r="D16" s="841"/>
      <c r="E16" s="841"/>
      <c r="F16" s="841"/>
      <c r="G16" s="841"/>
      <c r="H16" s="841"/>
      <c r="I16" s="841"/>
    </row>
    <row r="17" spans="1:9" ht="15">
      <c r="A17" s="841" t="s">
        <v>302</v>
      </c>
      <c r="B17" s="841"/>
      <c r="C17" s="841"/>
      <c r="D17" s="841"/>
      <c r="E17" s="841"/>
      <c r="F17" s="841"/>
      <c r="G17" s="841"/>
      <c r="H17" s="841"/>
      <c r="I17" s="841"/>
    </row>
  </sheetData>
  <mergeCells count="2">
    <mergeCell ref="A16:I16"/>
    <mergeCell ref="A17:I17"/>
  </mergeCells>
  <printOptions horizontalCentered="1"/>
  <pageMargins left="0.5" right="0.5" top="3" bottom="0.5" header="1.25" footer="0.5"/>
  <pageSetup orientation="landscape" r:id="rId1"/>
  <headerFooter alignWithMargins="0">
    <oddHeader>&amp;C&amp;B
2022 RATE CASE
ONCOR ELECTRIC DELIVERY COMPANY LLC
II-E-4.3  NONRECURRING OR EXTRAORDINARY EXPENSES
TEST YEAR ENDING DECEMBER 31, 2021
SPONSOR: W. ALAN LEDBETTER&amp;R&amp;"Arial,Bold"Schedule II-E-4.3
Page &amp;P of &amp;N</oddHead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7">
    <tabColor rgb="FF00B050"/>
  </sheetPr>
  <dimension ref="A1:T42"/>
  <sheetViews>
    <sheetView zoomScale="85" zoomScaleNormal="85" workbookViewId="0" topLeftCell="A1">
      <pane xSplit="2" ySplit="13" topLeftCell="C14" activePane="bottomRight" state="frozen"/>
      <selection pane="topLeft" activeCell="E14" sqref="E14"/>
      <selection pane="bottomLeft" activeCell="E14" sqref="E14"/>
      <selection pane="topRight" activeCell="E14" sqref="E14"/>
      <selection pane="bottomRight" activeCell="B21" sqref="B21"/>
    </sheetView>
  </sheetViews>
  <sheetFormatPr defaultRowHeight="12.75"/>
  <cols>
    <col min="1" max="1" width="9.42857142857143" bestFit="1" customWidth="1"/>
    <col min="2" max="2" width="81.8571428571429" customWidth="1"/>
    <col min="3" max="3" width="9.71428571428571" bestFit="1" customWidth="1"/>
    <col min="4" max="4" width="12.4285714285714" bestFit="1" customWidth="1"/>
    <col min="5" max="5" width="17.2857142857143" bestFit="1" customWidth="1"/>
    <col min="6" max="6" width="16.2857142857143" bestFit="1" customWidth="1"/>
    <col min="7" max="7" width="17" bestFit="1" customWidth="1"/>
    <col min="8" max="8" width="16.7142857142857" bestFit="1" customWidth="1"/>
    <col min="9" max="9" width="14" bestFit="1" customWidth="1"/>
    <col min="10" max="10" width="14.2857142857143" style="374" customWidth="1"/>
    <col min="11" max="11" width="9.14285714285714" style="374" bestFit="1" customWidth="1"/>
    <col min="12" max="12" width="14" style="374" bestFit="1" customWidth="1"/>
    <col min="13" max="13" width="15.5714285714286" bestFit="1" customWidth="1"/>
    <col min="14" max="14" width="14" style="374" bestFit="1" customWidth="1"/>
    <col min="15" max="15" width="15.8571428571429" style="374" bestFit="1" customWidth="1"/>
    <col min="16" max="16" width="14" bestFit="1" customWidth="1"/>
    <col min="17" max="18" width="11.2857142857143" bestFit="1" customWidth="1"/>
  </cols>
  <sheetData>
    <row r="1" spans="1:1" ht="12.75">
      <c r="A1" s="31" t="str">
        <f>+'[3]Input Data'!$A$9</f>
        <v>2022 RATE CASE</v>
      </c>
    </row>
    <row r="2" spans="1:1" ht="12.75">
      <c r="A2" s="34" t="str">
        <f>+'[3]Input Data'!$A$2</f>
        <v>ONCOR ELECTRIC DELIVERY COMPANY LLC</v>
      </c>
    </row>
    <row r="3" spans="1:1" ht="12.75">
      <c r="A3" s="168" t="str">
        <f>CONCATENATE('[3]Schedule Sponsors'!$A$114,'[3]Schedule Sponsors'!$B$114)</f>
        <v>II-E-4.4  REGULATORY COMMISSION EXPENSES</v>
      </c>
    </row>
    <row r="4" spans="1:1" ht="12.75">
      <c r="A4" s="92" t="str">
        <f>+'[3]Input Data'!$A$4</f>
        <v>TEST YEAR ENDING DECEMBER 31, 2021</v>
      </c>
    </row>
    <row r="5" spans="1:1" ht="12.75">
      <c r="A5" s="33" t="str">
        <f>CONCATENATE("SPONSOR: ",'[3]Schedule Sponsors'!$D$114)</f>
        <v>SPONSOR: W. ALAN LEDBETTER</v>
      </c>
    </row>
    <row r="9" spans="3:8" s="184" customFormat="1" ht="12.75">
      <c r="C9" s="577"/>
      <c r="D9" s="577"/>
      <c r="E9" s="577"/>
      <c r="F9" s="577" t="s">
        <v>66</v>
      </c>
      <c r="G9" s="577" t="s">
        <v>400</v>
      </c>
      <c r="H9" s="577" t="s">
        <v>67</v>
      </c>
    </row>
    <row r="10" spans="1:17" s="184" customFormat="1" ht="12.75">
      <c r="A10" s="577" t="s">
        <v>252</v>
      </c>
      <c r="B10" s="577"/>
      <c r="C10" s="577" t="s">
        <v>76</v>
      </c>
      <c r="D10" s="577"/>
      <c r="E10" s="577" t="s">
        <v>77</v>
      </c>
      <c r="F10" s="577" t="s">
        <v>68</v>
      </c>
      <c r="G10" s="577" t="s">
        <v>401</v>
      </c>
      <c r="H10" s="577" t="s">
        <v>66</v>
      </c>
      <c r="I10" s="577"/>
      <c r="J10" s="577" t="s">
        <v>628</v>
      </c>
      <c r="K10" s="577" t="s">
        <v>629</v>
      </c>
      <c r="L10" s="577" t="s">
        <v>631</v>
      </c>
      <c r="M10" s="577"/>
      <c r="N10" s="577" t="s">
        <v>628</v>
      </c>
      <c r="O10" s="577" t="s">
        <v>631</v>
      </c>
      <c r="P10" s="577"/>
      <c r="Q10" s="577"/>
    </row>
    <row r="11" spans="1:18" s="184" customFormat="1" ht="12.75">
      <c r="A11" s="578" t="s">
        <v>147</v>
      </c>
      <c r="B11" s="45" t="s">
        <v>69</v>
      </c>
      <c r="C11" s="577" t="s">
        <v>81</v>
      </c>
      <c r="D11" s="577" t="s">
        <v>188</v>
      </c>
      <c r="E11" s="577" t="s">
        <v>82</v>
      </c>
      <c r="F11" s="577" t="s">
        <v>83</v>
      </c>
      <c r="G11" s="577" t="s">
        <v>402</v>
      </c>
      <c r="H11" s="577" t="s">
        <v>68</v>
      </c>
      <c r="I11" s="45" t="s">
        <v>208</v>
      </c>
      <c r="J11" s="45" t="s">
        <v>208</v>
      </c>
      <c r="K11" s="45" t="s">
        <v>632</v>
      </c>
      <c r="L11" s="45" t="s">
        <v>208</v>
      </c>
      <c r="M11" s="578" t="s">
        <v>209</v>
      </c>
      <c r="N11" s="578" t="s">
        <v>209</v>
      </c>
      <c r="O11" s="578" t="s">
        <v>209</v>
      </c>
      <c r="P11" s="578" t="s">
        <v>203</v>
      </c>
      <c r="Q11" s="578" t="s">
        <v>291</v>
      </c>
      <c r="R11" s="577" t="s">
        <v>78</v>
      </c>
    </row>
    <row r="12" spans="2:18" s="184" customFormat="1" ht="12.75">
      <c r="B12" s="124" t="s">
        <v>237</v>
      </c>
      <c r="C12" s="579" t="s">
        <v>238</v>
      </c>
      <c r="D12" s="579" t="s">
        <v>239</v>
      </c>
      <c r="E12" s="579" t="s">
        <v>240</v>
      </c>
      <c r="F12" s="124" t="s">
        <v>241</v>
      </c>
      <c r="G12" s="579" t="s">
        <v>242</v>
      </c>
      <c r="H12" s="579" t="s">
        <v>243</v>
      </c>
      <c r="I12" s="579" t="s">
        <v>244</v>
      </c>
      <c r="J12" s="580" t="s">
        <v>245</v>
      </c>
      <c r="K12" s="580" t="s">
        <v>246</v>
      </c>
      <c r="L12" s="580" t="s">
        <v>247</v>
      </c>
      <c r="M12" s="580" t="s">
        <v>248</v>
      </c>
      <c r="N12" s="580" t="s">
        <v>249</v>
      </c>
      <c r="O12" s="580" t="s">
        <v>250</v>
      </c>
      <c r="P12" s="580" t="s">
        <v>251</v>
      </c>
      <c r="Q12" s="580" t="s">
        <v>148</v>
      </c>
      <c r="R12" s="580" t="s">
        <v>281</v>
      </c>
    </row>
    <row r="13" s="184" customFormat="1" ht="12.75"/>
    <row r="14" spans="1:19" ht="12.75">
      <c r="A14" s="27">
        <v>1</v>
      </c>
      <c r="B14" s="374" t="s">
        <v>982</v>
      </c>
      <c r="C14" s="519">
        <v>35588.279999999992</v>
      </c>
      <c r="D14" s="519">
        <v>0</v>
      </c>
      <c r="E14" s="519">
        <v>0</v>
      </c>
      <c r="F14" s="519">
        <f>SUM(C14:E14)</f>
        <v>35588.279999999992</v>
      </c>
      <c r="G14" s="519">
        <v>-27531.515000000007</v>
      </c>
      <c r="H14" s="519">
        <f t="shared" si="0" ref="H14:H21">SUM(F14:G14)</f>
        <v>8056.7649999999849</v>
      </c>
      <c r="I14" s="519">
        <v>0</v>
      </c>
      <c r="J14" s="519">
        <v>0</v>
      </c>
      <c r="K14" s="519">
        <v>0</v>
      </c>
      <c r="L14" s="519">
        <f>SUM(I14:K14)</f>
        <v>0</v>
      </c>
      <c r="M14" s="519">
        <v>0</v>
      </c>
      <c r="N14" s="519">
        <v>0</v>
      </c>
      <c r="O14" s="519">
        <f>SUM(M14:N14)</f>
        <v>0</v>
      </c>
      <c r="P14" s="519">
        <v>8056.7649999999849</v>
      </c>
      <c r="Q14" s="519">
        <v>0</v>
      </c>
      <c r="R14" s="520">
        <f>+L14+O14+P14+Q14</f>
        <v>8056.7649999999849</v>
      </c>
      <c r="S14" t="b">
        <f t="shared" si="1" ref="S14:S21">+H14=R14</f>
        <v>1</v>
      </c>
    </row>
    <row r="15" spans="1:19" ht="12.75">
      <c r="A15" s="27">
        <v>2</v>
      </c>
      <c r="B15" s="374" t="s">
        <v>983</v>
      </c>
      <c r="C15" s="389">
        <v>31219.679999999997</v>
      </c>
      <c r="D15" s="389">
        <v>0</v>
      </c>
      <c r="E15" s="389">
        <v>0</v>
      </c>
      <c r="F15" s="389">
        <f t="shared" si="2" ref="F15:F21">SUM(C15:E15)</f>
        <v>31219.679999999997</v>
      </c>
      <c r="G15" s="389">
        <v>-24151.965</v>
      </c>
      <c r="H15" s="449">
        <f t="shared" si="0"/>
        <v>7067.7149999999965</v>
      </c>
      <c r="I15" s="389">
        <v>0</v>
      </c>
      <c r="J15" s="389">
        <v>0</v>
      </c>
      <c r="K15" s="389">
        <v>0</v>
      </c>
      <c r="L15" s="389">
        <f t="shared" si="3" ref="L15:L21">SUM(I15:K15)</f>
        <v>0</v>
      </c>
      <c r="M15" s="389">
        <v>0</v>
      </c>
      <c r="N15" s="389">
        <v>0</v>
      </c>
      <c r="O15" s="389">
        <f t="shared" si="4" ref="O15:O21">SUM(M15:N15)</f>
        <v>0</v>
      </c>
      <c r="P15" s="389">
        <v>7067.7149999999965</v>
      </c>
      <c r="Q15" s="389">
        <v>0</v>
      </c>
      <c r="R15" s="521">
        <f t="shared" si="5" ref="R15:R21">+L15+O15+P15+Q15</f>
        <v>7067.7149999999965</v>
      </c>
      <c r="S15" t="b">
        <f t="shared" si="1"/>
        <v>1</v>
      </c>
    </row>
    <row r="16" spans="1:19" ht="12.75">
      <c r="A16" s="27">
        <v>3</v>
      </c>
      <c r="B16" s="374" t="s">
        <v>984</v>
      </c>
      <c r="C16" s="389">
        <v>21624</v>
      </c>
      <c r="D16" s="389">
        <v>0</v>
      </c>
      <c r="E16" s="389">
        <v>0</v>
      </c>
      <c r="F16" s="389">
        <f t="shared" si="2"/>
        <v>21624</v>
      </c>
      <c r="G16" s="389">
        <v>-16728.557894755606</v>
      </c>
      <c r="H16" s="449">
        <f t="shared" si="0"/>
        <v>4895.442105244394</v>
      </c>
      <c r="I16" s="389">
        <v>0</v>
      </c>
      <c r="J16" s="389">
        <v>0</v>
      </c>
      <c r="K16" s="389">
        <v>0</v>
      </c>
      <c r="L16" s="389">
        <f t="shared" si="3"/>
        <v>0</v>
      </c>
      <c r="M16" s="389">
        <v>0</v>
      </c>
      <c r="N16" s="389">
        <v>0</v>
      </c>
      <c r="O16" s="389">
        <f t="shared" si="4"/>
        <v>0</v>
      </c>
      <c r="P16" s="389">
        <v>4895.442105244394</v>
      </c>
      <c r="Q16" s="389">
        <v>0</v>
      </c>
      <c r="R16" s="521">
        <f t="shared" si="5"/>
        <v>4895.442105244394</v>
      </c>
      <c r="S16" t="b">
        <f t="shared" si="1"/>
        <v>1</v>
      </c>
    </row>
    <row r="17" spans="1:19" s="184" customFormat="1" ht="12.75">
      <c r="A17" s="185">
        <v>4</v>
      </c>
      <c r="B17" s="184" t="s">
        <v>985</v>
      </c>
      <c r="C17" s="455">
        <v>0</v>
      </c>
      <c r="D17" s="455">
        <v>0</v>
      </c>
      <c r="E17" s="455">
        <v>0</v>
      </c>
      <c r="F17" s="455">
        <f t="shared" si="2"/>
        <v>0</v>
      </c>
      <c r="G17" s="455">
        <v>44620.709999999999</v>
      </c>
      <c r="H17" s="457">
        <f t="shared" si="0"/>
        <v>44620.709999999999</v>
      </c>
      <c r="I17" s="455">
        <v>0</v>
      </c>
      <c r="J17" s="455">
        <v>0</v>
      </c>
      <c r="K17" s="455">
        <v>0</v>
      </c>
      <c r="L17" s="455">
        <f t="shared" si="3"/>
        <v>0</v>
      </c>
      <c r="M17" s="455">
        <f>+H17</f>
        <v>44620.709999999999</v>
      </c>
      <c r="N17" s="455">
        <v>0</v>
      </c>
      <c r="O17" s="455">
        <f t="shared" si="4"/>
        <v>44620.709999999999</v>
      </c>
      <c r="P17" s="455">
        <v>0</v>
      </c>
      <c r="Q17" s="455">
        <v>0</v>
      </c>
      <c r="R17" s="819">
        <f t="shared" si="5"/>
        <v>44620.709999999999</v>
      </c>
      <c r="S17" s="184" t="b">
        <f t="shared" si="1"/>
        <v>1</v>
      </c>
    </row>
    <row r="18" spans="1:19" s="184" customFormat="1" ht="12.75">
      <c r="A18" s="185">
        <v>5</v>
      </c>
      <c r="B18" s="184" t="s">
        <v>507</v>
      </c>
      <c r="C18" s="455">
        <v>3239.0799999999999</v>
      </c>
      <c r="D18" s="455">
        <v>0</v>
      </c>
      <c r="E18" s="455">
        <v>0</v>
      </c>
      <c r="F18" s="455">
        <f t="shared" si="2"/>
        <v>3239.0799999999999</v>
      </c>
      <c r="G18" s="455">
        <v>-3239.0799999999999</v>
      </c>
      <c r="H18" s="457">
        <f t="shared" si="0"/>
        <v>0</v>
      </c>
      <c r="I18" s="455">
        <v>0</v>
      </c>
      <c r="J18" s="455">
        <v>0</v>
      </c>
      <c r="K18" s="455">
        <v>0</v>
      </c>
      <c r="L18" s="455">
        <f t="shared" si="3"/>
        <v>0</v>
      </c>
      <c r="M18" s="455">
        <v>0</v>
      </c>
      <c r="N18" s="455">
        <v>0</v>
      </c>
      <c r="O18" s="455">
        <f t="shared" si="4"/>
        <v>0</v>
      </c>
      <c r="P18" s="455">
        <v>0</v>
      </c>
      <c r="Q18" s="455">
        <v>0</v>
      </c>
      <c r="R18" s="819">
        <f t="shared" si="5"/>
        <v>0</v>
      </c>
      <c r="S18" s="184" t="b">
        <f t="shared" si="1"/>
        <v>1</v>
      </c>
    </row>
    <row r="19" spans="1:19" s="184" customFormat="1" ht="12.75">
      <c r="A19" s="185">
        <v>6</v>
      </c>
      <c r="B19" s="184" t="s">
        <v>986</v>
      </c>
      <c r="C19" s="455">
        <v>0</v>
      </c>
      <c r="D19" s="455">
        <v>0</v>
      </c>
      <c r="E19" s="455">
        <v>0</v>
      </c>
      <c r="F19" s="455">
        <f t="shared" si="2"/>
        <v>0</v>
      </c>
      <c r="G19" s="455">
        <v>76154</v>
      </c>
      <c r="H19" s="457">
        <f t="shared" si="0"/>
        <v>76154</v>
      </c>
      <c r="I19" s="455">
        <v>0</v>
      </c>
      <c r="J19" s="455">
        <v>0</v>
      </c>
      <c r="K19" s="455">
        <v>0</v>
      </c>
      <c r="L19" s="455">
        <f t="shared" si="3"/>
        <v>0</v>
      </c>
      <c r="M19" s="455">
        <v>76154</v>
      </c>
      <c r="N19" s="455">
        <v>0</v>
      </c>
      <c r="O19" s="455">
        <f t="shared" si="4"/>
        <v>76154</v>
      </c>
      <c r="P19" s="455">
        <v>0</v>
      </c>
      <c r="Q19" s="455">
        <v>0</v>
      </c>
      <c r="R19" s="819">
        <f t="shared" si="5"/>
        <v>76154</v>
      </c>
      <c r="S19" s="184" t="b">
        <f t="shared" si="1"/>
        <v>1</v>
      </c>
    </row>
    <row r="20" spans="1:19" s="184" customFormat="1" ht="12.75">
      <c r="A20" s="185">
        <v>7</v>
      </c>
      <c r="B20" s="184" t="s">
        <v>987</v>
      </c>
      <c r="C20" s="455">
        <v>0</v>
      </c>
      <c r="D20" s="455">
        <v>0</v>
      </c>
      <c r="E20" s="455">
        <v>0</v>
      </c>
      <c r="F20" s="455">
        <f t="shared" si="2"/>
        <v>0</v>
      </c>
      <c r="G20" s="455">
        <v>41932.040000000001</v>
      </c>
      <c r="H20" s="457">
        <f t="shared" si="0"/>
        <v>41932.040000000001</v>
      </c>
      <c r="I20" s="455">
        <v>0</v>
      </c>
      <c r="J20" s="455">
        <v>0</v>
      </c>
      <c r="K20" s="455">
        <v>0</v>
      </c>
      <c r="L20" s="455">
        <f t="shared" si="3"/>
        <v>0</v>
      </c>
      <c r="M20" s="455">
        <v>41932.040000000001</v>
      </c>
      <c r="N20" s="455">
        <v>0</v>
      </c>
      <c r="O20" s="455">
        <f t="shared" si="4"/>
        <v>41932.040000000001</v>
      </c>
      <c r="P20" s="455">
        <v>0</v>
      </c>
      <c r="Q20" s="455">
        <v>0</v>
      </c>
      <c r="R20" s="819">
        <f t="shared" si="5"/>
        <v>41932.040000000001</v>
      </c>
      <c r="S20" s="184" t="b">
        <f t="shared" si="1"/>
        <v>1</v>
      </c>
    </row>
    <row r="21" spans="1:19" s="184" customFormat="1" ht="12.75">
      <c r="A21" s="185">
        <v>8</v>
      </c>
      <c r="B21" s="184" t="s">
        <v>1099</v>
      </c>
      <c r="C21" s="455">
        <v>0</v>
      </c>
      <c r="D21" s="455">
        <v>0</v>
      </c>
      <c r="E21" s="455">
        <v>0</v>
      </c>
      <c r="F21" s="455">
        <f t="shared" si="2"/>
        <v>0</v>
      </c>
      <c r="G21" s="455">
        <v>53880.370000000003</v>
      </c>
      <c r="H21" s="457">
        <f t="shared" si="0"/>
        <v>53880.370000000003</v>
      </c>
      <c r="I21" s="455">
        <v>0</v>
      </c>
      <c r="J21" s="455">
        <v>0</v>
      </c>
      <c r="K21" s="455">
        <v>0</v>
      </c>
      <c r="L21" s="455">
        <f t="shared" si="3"/>
        <v>0</v>
      </c>
      <c r="M21" s="455">
        <v>53880.370000000003</v>
      </c>
      <c r="N21" s="455">
        <v>0</v>
      </c>
      <c r="O21" s="455">
        <f t="shared" si="4"/>
        <v>53880.370000000003</v>
      </c>
      <c r="P21" s="455">
        <v>0</v>
      </c>
      <c r="Q21" s="455">
        <v>0</v>
      </c>
      <c r="R21" s="819">
        <f t="shared" si="5"/>
        <v>53880.370000000003</v>
      </c>
      <c r="S21" s="184" t="b">
        <f t="shared" si="1"/>
        <v>1</v>
      </c>
    </row>
    <row r="22" spans="1:19" s="184" customFormat="1" ht="12.75">
      <c r="A22" s="185">
        <v>9</v>
      </c>
      <c r="B22" s="184" t="s">
        <v>988</v>
      </c>
      <c r="C22" s="455">
        <v>0</v>
      </c>
      <c r="D22" s="455">
        <v>0</v>
      </c>
      <c r="E22" s="455">
        <v>0</v>
      </c>
      <c r="F22" s="455">
        <f t="shared" si="6" ref="F22:F29">SUM(C22:E22)</f>
        <v>0</v>
      </c>
      <c r="G22" s="455">
        <v>83696.259999999995</v>
      </c>
      <c r="H22" s="457">
        <f t="shared" si="7" ref="H22:H29">SUM(F22:G22)</f>
        <v>83696.259999999995</v>
      </c>
      <c r="I22" s="455">
        <v>0</v>
      </c>
      <c r="J22" s="455">
        <v>0</v>
      </c>
      <c r="K22" s="455">
        <v>0</v>
      </c>
      <c r="L22" s="455">
        <f t="shared" si="8" ref="L22:L29">SUM(I22:K22)</f>
        <v>0</v>
      </c>
      <c r="M22" s="455">
        <f>+H22</f>
        <v>83696.259999999995</v>
      </c>
      <c r="N22" s="455">
        <v>0</v>
      </c>
      <c r="O22" s="455">
        <f t="shared" si="9" ref="O22:O29">SUM(M22:N22)</f>
        <v>83696.259999999995</v>
      </c>
      <c r="P22" s="455">
        <v>0</v>
      </c>
      <c r="Q22" s="455">
        <v>0</v>
      </c>
      <c r="R22" s="819">
        <f t="shared" si="10" ref="R22:R29">+L22+O22+P22+Q22</f>
        <v>83696.259999999995</v>
      </c>
      <c r="S22" s="184" t="b">
        <f t="shared" si="11" ref="S22:S29">+H22=R22</f>
        <v>1</v>
      </c>
    </row>
    <row r="23" spans="1:20" s="184" customFormat="1" ht="12.75">
      <c r="A23" s="185">
        <v>10</v>
      </c>
      <c r="B23" s="184" t="s">
        <v>989</v>
      </c>
      <c r="C23" s="455">
        <v>0</v>
      </c>
      <c r="D23" s="455">
        <v>0</v>
      </c>
      <c r="E23" s="455">
        <v>0</v>
      </c>
      <c r="F23" s="455">
        <f t="shared" si="6"/>
        <v>0</v>
      </c>
      <c r="G23" s="455">
        <v>156840.75</v>
      </c>
      <c r="H23" s="457">
        <f t="shared" si="7"/>
        <v>156840.75</v>
      </c>
      <c r="I23" s="455">
        <v>0</v>
      </c>
      <c r="J23" s="455">
        <v>0</v>
      </c>
      <c r="K23" s="455">
        <v>0</v>
      </c>
      <c r="L23" s="455">
        <f t="shared" si="8"/>
        <v>0</v>
      </c>
      <c r="M23" s="455">
        <v>156840.75</v>
      </c>
      <c r="N23" s="455">
        <v>0</v>
      </c>
      <c r="O23" s="455">
        <f t="shared" si="9"/>
        <v>156840.75</v>
      </c>
      <c r="P23" s="455">
        <v>0</v>
      </c>
      <c r="Q23" s="455">
        <v>0</v>
      </c>
      <c r="R23" s="819">
        <f t="shared" si="10"/>
        <v>156840.75</v>
      </c>
      <c r="S23" s="184" t="b">
        <f t="shared" si="11"/>
        <v>1</v>
      </c>
      <c r="T23" s="820"/>
    </row>
    <row r="24" spans="1:19" s="184" customFormat="1" ht="12.75">
      <c r="A24" s="185">
        <v>11</v>
      </c>
      <c r="B24" s="184" t="s">
        <v>990</v>
      </c>
      <c r="C24" s="455">
        <v>166775.51999999999</v>
      </c>
      <c r="D24" s="455">
        <v>0</v>
      </c>
      <c r="E24" s="455">
        <v>0</v>
      </c>
      <c r="F24" s="455">
        <f t="shared" si="6"/>
        <v>166775.51999999999</v>
      </c>
      <c r="G24" s="455">
        <v>483936.33999999997</v>
      </c>
      <c r="H24" s="457">
        <f t="shared" si="7"/>
        <v>650711.85999999999</v>
      </c>
      <c r="I24" s="455">
        <v>0</v>
      </c>
      <c r="J24" s="455">
        <v>429082.52000000002</v>
      </c>
      <c r="K24" s="455">
        <v>0</v>
      </c>
      <c r="L24" s="455">
        <f t="shared" si="8"/>
        <v>429082.52000000002</v>
      </c>
      <c r="M24" s="455">
        <v>0</v>
      </c>
      <c r="N24" s="455">
        <v>221629.33999999997</v>
      </c>
      <c r="O24" s="455">
        <f t="shared" si="9"/>
        <v>221629.33999999997</v>
      </c>
      <c r="P24" s="455">
        <v>0</v>
      </c>
      <c r="Q24" s="455">
        <v>0</v>
      </c>
      <c r="R24" s="819">
        <f t="shared" si="10"/>
        <v>650711.85999999999</v>
      </c>
      <c r="S24" s="184" t="b">
        <f t="shared" si="11"/>
        <v>1</v>
      </c>
    </row>
    <row r="25" spans="1:19" s="184" customFormat="1" ht="12.75">
      <c r="A25" s="185">
        <v>12</v>
      </c>
      <c r="B25" s="184" t="s">
        <v>991</v>
      </c>
      <c r="C25" s="455">
        <v>0</v>
      </c>
      <c r="D25" s="455">
        <v>0</v>
      </c>
      <c r="E25" s="455">
        <v>0</v>
      </c>
      <c r="F25" s="455">
        <f t="shared" si="6"/>
        <v>0</v>
      </c>
      <c r="G25" s="455">
        <v>20411.119999999999</v>
      </c>
      <c r="H25" s="457">
        <f t="shared" si="7"/>
        <v>20411.119999999999</v>
      </c>
      <c r="I25" s="455">
        <v>0</v>
      </c>
      <c r="J25" s="455">
        <v>0</v>
      </c>
      <c r="K25" s="455">
        <v>0</v>
      </c>
      <c r="L25" s="455">
        <f t="shared" si="8"/>
        <v>0</v>
      </c>
      <c r="M25" s="455">
        <v>20411.119999999999</v>
      </c>
      <c r="N25" s="455">
        <v>0</v>
      </c>
      <c r="O25" s="455">
        <f t="shared" si="9"/>
        <v>20411.119999999999</v>
      </c>
      <c r="P25" s="455">
        <v>0</v>
      </c>
      <c r="Q25" s="455">
        <v>0</v>
      </c>
      <c r="R25" s="819">
        <f t="shared" si="10"/>
        <v>20411.119999999999</v>
      </c>
      <c r="S25" s="184" t="b">
        <f t="shared" si="11"/>
        <v>1</v>
      </c>
    </row>
    <row r="26" spans="1:19" s="184" customFormat="1" ht="12.75">
      <c r="A26" s="185">
        <v>13</v>
      </c>
      <c r="B26" s="184" t="s">
        <v>992</v>
      </c>
      <c r="C26" s="455">
        <v>0</v>
      </c>
      <c r="D26" s="455">
        <v>0</v>
      </c>
      <c r="E26" s="455">
        <v>0</v>
      </c>
      <c r="F26" s="455">
        <f t="shared" si="6"/>
        <v>0</v>
      </c>
      <c r="G26" s="455">
        <v>592075.81999999995</v>
      </c>
      <c r="H26" s="457">
        <f t="shared" si="7"/>
        <v>592075.81999999995</v>
      </c>
      <c r="I26" s="455">
        <v>0</v>
      </c>
      <c r="J26" s="455">
        <v>0</v>
      </c>
      <c r="K26" s="455">
        <v>0</v>
      </c>
      <c r="L26" s="455">
        <f t="shared" si="8"/>
        <v>0</v>
      </c>
      <c r="M26" s="455">
        <v>592075.81999999995</v>
      </c>
      <c r="N26" s="455">
        <v>0</v>
      </c>
      <c r="O26" s="455">
        <f t="shared" si="9"/>
        <v>592075.81999999995</v>
      </c>
      <c r="P26" s="455">
        <v>0</v>
      </c>
      <c r="Q26" s="455">
        <v>0</v>
      </c>
      <c r="R26" s="819">
        <f t="shared" si="10"/>
        <v>592075.81999999995</v>
      </c>
      <c r="S26" s="184" t="b">
        <f t="shared" si="11"/>
        <v>1</v>
      </c>
    </row>
    <row r="27" spans="1:19" s="184" customFormat="1" ht="12.75">
      <c r="A27" s="185">
        <v>14</v>
      </c>
      <c r="B27" s="184" t="s">
        <v>993</v>
      </c>
      <c r="C27" s="455">
        <v>0</v>
      </c>
      <c r="D27" s="455">
        <v>0</v>
      </c>
      <c r="E27" s="455">
        <v>0</v>
      </c>
      <c r="F27" s="455">
        <f t="shared" si="6"/>
        <v>0</v>
      </c>
      <c r="G27" s="455">
        <v>146543.17999999999</v>
      </c>
      <c r="H27" s="457">
        <f t="shared" si="7"/>
        <v>146543.17999999999</v>
      </c>
      <c r="I27" s="455">
        <v>0</v>
      </c>
      <c r="J27" s="455">
        <v>0</v>
      </c>
      <c r="K27" s="455">
        <v>0</v>
      </c>
      <c r="L27" s="455">
        <f t="shared" si="8"/>
        <v>0</v>
      </c>
      <c r="M27" s="455">
        <f>+H27</f>
        <v>146543.17999999999</v>
      </c>
      <c r="N27" s="455">
        <v>0</v>
      </c>
      <c r="O27" s="455">
        <f t="shared" si="9"/>
        <v>146543.17999999999</v>
      </c>
      <c r="P27" s="455">
        <v>0</v>
      </c>
      <c r="Q27" s="455">
        <v>0</v>
      </c>
      <c r="R27" s="819">
        <f t="shared" si="10"/>
        <v>146543.17999999999</v>
      </c>
      <c r="S27" s="184" t="b">
        <f t="shared" si="11"/>
        <v>1</v>
      </c>
    </row>
    <row r="28" spans="1:19" s="184" customFormat="1" ht="12.75">
      <c r="A28" s="185">
        <v>15</v>
      </c>
      <c r="B28" s="184" t="s">
        <v>994</v>
      </c>
      <c r="C28" s="455">
        <v>0</v>
      </c>
      <c r="D28" s="455">
        <v>0</v>
      </c>
      <c r="E28" s="455">
        <v>0</v>
      </c>
      <c r="F28" s="455">
        <f t="shared" si="6"/>
        <v>0</v>
      </c>
      <c r="G28" s="455">
        <v>-63544.559999999998</v>
      </c>
      <c r="H28" s="457">
        <f t="shared" si="7"/>
        <v>-63544.559999999998</v>
      </c>
      <c r="I28" s="455">
        <v>0</v>
      </c>
      <c r="J28" s="455">
        <v>0</v>
      </c>
      <c r="K28" s="455">
        <v>0</v>
      </c>
      <c r="L28" s="455">
        <f t="shared" si="8"/>
        <v>0</v>
      </c>
      <c r="M28" s="455">
        <f>+H28</f>
        <v>-63544.559999999998</v>
      </c>
      <c r="N28" s="455">
        <v>0</v>
      </c>
      <c r="O28" s="455">
        <f t="shared" si="9"/>
        <v>-63544.559999999998</v>
      </c>
      <c r="P28" s="455">
        <v>0</v>
      </c>
      <c r="Q28" s="455">
        <v>0</v>
      </c>
      <c r="R28" s="819">
        <f t="shared" si="10"/>
        <v>-63544.559999999998</v>
      </c>
      <c r="S28" s="184" t="b">
        <f t="shared" si="11"/>
        <v>1</v>
      </c>
    </row>
    <row r="29" spans="1:19" s="184" customFormat="1" ht="12.75">
      <c r="A29" s="185">
        <v>16</v>
      </c>
      <c r="B29" s="184" t="s">
        <v>995</v>
      </c>
      <c r="C29" s="455">
        <v>0</v>
      </c>
      <c r="D29" s="455">
        <v>0</v>
      </c>
      <c r="E29" s="455">
        <v>0</v>
      </c>
      <c r="F29" s="455">
        <f t="shared" si="6"/>
        <v>0</v>
      </c>
      <c r="G29" s="455">
        <v>1675000</v>
      </c>
      <c r="H29" s="457">
        <f t="shared" si="7"/>
        <v>1675000</v>
      </c>
      <c r="I29" s="455">
        <v>0</v>
      </c>
      <c r="J29" s="455">
        <v>0</v>
      </c>
      <c r="K29" s="455">
        <v>0</v>
      </c>
      <c r="L29" s="455">
        <f t="shared" si="8"/>
        <v>0</v>
      </c>
      <c r="M29" s="455">
        <f>+H29</f>
        <v>1675000</v>
      </c>
      <c r="N29" s="455">
        <v>0</v>
      </c>
      <c r="O29" s="455">
        <f t="shared" si="9"/>
        <v>1675000</v>
      </c>
      <c r="P29" s="455">
        <v>0</v>
      </c>
      <c r="Q29" s="455">
        <v>0</v>
      </c>
      <c r="R29" s="819">
        <f t="shared" si="10"/>
        <v>1675000</v>
      </c>
      <c r="S29" s="184" t="b">
        <f t="shared" si="11"/>
        <v>1</v>
      </c>
    </row>
    <row r="30" spans="1:18" s="374" customFormat="1" ht="12.75">
      <c r="A30" s="145">
        <v>17</v>
      </c>
      <c r="C30" s="389"/>
      <c r="D30" s="389"/>
      <c r="E30" s="389"/>
      <c r="F30" s="389"/>
      <c r="G30" s="455"/>
      <c r="H30" s="449"/>
      <c r="I30" s="389"/>
      <c r="J30" s="389"/>
      <c r="K30" s="389"/>
      <c r="L30" s="389"/>
      <c r="M30" s="389"/>
      <c r="N30" s="389"/>
      <c r="O30" s="389"/>
      <c r="P30" s="389"/>
      <c r="Q30" s="389"/>
      <c r="R30" s="521"/>
    </row>
    <row r="31" spans="1:18" s="374" customFormat="1" ht="12.75">
      <c r="A31" s="145">
        <v>18</v>
      </c>
      <c r="C31" s="389"/>
      <c r="D31" s="389"/>
      <c r="E31" s="389"/>
      <c r="F31" s="389"/>
      <c r="G31" s="389"/>
      <c r="H31" s="449"/>
      <c r="I31" s="389"/>
      <c r="J31" s="389"/>
      <c r="K31" s="389"/>
      <c r="L31" s="389"/>
      <c r="M31" s="389"/>
      <c r="N31" s="389"/>
      <c r="O31" s="389"/>
      <c r="P31" s="389"/>
      <c r="Q31" s="389"/>
      <c r="R31" s="521"/>
    </row>
    <row r="32" spans="1:18" ht="12.75">
      <c r="A32" s="145">
        <v>19</v>
      </c>
      <c r="C32" s="133"/>
      <c r="D32" s="133"/>
      <c r="E32" s="133"/>
      <c r="F32" s="133"/>
      <c r="G32" s="133"/>
      <c r="H32" s="415"/>
      <c r="I32" s="133"/>
      <c r="J32" s="133"/>
      <c r="K32" s="133"/>
      <c r="L32" s="133"/>
      <c r="M32" s="133"/>
      <c r="N32" s="133"/>
      <c r="O32" s="133"/>
      <c r="P32" s="133"/>
      <c r="Q32" s="133"/>
      <c r="R32" s="416"/>
    </row>
    <row r="33" spans="1:19" ht="13.5" thickBot="1">
      <c r="A33" s="145">
        <v>20</v>
      </c>
      <c r="B33" s="31" t="s">
        <v>303</v>
      </c>
      <c r="C33" s="522">
        <f t="shared" si="12" ref="C33:I33">SUM(C14:C32)</f>
        <v>258446.56</v>
      </c>
      <c r="D33" s="522">
        <f t="shared" si="12"/>
        <v>0</v>
      </c>
      <c r="E33" s="522">
        <f t="shared" si="12"/>
        <v>0</v>
      </c>
      <c r="F33" s="522">
        <f t="shared" si="12"/>
        <v>258446.56</v>
      </c>
      <c r="G33" s="522">
        <f t="shared" si="12"/>
        <v>3239894.9121052441</v>
      </c>
      <c r="H33" s="522">
        <f t="shared" si="12"/>
        <v>3498341.4721052442</v>
      </c>
      <c r="I33" s="522">
        <f t="shared" si="12"/>
        <v>0</v>
      </c>
      <c r="J33" s="522">
        <f t="shared" si="13" ref="J33:R33">SUM(J14:J32)</f>
        <v>429082.52000000002</v>
      </c>
      <c r="K33" s="522">
        <f t="shared" si="13"/>
        <v>0</v>
      </c>
      <c r="L33" s="522">
        <f t="shared" si="13"/>
        <v>429082.52000000002</v>
      </c>
      <c r="M33" s="522">
        <f t="shared" si="13"/>
        <v>2827609.6899999995</v>
      </c>
      <c r="N33" s="522">
        <f t="shared" si="14" ref="N33">SUM(N14:N32)</f>
        <v>221629.33999999997</v>
      </c>
      <c r="O33" s="522">
        <f t="shared" si="13"/>
        <v>3049239.0299999998</v>
      </c>
      <c r="P33" s="522">
        <f t="shared" si="13"/>
        <v>20019.922105244375</v>
      </c>
      <c r="Q33" s="522">
        <f t="shared" si="13"/>
        <v>0</v>
      </c>
      <c r="R33" s="522">
        <f t="shared" si="13"/>
        <v>3498341.4721052442</v>
      </c>
      <c r="S33" t="b">
        <f>+H33=R33</f>
        <v>1</v>
      </c>
    </row>
    <row r="34" spans="1:15" s="115" customFormat="1" ht="13.5" thickTop="1">
      <c r="A34" s="145">
        <v>21</v>
      </c>
      <c r="B34"/>
      <c r="J34" s="352"/>
      <c r="K34" s="352"/>
      <c r="L34" s="352"/>
      <c r="N34" s="352"/>
      <c r="O34" s="352"/>
    </row>
    <row r="35" spans="1:2" ht="12.75">
      <c r="A35" s="145">
        <v>22</v>
      </c>
      <c r="B35" s="352" t="s">
        <v>996</v>
      </c>
    </row>
    <row r="36" spans="1:2" ht="12.75">
      <c r="A36" s="145">
        <v>23</v>
      </c>
      <c r="B36" s="352" t="s">
        <v>997</v>
      </c>
    </row>
    <row r="37" spans="1:7" ht="12.75">
      <c r="A37" s="145">
        <v>24</v>
      </c>
      <c r="B37" s="722" t="s">
        <v>998</v>
      </c>
      <c r="G37" s="389"/>
    </row>
    <row r="38" spans="1:7" ht="12.75">
      <c r="A38" s="145">
        <v>25</v>
      </c>
      <c r="B38" s="374" t="s">
        <v>620</v>
      </c>
      <c r="G38" s="394"/>
    </row>
    <row r="39" spans="1:2" ht="12.75">
      <c r="A39" s="27">
        <v>26</v>
      </c>
      <c r="B39" s="374" t="s">
        <v>621</v>
      </c>
    </row>
    <row r="40" spans="1:2" ht="12.75">
      <c r="A40" s="27"/>
      <c r="B40" s="374"/>
    </row>
    <row r="41" spans="1:18" ht="12.75">
      <c r="A41" s="27"/>
      <c r="C41" s="374" t="s">
        <v>1100</v>
      </c>
      <c r="D41" s="374"/>
      <c r="E41" s="374" t="s">
        <v>1101</v>
      </c>
      <c r="F41" s="394">
        <v>258446.56</v>
      </c>
      <c r="G41" s="394">
        <v>3239894.9121052441</v>
      </c>
      <c r="H41" s="394">
        <v>3498341.4721052442</v>
      </c>
      <c r="I41" s="394">
        <v>397702.08752606582</v>
      </c>
      <c r="J41" s="394">
        <v>484826.23272746359</v>
      </c>
      <c r="K41" s="394">
        <v>591.70801179614296</v>
      </c>
      <c r="L41" s="394">
        <v>883120.02826532547</v>
      </c>
      <c r="M41" s="394">
        <v>2229770.8208163492</v>
      </c>
      <c r="N41" s="394">
        <v>225997.37167816813</v>
      </c>
      <c r="O41" s="394">
        <v>2455768.1924945172</v>
      </c>
      <c r="P41" s="394">
        <v>123290.43927456971</v>
      </c>
      <c r="Q41" s="394">
        <v>36162.812070831606</v>
      </c>
      <c r="R41" s="394">
        <v>3498341.4721052442</v>
      </c>
    </row>
    <row r="42" spans="1:1" ht="12.75">
      <c r="A42" s="27"/>
    </row>
  </sheetData>
  <printOptions horizontalCentered="1"/>
  <pageMargins left="0.3" right="0.3" top="2.25" bottom="0.2" header="1" footer="0.5"/>
  <pageSetup fitToHeight="0" fitToWidth="2" orientation="landscape" scale="60" r:id="rId1"/>
  <headerFooter alignWithMargins="0">
    <oddHeader>&amp;C&amp;B
2022 RATE CASE
ONCOR ELECTRIC DELIVERY COMPANY LLC
II-E-4.4  REGULATORY COMMISSION EXPENSES
TEST YEAR ENDING DECEMBER 31, 2021
SPONSOR: W. ALAN LEDBETTER&amp;R&amp;"Arial,Bold"Schedule &amp;A
Page &amp;P of &amp;N</oddHeader>
  </headerFooter>
  <colBreaks count="1" manualBreakCount="1">
    <brk id="8" min="8" max="38" man="1"/>
  </colBreak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8">
    <tabColor rgb="FF00B050"/>
    <pageSetUpPr fitToPage="1"/>
  </sheetPr>
  <dimension ref="A1:R51"/>
  <sheetViews>
    <sheetView zoomScale="85" zoomScaleNormal="85" workbookViewId="0" topLeftCell="A1">
      <pane ySplit="18" topLeftCell="A19" activePane="bottomLeft" state="frozen"/>
      <selection pane="topLeft" activeCell="E14" sqref="E14"/>
      <selection pane="bottomLeft" activeCell="A19" sqref="A19"/>
    </sheetView>
  </sheetViews>
  <sheetFormatPr defaultRowHeight="12.75"/>
  <cols>
    <col min="1" max="1" width="9.42857142857143" bestFit="1" customWidth="1"/>
    <col min="2" max="2" width="25.2857142857143" bestFit="1" customWidth="1"/>
    <col min="3" max="3" width="0.857142857142857" customWidth="1"/>
    <col min="4" max="4" width="15.7142857142857" bestFit="1" customWidth="1"/>
    <col min="5" max="7" width="15.7142857142857" style="374" customWidth="1"/>
    <col min="8" max="8" width="16.2857142857143" bestFit="1" customWidth="1"/>
    <col min="9" max="10" width="16.2857142857143" style="374" customWidth="1"/>
    <col min="11" max="11" width="14.4285714285714" bestFit="1" customWidth="1"/>
    <col min="12" max="12" width="14.5714285714286" bestFit="1" customWidth="1"/>
    <col min="13" max="13" width="17" bestFit="1" customWidth="1"/>
    <col min="15" max="15" width="13.1428571428571" bestFit="1" customWidth="1"/>
    <col min="16" max="16" width="9.42857142857143" bestFit="1" customWidth="1"/>
    <col min="18" max="18" width="11.5714285714286" bestFit="1" customWidth="1"/>
  </cols>
  <sheetData>
    <row r="1" spans="1:1" ht="12.75">
      <c r="A1" s="31" t="str">
        <f>+'[3]Input Data'!$A$9</f>
        <v>2022 RATE CASE</v>
      </c>
    </row>
    <row r="2" spans="1:1" ht="12.75">
      <c r="A2" s="34" t="str">
        <f>+'[3]Input Data'!$A$2</f>
        <v>ONCOR ELECTRIC DELIVERY COMPANY LLC</v>
      </c>
    </row>
    <row r="3" spans="1:1" ht="12.75">
      <c r="A3" s="168" t="str">
        <f>CONCATENATE('[3]Schedule Sponsors'!$A$115,'[3]Schedule Sponsors'!$B$115)</f>
        <v>II-E-4.5  RATE CASE EXPENSES</v>
      </c>
    </row>
    <row r="4" spans="1:1" ht="12.75">
      <c r="A4" s="92" t="str">
        <f>+'[3]Input Data'!$A$4</f>
        <v>TEST YEAR ENDING DECEMBER 31, 2021</v>
      </c>
    </row>
    <row r="5" spans="1:1" ht="12.75">
      <c r="A5" s="33" t="str">
        <f>CONCATENATE("SPONSOR: ",'[3]Schedule Sponsors'!$D$115)</f>
        <v>SPONSOR: R. SCHMIDT &amp;&amp; W. ALAN LEDBETTER</v>
      </c>
    </row>
    <row r="11" spans="1:14" ht="50.25" customHeight="1">
      <c r="A11" s="842" t="s">
        <v>1250</v>
      </c>
      <c r="B11" s="843"/>
      <c r="C11" s="843"/>
      <c r="D11" s="843"/>
      <c r="E11" s="843"/>
      <c r="F11" s="843"/>
      <c r="G11" s="843"/>
      <c r="H11" s="843"/>
      <c r="I11" s="843"/>
      <c r="J11" s="843"/>
      <c r="K11" s="843"/>
      <c r="L11" s="843"/>
      <c r="M11" s="843"/>
      <c r="N11" s="843"/>
    </row>
    <row r="15" s="184" customFormat="1" ht="12.75"/>
    <row r="16" spans="1:13" s="577" customFormat="1" ht="12.75">
      <c r="A16" s="577" t="s">
        <v>252</v>
      </c>
      <c r="E16" s="577" t="s">
        <v>628</v>
      </c>
      <c r="F16" s="577" t="s">
        <v>629</v>
      </c>
      <c r="G16" s="577" t="s">
        <v>631</v>
      </c>
      <c r="I16" s="577" t="s">
        <v>628</v>
      </c>
      <c r="J16" s="577" t="s">
        <v>631</v>
      </c>
      <c r="M16" s="184"/>
    </row>
    <row r="17" spans="1:13" s="577" customFormat="1" ht="12.75">
      <c r="A17" s="577" t="s">
        <v>147</v>
      </c>
      <c r="B17" s="577" t="s">
        <v>69</v>
      </c>
      <c r="D17" s="45" t="s">
        <v>208</v>
      </c>
      <c r="E17" s="45" t="s">
        <v>208</v>
      </c>
      <c r="F17" s="45" t="s">
        <v>632</v>
      </c>
      <c r="G17" s="45" t="s">
        <v>208</v>
      </c>
      <c r="H17" s="578" t="s">
        <v>209</v>
      </c>
      <c r="I17" s="578" t="s">
        <v>209</v>
      </c>
      <c r="J17" s="578" t="s">
        <v>209</v>
      </c>
      <c r="K17" s="578" t="s">
        <v>203</v>
      </c>
      <c r="L17" s="578" t="s">
        <v>291</v>
      </c>
      <c r="M17" s="577" t="s">
        <v>78</v>
      </c>
    </row>
    <row r="18" spans="1:13" s="577" customFormat="1" ht="12.75">
      <c r="A18" s="580"/>
      <c r="B18" s="580" t="s">
        <v>237</v>
      </c>
      <c r="C18" s="580"/>
      <c r="D18" s="580" t="s">
        <v>238</v>
      </c>
      <c r="E18" s="580" t="s">
        <v>239</v>
      </c>
      <c r="F18" s="580" t="s">
        <v>240</v>
      </c>
      <c r="G18" s="580" t="s">
        <v>241</v>
      </c>
      <c r="H18" s="580" t="s">
        <v>242</v>
      </c>
      <c r="I18" s="580" t="s">
        <v>243</v>
      </c>
      <c r="J18" s="580" t="s">
        <v>244</v>
      </c>
      <c r="K18" s="580" t="s">
        <v>245</v>
      </c>
      <c r="L18" s="580" t="s">
        <v>246</v>
      </c>
      <c r="M18" s="580" t="s">
        <v>247</v>
      </c>
    </row>
    <row r="19" s="184" customFormat="1" ht="12.75"/>
    <row r="20" spans="1:2" s="184" customFormat="1" ht="12.75">
      <c r="A20" s="185">
        <v>1</v>
      </c>
      <c r="B20" s="570" t="s">
        <v>304</v>
      </c>
    </row>
    <row r="21" spans="1:1" ht="12.75">
      <c r="A21" s="27">
        <v>2</v>
      </c>
    </row>
    <row r="22" spans="1:17" ht="12.75">
      <c r="A22" s="27">
        <v>3</v>
      </c>
      <c r="B22" t="s">
        <v>305</v>
      </c>
      <c r="D22" s="132">
        <v>0</v>
      </c>
      <c r="E22" s="132">
        <v>0</v>
      </c>
      <c r="F22" s="132">
        <v>0</v>
      </c>
      <c r="G22" s="132">
        <f>SUM(D22:F22)</f>
        <v>0</v>
      </c>
      <c r="H22" s="132">
        <v>0</v>
      </c>
      <c r="I22" s="132">
        <v>0</v>
      </c>
      <c r="J22" s="132">
        <f>SUM(H22:I22)</f>
        <v>0</v>
      </c>
      <c r="K22" s="132">
        <v>0</v>
      </c>
      <c r="L22" s="132">
        <v>0</v>
      </c>
      <c r="M22" s="481">
        <f>+G22+J22+K22+L22</f>
        <v>0</v>
      </c>
      <c r="O22" s="102"/>
      <c r="Q22" s="120"/>
    </row>
    <row r="23" spans="1:17" ht="12.75">
      <c r="A23" s="27">
        <v>4</v>
      </c>
      <c r="B23" t="s">
        <v>306</v>
      </c>
      <c r="D23" s="102">
        <v>0</v>
      </c>
      <c r="E23" s="102">
        <v>0</v>
      </c>
      <c r="F23" s="102">
        <v>0</v>
      </c>
      <c r="G23" s="102">
        <f t="shared" si="0" ref="G23:G24">SUM(D23:F23)</f>
        <v>0</v>
      </c>
      <c r="H23" s="102">
        <v>0</v>
      </c>
      <c r="I23" s="102">
        <v>0</v>
      </c>
      <c r="J23" s="102">
        <f t="shared" si="1" ref="J23:J24">SUM(H23:I23)</f>
        <v>0</v>
      </c>
      <c r="K23" s="102">
        <v>0</v>
      </c>
      <c r="L23" s="102">
        <v>0</v>
      </c>
      <c r="M23" s="482">
        <f t="shared" si="2" ref="M23">+G23+J23+K23+L23</f>
        <v>0</v>
      </c>
      <c r="O23" s="102"/>
      <c r="Q23" s="120"/>
    </row>
    <row r="24" spans="1:17" ht="12.75">
      <c r="A24" s="27">
        <v>5</v>
      </c>
      <c r="B24" t="s">
        <v>307</v>
      </c>
      <c r="D24" s="102">
        <v>0</v>
      </c>
      <c r="E24" s="102">
        <v>0</v>
      </c>
      <c r="F24" s="102">
        <v>0</v>
      </c>
      <c r="G24" s="102">
        <f t="shared" si="0"/>
        <v>0</v>
      </c>
      <c r="H24" s="102">
        <f>+M24</f>
        <v>4896538.46</v>
      </c>
      <c r="I24" s="102">
        <v>0</v>
      </c>
      <c r="J24" s="102">
        <f t="shared" si="1"/>
        <v>4896538.46</v>
      </c>
      <c r="K24" s="102">
        <v>0</v>
      </c>
      <c r="L24" s="102">
        <v>0</v>
      </c>
      <c r="M24" s="482">
        <v>4896538.46</v>
      </c>
      <c r="N24" s="103" t="b">
        <f>+M24=(G24+J24+K24+L24)</f>
        <v>1</v>
      </c>
      <c r="O24" s="102"/>
      <c r="Q24" s="120"/>
    </row>
    <row r="25" spans="1:17" ht="12.75">
      <c r="A25" s="27">
        <v>6</v>
      </c>
      <c r="B25" t="s">
        <v>145</v>
      </c>
      <c r="D25" s="102">
        <v>0</v>
      </c>
      <c r="E25" s="102">
        <v>0</v>
      </c>
      <c r="F25" s="102">
        <v>0</v>
      </c>
      <c r="G25" s="102">
        <f t="shared" si="3" ref="G25">SUM(D25:F25)</f>
        <v>0</v>
      </c>
      <c r="H25" s="102">
        <f>+M25</f>
        <v>1957056.6299999999</v>
      </c>
      <c r="I25" s="102">
        <v>0</v>
      </c>
      <c r="J25" s="102">
        <f t="shared" si="4" ref="J25">SUM(H25:I25)</f>
        <v>1957056.6299999999</v>
      </c>
      <c r="K25" s="102">
        <v>0</v>
      </c>
      <c r="L25" s="102">
        <v>0</v>
      </c>
      <c r="M25" s="482">
        <v>1957056.6299999999</v>
      </c>
      <c r="N25" s="103" t="b">
        <f>+M25=(G25+J25+K25+L25)</f>
        <v>1</v>
      </c>
      <c r="O25" s="102"/>
      <c r="Q25" s="120"/>
    </row>
    <row r="26" spans="1:15" ht="12.75">
      <c r="A26" s="27">
        <v>7</v>
      </c>
      <c r="D26" s="102"/>
      <c r="E26" s="102"/>
      <c r="F26" s="102"/>
      <c r="G26" s="102"/>
      <c r="H26" s="102"/>
      <c r="I26" s="102"/>
      <c r="J26" s="102"/>
      <c r="K26" s="102"/>
      <c r="L26" s="102"/>
      <c r="M26" s="482"/>
      <c r="O26" s="102"/>
    </row>
    <row r="27" spans="1:15" ht="12.75">
      <c r="A27" s="27">
        <v>8</v>
      </c>
      <c r="B27" s="31" t="s">
        <v>308</v>
      </c>
      <c r="D27" s="135">
        <f t="shared" si="5" ref="D27">SUM(D22:D25)</f>
        <v>0</v>
      </c>
      <c r="E27" s="135">
        <f t="shared" si="6" ref="E27:M27">SUM(E22:E25)</f>
        <v>0</v>
      </c>
      <c r="F27" s="135">
        <f t="shared" si="6"/>
        <v>0</v>
      </c>
      <c r="G27" s="135">
        <f t="shared" si="6"/>
        <v>0</v>
      </c>
      <c r="H27" s="135">
        <f t="shared" si="6"/>
        <v>6853595.0899999999</v>
      </c>
      <c r="I27" s="135">
        <f t="shared" si="6"/>
        <v>0</v>
      </c>
      <c r="J27" s="135">
        <f t="shared" si="6"/>
        <v>6853595.0899999999</v>
      </c>
      <c r="K27" s="135">
        <f t="shared" si="6"/>
        <v>0</v>
      </c>
      <c r="L27" s="135">
        <f t="shared" si="6"/>
        <v>0</v>
      </c>
      <c r="M27" s="135">
        <f t="shared" si="6"/>
        <v>6853595.0899999999</v>
      </c>
      <c r="N27" s="103" t="b">
        <f>+M27=(G27+J27+K27+L27)</f>
        <v>1</v>
      </c>
      <c r="O27" s="102"/>
    </row>
    <row r="28" spans="1:13" ht="12.75">
      <c r="A28" s="27">
        <v>9</v>
      </c>
      <c r="D28" s="102"/>
      <c r="E28" s="102"/>
      <c r="F28" s="102"/>
      <c r="G28" s="102"/>
      <c r="H28" s="102"/>
      <c r="I28" s="102"/>
      <c r="J28" s="102"/>
      <c r="K28" s="102"/>
      <c r="L28" s="102"/>
      <c r="M28" s="482"/>
    </row>
    <row r="29" spans="1:13" ht="12.75">
      <c r="A29" s="27">
        <v>10</v>
      </c>
      <c r="B29" s="31" t="s">
        <v>309</v>
      </c>
      <c r="D29" s="102"/>
      <c r="E29" s="102"/>
      <c r="F29" s="102"/>
      <c r="G29" s="102"/>
      <c r="H29" s="102"/>
      <c r="I29" s="102"/>
      <c r="J29" s="102"/>
      <c r="K29" s="102"/>
      <c r="L29" s="102"/>
      <c r="M29" s="482"/>
    </row>
    <row r="30" spans="1:13" ht="12.75">
      <c r="A30" s="145">
        <v>11</v>
      </c>
      <c r="D30" s="102"/>
      <c r="E30" s="102"/>
      <c r="F30" s="102"/>
      <c r="G30" s="102"/>
      <c r="H30" s="102"/>
      <c r="I30" s="102"/>
      <c r="J30" s="102"/>
      <c r="K30" s="102"/>
      <c r="L30" s="102"/>
      <c r="M30" s="482"/>
    </row>
    <row r="31" spans="1:17" ht="12.75">
      <c r="A31" s="145">
        <v>12</v>
      </c>
      <c r="B31" t="s">
        <v>310</v>
      </c>
      <c r="D31" s="132">
        <v>0</v>
      </c>
      <c r="E31" s="132">
        <v>0</v>
      </c>
      <c r="F31" s="132">
        <v>0</v>
      </c>
      <c r="G31" s="132">
        <f t="shared" si="7" ref="G31:G32">SUM(D31:F31)</f>
        <v>0</v>
      </c>
      <c r="H31" s="132">
        <f>+M31</f>
        <v>25756.689999999999</v>
      </c>
      <c r="I31" s="132">
        <v>0</v>
      </c>
      <c r="J31" s="132">
        <f t="shared" si="8" ref="J31:J32">SUM(H31:I31)</f>
        <v>25756.689999999999</v>
      </c>
      <c r="K31" s="132">
        <v>0</v>
      </c>
      <c r="L31" s="132">
        <v>0</v>
      </c>
      <c r="M31" s="481">
        <v>25756.689999999999</v>
      </c>
      <c r="N31" s="103" t="b">
        <f>+M31=(G31+J31+K31+L31)</f>
        <v>1</v>
      </c>
      <c r="O31" s="102"/>
      <c r="Q31" s="120"/>
    </row>
    <row r="32" spans="1:17" ht="12.75">
      <c r="A32" s="145">
        <v>13</v>
      </c>
      <c r="B32" t="s">
        <v>145</v>
      </c>
      <c r="D32" s="102">
        <v>0</v>
      </c>
      <c r="E32" s="102">
        <v>0</v>
      </c>
      <c r="F32" s="102">
        <v>0</v>
      </c>
      <c r="G32" s="102">
        <f t="shared" si="7"/>
        <v>0</v>
      </c>
      <c r="H32" s="102">
        <f>+M32</f>
        <v>96659.310000000027</v>
      </c>
      <c r="I32" s="102">
        <v>0</v>
      </c>
      <c r="J32" s="102">
        <f t="shared" si="8"/>
        <v>96659.310000000027</v>
      </c>
      <c r="K32" s="102">
        <v>0</v>
      </c>
      <c r="L32" s="102">
        <v>0</v>
      </c>
      <c r="M32" s="482">
        <v>96659.310000000027</v>
      </c>
      <c r="N32" s="103" t="b">
        <f>+M32=(G32+J32+K32+L32)</f>
        <v>1</v>
      </c>
      <c r="O32" s="102"/>
      <c r="Q32" s="120"/>
    </row>
    <row r="33" spans="1:13" ht="12.75">
      <c r="A33" s="145">
        <v>14</v>
      </c>
      <c r="D33" s="102"/>
      <c r="E33" s="102"/>
      <c r="F33" s="102"/>
      <c r="G33" s="102"/>
      <c r="H33" s="102"/>
      <c r="I33" s="102"/>
      <c r="J33" s="102"/>
      <c r="K33" s="102"/>
      <c r="L33" s="102"/>
      <c r="M33" s="482"/>
    </row>
    <row r="34" spans="1:17" ht="12.75">
      <c r="A34" s="145">
        <v>15</v>
      </c>
      <c r="B34" s="31" t="s">
        <v>311</v>
      </c>
      <c r="D34" s="135">
        <f t="shared" si="9" ref="D34">SUM(D31:D32)</f>
        <v>0</v>
      </c>
      <c r="E34" s="135">
        <f t="shared" si="10" ref="E34:M34">SUM(E31:E32)</f>
        <v>0</v>
      </c>
      <c r="F34" s="135">
        <f t="shared" si="10"/>
        <v>0</v>
      </c>
      <c r="G34" s="135">
        <f t="shared" si="10"/>
        <v>0</v>
      </c>
      <c r="H34" s="135">
        <f t="shared" si="10"/>
        <v>122416.00000000003</v>
      </c>
      <c r="I34" s="135">
        <f t="shared" si="10"/>
        <v>0</v>
      </c>
      <c r="J34" s="135">
        <f t="shared" si="10"/>
        <v>122416.00000000003</v>
      </c>
      <c r="K34" s="135">
        <f t="shared" si="10"/>
        <v>0</v>
      </c>
      <c r="L34" s="135">
        <f t="shared" si="10"/>
        <v>0</v>
      </c>
      <c r="M34" s="135">
        <f t="shared" si="10"/>
        <v>122416.00000000003</v>
      </c>
      <c r="N34" s="103" t="b">
        <f>+M34=(G34+J34+K34+L34)</f>
        <v>1</v>
      </c>
      <c r="O34" s="102"/>
      <c r="Q34" s="120"/>
    </row>
    <row r="35" spans="1:13" ht="12.75">
      <c r="A35" s="145">
        <v>16</v>
      </c>
      <c r="D35" s="102"/>
      <c r="E35" s="102"/>
      <c r="F35" s="102"/>
      <c r="G35" s="102"/>
      <c r="H35" s="102"/>
      <c r="I35" s="102"/>
      <c r="J35" s="102"/>
      <c r="K35" s="102"/>
      <c r="L35" s="102"/>
      <c r="M35" s="482"/>
    </row>
    <row r="36" spans="1:17" ht="12.75">
      <c r="A36" s="145">
        <v>17</v>
      </c>
      <c r="B36" t="s">
        <v>312</v>
      </c>
      <c r="D36" s="132">
        <v>0</v>
      </c>
      <c r="E36" s="132">
        <v>0</v>
      </c>
      <c r="F36" s="132">
        <v>0</v>
      </c>
      <c r="G36" s="132">
        <f t="shared" si="11" ref="G36">SUM(D36:F36)</f>
        <v>0</v>
      </c>
      <c r="H36" s="132">
        <f>+M36</f>
        <v>1257116.8399999999</v>
      </c>
      <c r="I36" s="132">
        <v>0</v>
      </c>
      <c r="J36" s="132">
        <f t="shared" si="12" ref="J36">SUM(H36:I36)</f>
        <v>1257116.8399999999</v>
      </c>
      <c r="K36" s="132">
        <v>0</v>
      </c>
      <c r="L36" s="132">
        <v>0</v>
      </c>
      <c r="M36" s="481">
        <v>1257116.8399999999</v>
      </c>
      <c r="N36" s="103" t="b">
        <f>+M36=(G36+J36+K36+L36)</f>
        <v>1</v>
      </c>
      <c r="O36" s="102"/>
      <c r="Q36" s="120"/>
    </row>
    <row r="37" spans="1:13" ht="12.75">
      <c r="A37" s="145">
        <v>18</v>
      </c>
      <c r="D37" s="102"/>
      <c r="E37" s="102"/>
      <c r="F37" s="102"/>
      <c r="G37" s="102"/>
      <c r="H37" s="102"/>
      <c r="I37" s="102"/>
      <c r="J37" s="102"/>
      <c r="K37" s="102"/>
      <c r="L37" s="102"/>
      <c r="M37" s="482"/>
    </row>
    <row r="38" spans="1:13" ht="12.75">
      <c r="A38" s="145">
        <v>19</v>
      </c>
      <c r="D38" s="102"/>
      <c r="E38" s="102"/>
      <c r="F38" s="102"/>
      <c r="G38" s="102"/>
      <c r="H38" s="102"/>
      <c r="I38" s="102"/>
      <c r="J38" s="102"/>
      <c r="K38" s="102"/>
      <c r="L38" s="102"/>
      <c r="M38" s="482"/>
    </row>
    <row r="39" spans="1:17" ht="13.5" thickBot="1">
      <c r="A39" s="145">
        <v>20</v>
      </c>
      <c r="B39" s="31" t="s">
        <v>313</v>
      </c>
      <c r="D39" s="134">
        <f t="shared" si="13" ref="D39">+D27+D34+D36</f>
        <v>0</v>
      </c>
      <c r="E39" s="134">
        <f t="shared" si="14" ref="E39:M39">+E27+E34+E36</f>
        <v>0</v>
      </c>
      <c r="F39" s="134">
        <f t="shared" si="14"/>
        <v>0</v>
      </c>
      <c r="G39" s="134">
        <f t="shared" si="14"/>
        <v>0</v>
      </c>
      <c r="H39" s="134">
        <f t="shared" si="14"/>
        <v>8233127.9299999997</v>
      </c>
      <c r="I39" s="134">
        <f t="shared" si="14"/>
        <v>0</v>
      </c>
      <c r="J39" s="134">
        <f t="shared" si="14"/>
        <v>8233127.9299999997</v>
      </c>
      <c r="K39" s="134">
        <f t="shared" si="14"/>
        <v>0</v>
      </c>
      <c r="L39" s="134">
        <f t="shared" si="14"/>
        <v>0</v>
      </c>
      <c r="M39" s="134">
        <f t="shared" si="14"/>
        <v>8233127.9299999997</v>
      </c>
      <c r="N39" s="103" t="b">
        <f>+M39=(G39+J39+K39+L39)</f>
        <v>1</v>
      </c>
      <c r="O39" s="102"/>
      <c r="Q39" s="120"/>
    </row>
    <row r="40" spans="1:1" s="184" customFormat="1" ht="13.5" thickTop="1">
      <c r="A40" s="185">
        <v>21</v>
      </c>
    </row>
    <row r="41" spans="1:1" s="184" customFormat="1" ht="12.75">
      <c r="A41" s="185">
        <v>22</v>
      </c>
    </row>
    <row r="42" spans="1:18" s="184" customFormat="1" ht="12.75">
      <c r="A42" s="185">
        <v>23</v>
      </c>
      <c r="B42" s="197" t="s">
        <v>660</v>
      </c>
      <c r="M42" s="821">
        <v>331994</v>
      </c>
      <c r="Q42" s="195"/>
      <c r="R42" s="821"/>
    </row>
    <row r="43" spans="1:18" s="184" customFormat="1" ht="12.75">
      <c r="A43" s="185">
        <v>24</v>
      </c>
      <c r="B43" s="173" t="s">
        <v>659</v>
      </c>
      <c r="M43" s="105">
        <v>334785</v>
      </c>
      <c r="Q43" s="195"/>
      <c r="R43" s="105"/>
    </row>
    <row r="44" spans="1:18" s="184" customFormat="1" ht="12.75">
      <c r="A44" s="185">
        <v>25</v>
      </c>
      <c r="B44" s="173" t="s">
        <v>661</v>
      </c>
      <c r="M44" s="105">
        <v>304616</v>
      </c>
      <c r="Q44" s="195"/>
      <c r="R44" s="105"/>
    </row>
    <row r="45" spans="1:18" s="184" customFormat="1" ht="12.75">
      <c r="A45" s="185">
        <v>26</v>
      </c>
      <c r="B45" s="173" t="s">
        <v>662</v>
      </c>
      <c r="M45" s="105">
        <v>167728</v>
      </c>
      <c r="Q45" s="195"/>
      <c r="R45" s="105"/>
    </row>
    <row r="46" spans="1:18" s="184" customFormat="1" ht="12.75">
      <c r="A46" s="185">
        <v>27</v>
      </c>
      <c r="B46" s="173" t="s">
        <v>663</v>
      </c>
      <c r="M46" s="105">
        <v>178483</v>
      </c>
      <c r="Q46" s="195"/>
      <c r="R46" s="105"/>
    </row>
    <row r="47" spans="1:18" s="184" customFormat="1" ht="12.75">
      <c r="A47" s="185">
        <v>28</v>
      </c>
      <c r="B47" s="173" t="s">
        <v>1114</v>
      </c>
      <c r="M47" s="105">
        <v>215522</v>
      </c>
      <c r="Q47" s="195"/>
      <c r="R47" s="105"/>
    </row>
    <row r="48" spans="1:18" s="184" customFormat="1" ht="12.75">
      <c r="A48" s="185">
        <v>29</v>
      </c>
      <c r="B48" s="173" t="s">
        <v>1113</v>
      </c>
      <c r="M48" s="105">
        <v>6700000</v>
      </c>
      <c r="Q48" s="195"/>
      <c r="R48" s="105"/>
    </row>
    <row r="49" spans="1:17" s="184" customFormat="1" ht="13.5" thickBot="1">
      <c r="A49" s="185">
        <v>30</v>
      </c>
      <c r="B49" s="173" t="s">
        <v>414</v>
      </c>
      <c r="M49" s="822">
        <f>SUM(M42:M48)</f>
        <v>8233128</v>
      </c>
      <c r="Q49" s="823"/>
    </row>
    <row r="50" spans="14:14" s="184" customFormat="1" ht="13.5" thickTop="1">
      <c r="N50" s="823"/>
    </row>
    <row r="51" spans="14:14" s="184" customFormat="1" ht="12.75">
      <c r="N51" s="823"/>
    </row>
    <row r="52" s="184" customFormat="1" ht="12.75"/>
    <row r="53" s="184" customFormat="1" ht="12.75"/>
  </sheetData>
  <mergeCells count="1">
    <mergeCell ref="A11:N11"/>
  </mergeCells>
  <printOptions horizontalCentered="1"/>
  <pageMargins left="0.5" right="0.5" top="2.52" bottom="0.5" header="1.03" footer="0.5"/>
  <pageSetup horizontalDpi="360" verticalDpi="360" orientation="landscape" scale="67" r:id="rId1"/>
  <headerFooter alignWithMargins="0">
    <oddHeader>&amp;C&amp;B
2022 RATE CASE
ONCOR ELECTRIC DELIVERY COMPANY LLC
II-E-4.5  RATE CASE EXPENSES
TEST YEAR ENDING DECEMBER 31, 2021
SPONSOR: R. SCHMIDT &amp;&amp; W. ALAN LEDBETTER&amp;R&amp;"Arial,Bold"Schedule &amp;A
Page &amp;P of &amp;N</oddHead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
    <pageSetUpPr fitToPage="1"/>
  </sheetPr>
  <dimension ref="A1:A12"/>
  <sheetViews>
    <sheetView workbookViewId="0" topLeftCell="A1"/>
  </sheetViews>
  <sheetFormatPr defaultRowHeight="12.75"/>
  <sheetData>
    <row r="1" spans="1:1" ht="12.75">
      <c r="A1" s="34" t="str">
        <f>+'[3]Input Data'!$A$9</f>
        <v>2022 RATE CASE</v>
      </c>
    </row>
    <row r="2" spans="1:1" ht="12.75">
      <c r="A2" s="34" t="str">
        <f>+'[3]Input Data'!$A$2</f>
        <v>ONCOR ELECTRIC DELIVERY COMPANY LLC</v>
      </c>
    </row>
    <row r="3" spans="1:1" ht="12.75">
      <c r="A3" s="168" t="str">
        <f>CONCATENATE('[3]Schedule Sponsors'!$A$116,'[3]Schedule Sponsors'!$B$116)</f>
        <v>II-E-4.6  EXPENSES PREVIOUSLY DENIED BY THE COMMISSION</v>
      </c>
    </row>
    <row r="4" spans="1:1" ht="12.75">
      <c r="A4" s="92" t="str">
        <f>+'[3]Input Data'!$A$4</f>
        <v>TEST YEAR ENDING DECEMBER 31, 2021</v>
      </c>
    </row>
    <row r="5" spans="1:1" ht="12.75">
      <c r="A5" s="33" t="str">
        <f>CONCATENATE("SPONSOR: ",'[3]Schedule Sponsors'!$D$116)</f>
        <v>SPONSOR: W. ALAN LEDBETTER</v>
      </c>
    </row>
    <row r="11" spans="1:1" ht="12.75">
      <c r="A11" s="352" t="s">
        <v>618</v>
      </c>
    </row>
    <row r="12" spans="1:1" ht="12.75">
      <c r="A12" s="352" t="s">
        <v>619</v>
      </c>
    </row>
  </sheetData>
  <printOptions horizontalCentered="1"/>
  <pageMargins left="0.5" right="0.5" top="3" bottom="0.5" header="1.25" footer="0.3"/>
  <pageSetup fitToHeight="0" orientation="landscape" r:id="rId1"/>
  <headerFooter>
    <oddHeader>&amp;C&amp;B
2022 RATE CASE
ONCOR ELECTRIC DELIVERY COMPANY LLC
II-E-4.6  EXPENSES PREVIOUSLY DENIED BY THE COMMISSION
TEST YEAR ENDING DECEMBER 31, 2021
SPONSOR: W. ALAN LEDBETTER&amp;R&amp;"Arial,Bold"Schedule &amp;A
Page &amp;P of &amp;N</oddHead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
    <tabColor rgb="FF00B050"/>
  </sheetPr>
  <dimension ref="A1:Z73"/>
  <sheetViews>
    <sheetView workbookViewId="0" topLeftCell="A1">
      <pane xSplit="4" ySplit="13" topLeftCell="E14" activePane="bottomRight" state="frozen"/>
      <selection pane="topLeft" activeCell="E14" sqref="E14"/>
      <selection pane="bottomLeft" activeCell="E14" sqref="E14"/>
      <selection pane="topRight" activeCell="E14" sqref="E14"/>
      <selection pane="bottomRight" activeCell="I18" sqref="I18"/>
    </sheetView>
  </sheetViews>
  <sheetFormatPr defaultColWidth="9.14428571428571" defaultRowHeight="12.75"/>
  <cols>
    <col min="1" max="1" width="5.71428571428571" style="30" customWidth="1"/>
    <col min="2" max="2" width="8.85714285714286" style="32" customWidth="1"/>
    <col min="3" max="3" width="46.7142857142857" style="32" customWidth="1"/>
    <col min="4" max="4" width="10.5714285714286" style="29" customWidth="1"/>
    <col min="5" max="6" width="15.4285714285714" style="32" customWidth="1"/>
    <col min="7" max="7" width="17.1428571428571" style="32" bestFit="1" customWidth="1"/>
    <col min="8" max="8" width="15.2857142857143" style="32" customWidth="1"/>
    <col min="9" max="9" width="14.8571428571429" style="32" bestFit="1" customWidth="1"/>
    <col min="10" max="10" width="13.4285714285714" style="32" bestFit="1" customWidth="1"/>
    <col min="11" max="11" width="10.2857142857143" style="32" bestFit="1" customWidth="1"/>
    <col min="12" max="12" width="13.4285714285714" style="29" bestFit="1" customWidth="1"/>
    <col min="13" max="13" width="3.28571428571429" style="32" bestFit="1" customWidth="1"/>
    <col min="14" max="14" width="16.8571428571429" style="29" bestFit="1" customWidth="1"/>
    <col min="15" max="15" width="15.1428571428571" style="32" customWidth="1"/>
    <col min="16" max="16" width="14.1428571428571" style="32" bestFit="1" customWidth="1"/>
    <col min="17" max="18" width="15.1428571428571" style="32" customWidth="1"/>
    <col min="19" max="21" width="16.2857142857143" style="32" customWidth="1"/>
    <col min="22" max="23" width="12.7142857142857" style="32" customWidth="1"/>
    <col min="24" max="24" width="13.4285714285714" style="32" bestFit="1" customWidth="1"/>
    <col min="25" max="25" width="9.14285714285714" style="32"/>
    <col min="26" max="26" width="14" style="32" bestFit="1" customWidth="1"/>
    <col min="27" max="16384" width="9.14285714285714" style="32"/>
  </cols>
  <sheetData>
    <row r="1" spans="1:1" ht="12.75">
      <c r="A1" s="34" t="str">
        <f>+'[3]Input Data'!$A$9</f>
        <v>2022 RATE CASE</v>
      </c>
    </row>
    <row r="2" spans="1:24" ht="12.75">
      <c r="A2" s="34" t="str">
        <f>+'[3]Input Data'!$A$2</f>
        <v>ONCOR ELECTRIC DELIVERY COMPANY LLC</v>
      </c>
      <c r="B2" s="30"/>
      <c r="C2" s="30"/>
      <c r="D2" s="44"/>
      <c r="E2" s="30"/>
      <c r="F2" s="30"/>
      <c r="G2" s="89"/>
      <c r="H2" s="30"/>
      <c r="I2" s="30"/>
      <c r="J2" s="30"/>
      <c r="K2" s="30"/>
      <c r="L2" s="44"/>
      <c r="M2" s="30"/>
      <c r="N2" s="44"/>
      <c r="O2" s="30"/>
      <c r="P2" s="30"/>
      <c r="Q2" s="30"/>
      <c r="R2" s="30"/>
      <c r="S2" s="30"/>
      <c r="T2" s="30"/>
      <c r="U2" s="30"/>
      <c r="V2" s="30"/>
      <c r="W2" s="30"/>
      <c r="X2" s="30"/>
    </row>
    <row r="3" spans="1:24" ht="12.75">
      <c r="A3" s="168" t="str">
        <f>CONCATENATE('[3]Schedule Sponsors'!$A$117,'[3]Schedule Sponsors'!$B$117)</f>
        <v>II-E-5  OTHER REVENUE ITEMS (CREDIT)</v>
      </c>
      <c r="B3" s="30"/>
      <c r="D3" s="44"/>
      <c r="E3" s="30"/>
      <c r="F3" s="30"/>
      <c r="G3" s="39"/>
      <c r="H3" s="30"/>
      <c r="I3" s="30"/>
      <c r="J3" s="30"/>
      <c r="K3" s="30"/>
      <c r="L3" s="44"/>
      <c r="M3" s="30"/>
      <c r="N3" s="44"/>
      <c r="O3" s="54"/>
      <c r="P3" s="54"/>
      <c r="Q3" s="54"/>
      <c r="R3" s="54"/>
      <c r="S3" s="30"/>
      <c r="T3" s="30"/>
      <c r="U3" s="30"/>
      <c r="V3" s="30"/>
      <c r="W3" s="30"/>
      <c r="X3" s="30"/>
    </row>
    <row r="4" spans="1:24" ht="12.75">
      <c r="A4" s="92" t="str">
        <f>+'[3]Input Data'!$A$4</f>
        <v>TEST YEAR ENDING DECEMBER 31, 2021</v>
      </c>
      <c r="B4" s="30"/>
      <c r="D4" s="44"/>
      <c r="E4" s="30"/>
      <c r="F4" s="30"/>
      <c r="G4" s="39"/>
      <c r="H4" s="30"/>
      <c r="I4" s="30"/>
      <c r="J4" s="30"/>
      <c r="K4" s="30"/>
      <c r="L4" s="44"/>
      <c r="M4" s="30"/>
      <c r="N4" s="44"/>
      <c r="O4" s="54"/>
      <c r="P4" s="54"/>
      <c r="Q4" s="54"/>
      <c r="R4" s="54"/>
      <c r="S4" s="30"/>
      <c r="T4" s="30"/>
      <c r="U4" s="30"/>
      <c r="V4" s="30"/>
      <c r="W4" s="30"/>
      <c r="X4" s="30"/>
    </row>
    <row r="5" spans="1:24" ht="12.75">
      <c r="A5" s="33" t="str">
        <f>CONCATENATE("SPONSOR: ",'[3]Schedule Sponsors'!$D$117)</f>
        <v>SPONSOR: W. ALAN LEDBETTER</v>
      </c>
      <c r="B5" s="30"/>
      <c r="D5" s="44"/>
      <c r="E5" s="30"/>
      <c r="F5" s="30"/>
      <c r="G5" s="30"/>
      <c r="H5" s="30"/>
      <c r="I5" s="30"/>
      <c r="J5" s="30"/>
      <c r="K5" s="30"/>
      <c r="L5" s="44"/>
      <c r="M5" s="30"/>
      <c r="N5" s="44"/>
      <c r="O5" s="30"/>
      <c r="P5" s="30"/>
      <c r="Q5" s="30"/>
      <c r="R5" s="30"/>
      <c r="S5" s="30"/>
      <c r="T5" s="30"/>
      <c r="U5" s="30"/>
      <c r="V5" s="30"/>
      <c r="W5" s="30"/>
      <c r="X5" s="30"/>
    </row>
    <row r="6" spans="2:24" ht="12.75">
      <c r="B6" s="30"/>
      <c r="D6" s="44"/>
      <c r="E6" s="30"/>
      <c r="F6" s="30"/>
      <c r="G6" s="30"/>
      <c r="H6" s="30"/>
      <c r="I6" s="30"/>
      <c r="J6" s="30"/>
      <c r="K6" s="30"/>
      <c r="L6" s="44"/>
      <c r="M6" s="30"/>
      <c r="N6" s="44"/>
      <c r="O6" s="30"/>
      <c r="P6" s="30"/>
      <c r="Q6" s="30"/>
      <c r="R6" s="30"/>
      <c r="S6" s="30"/>
      <c r="T6" s="30"/>
      <c r="U6" s="30"/>
      <c r="V6" s="30"/>
      <c r="W6" s="30"/>
      <c r="X6" s="30"/>
    </row>
    <row r="7" spans="2:24" ht="12.75">
      <c r="B7" s="30"/>
      <c r="D7" s="44"/>
      <c r="E7" s="30"/>
      <c r="F7" s="30"/>
      <c r="G7" s="30"/>
      <c r="H7" s="30"/>
      <c r="I7" s="30"/>
      <c r="J7" s="30"/>
      <c r="K7" s="30"/>
      <c r="L7" s="44"/>
      <c r="M7" s="30"/>
      <c r="N7" s="44"/>
      <c r="O7" s="30"/>
      <c r="P7" s="30"/>
      <c r="Q7" s="30"/>
      <c r="R7" s="30"/>
      <c r="S7" s="30"/>
      <c r="T7" s="30"/>
      <c r="U7" s="30"/>
      <c r="V7" s="30"/>
      <c r="W7" s="30"/>
      <c r="X7" s="30"/>
    </row>
    <row r="8" spans="2:24" ht="12.75">
      <c r="B8" s="34"/>
      <c r="C8" s="30"/>
      <c r="D8" s="44"/>
      <c r="E8" s="30"/>
      <c r="F8" s="30"/>
      <c r="G8" s="30"/>
      <c r="H8" s="30"/>
      <c r="I8" s="30"/>
      <c r="J8" s="30"/>
      <c r="K8" s="30"/>
      <c r="L8" s="44"/>
      <c r="M8" s="30"/>
      <c r="N8" s="44"/>
      <c r="O8" s="30"/>
      <c r="P8" s="30"/>
      <c r="Q8" s="30"/>
      <c r="R8" s="30"/>
      <c r="S8" s="30"/>
      <c r="T8" s="30"/>
      <c r="U8" s="30"/>
      <c r="V8" s="30"/>
      <c r="W8" s="30"/>
      <c r="X8" s="30"/>
    </row>
    <row r="9" spans="2:24" ht="13.5" thickBot="1">
      <c r="B9" s="30" t="s">
        <v>72</v>
      </c>
      <c r="C9" s="30"/>
      <c r="D9" s="44"/>
      <c r="E9" s="50"/>
      <c r="F9" s="50"/>
      <c r="G9" s="50"/>
      <c r="H9" s="50"/>
      <c r="I9" s="50"/>
      <c r="J9" s="50"/>
      <c r="K9" s="50"/>
      <c r="L9" s="50"/>
      <c r="M9" s="50"/>
      <c r="N9" s="50"/>
      <c r="O9" s="50"/>
      <c r="P9" s="50"/>
      <c r="Q9" s="50"/>
      <c r="R9" s="50"/>
      <c r="S9" s="55"/>
      <c r="T9" s="55"/>
      <c r="U9" s="55"/>
      <c r="V9" s="55"/>
      <c r="W9" s="55"/>
      <c r="X9" s="55"/>
    </row>
    <row r="10" spans="1:24" s="34" customFormat="1" ht="12.75">
      <c r="A10" s="35"/>
      <c r="B10" s="35"/>
      <c r="C10" s="35"/>
      <c r="D10" s="35"/>
      <c r="E10" s="35"/>
      <c r="F10" s="35"/>
      <c r="G10" s="35"/>
      <c r="H10" s="36" t="s">
        <v>66</v>
      </c>
      <c r="I10" s="36" t="s">
        <v>400</v>
      </c>
      <c r="J10" s="36" t="s">
        <v>67</v>
      </c>
      <c r="K10" s="36" t="s">
        <v>84</v>
      </c>
      <c r="L10" s="36" t="s">
        <v>280</v>
      </c>
      <c r="M10" s="35"/>
      <c r="N10" s="36" t="s">
        <v>357</v>
      </c>
      <c r="O10" s="217"/>
      <c r="P10" s="217"/>
      <c r="Q10" s="217"/>
      <c r="R10" s="217"/>
      <c r="S10" s="217"/>
      <c r="T10" s="217"/>
      <c r="U10" s="217"/>
      <c r="V10" s="217"/>
      <c r="W10" s="217"/>
      <c r="X10" s="217"/>
    </row>
    <row r="11" spans="1:24" s="34" customFormat="1" ht="12.75">
      <c r="A11" s="37" t="s">
        <v>252</v>
      </c>
      <c r="B11" s="37" t="s">
        <v>74</v>
      </c>
      <c r="C11" s="37"/>
      <c r="D11" s="37" t="s">
        <v>71</v>
      </c>
      <c r="E11" s="53" t="s">
        <v>76</v>
      </c>
      <c r="F11" s="53"/>
      <c r="G11" s="37" t="s">
        <v>77</v>
      </c>
      <c r="H11" s="37" t="s">
        <v>68</v>
      </c>
      <c r="I11" s="37" t="s">
        <v>401</v>
      </c>
      <c r="J11" s="37" t="s">
        <v>66</v>
      </c>
      <c r="K11" s="37" t="s">
        <v>280</v>
      </c>
      <c r="L11" s="37" t="s">
        <v>47</v>
      </c>
      <c r="M11" s="37" t="s">
        <v>79</v>
      </c>
      <c r="N11" s="37" t="s">
        <v>80</v>
      </c>
      <c r="O11" s="169"/>
      <c r="P11" s="169" t="s">
        <v>628</v>
      </c>
      <c r="Q11" s="169" t="s">
        <v>629</v>
      </c>
      <c r="R11" s="169" t="s">
        <v>631</v>
      </c>
      <c r="S11" s="169"/>
      <c r="T11" s="169" t="s">
        <v>628</v>
      </c>
      <c r="U11" s="169" t="s">
        <v>631</v>
      </c>
      <c r="V11" s="169"/>
      <c r="W11" s="169"/>
      <c r="X11" s="169"/>
    </row>
    <row r="12" spans="1:24" s="34" customFormat="1" ht="12.75">
      <c r="A12" s="37" t="s">
        <v>279</v>
      </c>
      <c r="B12" s="37" t="s">
        <v>213</v>
      </c>
      <c r="C12" s="37" t="s">
        <v>69</v>
      </c>
      <c r="D12" s="37" t="s">
        <v>73</v>
      </c>
      <c r="E12" s="53" t="s">
        <v>81</v>
      </c>
      <c r="F12" s="37" t="s">
        <v>188</v>
      </c>
      <c r="G12" s="37" t="s">
        <v>82</v>
      </c>
      <c r="H12" s="37" t="s">
        <v>83</v>
      </c>
      <c r="I12" s="37" t="s">
        <v>402</v>
      </c>
      <c r="J12" s="37" t="s">
        <v>68</v>
      </c>
      <c r="K12" s="37" t="s">
        <v>80</v>
      </c>
      <c r="L12" s="37" t="s">
        <v>84</v>
      </c>
      <c r="M12" s="37" t="s">
        <v>85</v>
      </c>
      <c r="N12" s="37" t="s">
        <v>86</v>
      </c>
      <c r="O12" s="169" t="s">
        <v>208</v>
      </c>
      <c r="P12" s="169" t="s">
        <v>208</v>
      </c>
      <c r="Q12" s="169" t="s">
        <v>632</v>
      </c>
      <c r="R12" s="169" t="s">
        <v>208</v>
      </c>
      <c r="S12" s="169" t="s">
        <v>209</v>
      </c>
      <c r="T12" s="169" t="s">
        <v>209</v>
      </c>
      <c r="U12" s="169" t="s">
        <v>209</v>
      </c>
      <c r="V12" s="169" t="s">
        <v>203</v>
      </c>
      <c r="W12" s="169" t="s">
        <v>291</v>
      </c>
      <c r="X12" s="169" t="s">
        <v>78</v>
      </c>
    </row>
    <row r="13" spans="1:24" s="34" customFormat="1" ht="13.5" thickBot="1">
      <c r="A13" s="38"/>
      <c r="B13" s="56" t="s">
        <v>237</v>
      </c>
      <c r="C13" s="56" t="s">
        <v>238</v>
      </c>
      <c r="D13" s="56" t="s">
        <v>239</v>
      </c>
      <c r="E13" s="56" t="s">
        <v>240</v>
      </c>
      <c r="F13" s="56" t="s">
        <v>241</v>
      </c>
      <c r="G13" s="56" t="s">
        <v>242</v>
      </c>
      <c r="H13" s="56" t="s">
        <v>243</v>
      </c>
      <c r="I13" s="56" t="s">
        <v>244</v>
      </c>
      <c r="J13" s="56" t="s">
        <v>245</v>
      </c>
      <c r="K13" s="56" t="s">
        <v>246</v>
      </c>
      <c r="L13" s="56" t="s">
        <v>247</v>
      </c>
      <c r="M13" s="56" t="s">
        <v>248</v>
      </c>
      <c r="N13" s="56" t="s">
        <v>249</v>
      </c>
      <c r="O13" s="220" t="s">
        <v>250</v>
      </c>
      <c r="P13" s="220" t="s">
        <v>251</v>
      </c>
      <c r="Q13" s="220" t="s">
        <v>148</v>
      </c>
      <c r="R13" s="220" t="s">
        <v>281</v>
      </c>
      <c r="S13" s="220" t="s">
        <v>292</v>
      </c>
      <c r="T13" s="220" t="s">
        <v>293</v>
      </c>
      <c r="U13" s="220" t="s">
        <v>509</v>
      </c>
      <c r="V13" s="220" t="s">
        <v>510</v>
      </c>
      <c r="W13" s="220" t="s">
        <v>511</v>
      </c>
      <c r="X13" s="220" t="s">
        <v>512</v>
      </c>
    </row>
    <row r="14" spans="2:24" s="30" customFormat="1" ht="12.75">
      <c r="B14" s="41"/>
      <c r="C14" s="41"/>
      <c r="D14" s="42"/>
      <c r="E14" s="34"/>
      <c r="F14" s="34"/>
      <c r="G14" s="90"/>
      <c r="H14" s="90"/>
      <c r="I14" s="90"/>
      <c r="J14" s="90"/>
      <c r="K14" s="90"/>
      <c r="L14" s="42"/>
      <c r="M14" s="90"/>
      <c r="N14" s="42"/>
      <c r="O14" s="90"/>
      <c r="P14" s="90"/>
      <c r="Q14" s="90"/>
      <c r="R14" s="90"/>
      <c r="S14" s="90"/>
      <c r="T14" s="90"/>
      <c r="U14" s="90"/>
      <c r="V14" s="90"/>
      <c r="W14" s="90"/>
      <c r="X14" s="90"/>
    </row>
    <row r="15" spans="1:24" s="34" customFormat="1" ht="12.75">
      <c r="A15" s="44">
        <v>1</v>
      </c>
      <c r="B15" s="34" t="s">
        <v>227</v>
      </c>
      <c r="D15" s="45" t="s">
        <v>236</v>
      </c>
      <c r="E15" s="46"/>
      <c r="F15" s="46"/>
      <c r="G15" s="46"/>
      <c r="H15" s="46"/>
      <c r="I15" s="46"/>
      <c r="J15" s="46"/>
      <c r="K15" s="46"/>
      <c r="L15" s="45"/>
      <c r="M15" s="46"/>
      <c r="N15" s="45"/>
      <c r="O15" s="46"/>
      <c r="P15" s="46"/>
      <c r="Q15" s="46"/>
      <c r="R15" s="46"/>
      <c r="S15" s="46"/>
      <c r="T15" s="46"/>
      <c r="U15" s="46"/>
      <c r="V15" s="46"/>
      <c r="W15" s="46"/>
      <c r="X15" s="46"/>
    </row>
    <row r="16" spans="1:24" s="34" customFormat="1" ht="12.75">
      <c r="A16" s="44">
        <v>2</v>
      </c>
      <c r="B16" s="34" t="s">
        <v>198</v>
      </c>
      <c r="D16" s="45"/>
      <c r="G16" s="46"/>
      <c r="H16" s="40"/>
      <c r="I16" s="46"/>
      <c r="J16" s="46"/>
      <c r="K16" s="46"/>
      <c r="L16" s="45"/>
      <c r="M16" s="46"/>
      <c r="N16" s="45"/>
      <c r="O16" s="46"/>
      <c r="P16" s="46"/>
      <c r="Q16" s="46"/>
      <c r="R16" s="46"/>
      <c r="S16" s="46"/>
      <c r="T16" s="46"/>
      <c r="U16" s="46"/>
      <c r="V16" s="46"/>
      <c r="W16" s="46"/>
      <c r="X16" s="46"/>
    </row>
    <row r="17" spans="1:26" s="34" customFormat="1" ht="12.75">
      <c r="A17" s="44">
        <v>3</v>
      </c>
      <c r="B17" s="146" t="s">
        <v>593</v>
      </c>
      <c r="C17" s="146" t="s">
        <v>594</v>
      </c>
      <c r="D17" s="45"/>
      <c r="E17" s="396">
        <v>0</v>
      </c>
      <c r="F17" s="396">
        <v>0</v>
      </c>
      <c r="G17" s="396">
        <v>0</v>
      </c>
      <c r="H17" s="396">
        <f t="shared" si="0" ref="H17">SUM(E17:G17)</f>
        <v>0</v>
      </c>
      <c r="I17" s="396">
        <v>17616778</v>
      </c>
      <c r="J17" s="396">
        <f>+H17+I17</f>
        <v>17616778</v>
      </c>
      <c r="K17" s="140">
        <v>1</v>
      </c>
      <c r="L17" s="396">
        <f>+J17*K17</f>
        <v>17616778</v>
      </c>
      <c r="M17" s="40"/>
      <c r="N17" s="44" t="s">
        <v>378</v>
      </c>
      <c r="O17" s="396">
        <v>0</v>
      </c>
      <c r="P17" s="396">
        <v>0</v>
      </c>
      <c r="Q17" s="396">
        <v>0</v>
      </c>
      <c r="R17" s="396">
        <f>SUM(O17:Q17)</f>
        <v>0</v>
      </c>
      <c r="S17" s="396">
        <f>+L17</f>
        <v>17616778</v>
      </c>
      <c r="T17" s="396">
        <v>0</v>
      </c>
      <c r="U17" s="396">
        <f>SUM(S17:T17)</f>
        <v>17616778</v>
      </c>
      <c r="V17" s="396">
        <v>0</v>
      </c>
      <c r="W17" s="396">
        <v>0</v>
      </c>
      <c r="X17" s="396">
        <f>+R17+U17+V17+W17</f>
        <v>17616778</v>
      </c>
      <c r="Y17" s="30" t="b">
        <f t="shared" si="1" ref="Y17:Y27">+L17=X17</f>
        <v>1</v>
      </c>
      <c r="Z17" s="116">
        <f t="shared" si="2" ref="Z17:Z27">+L17-X17</f>
        <v>0</v>
      </c>
    </row>
    <row r="18" spans="1:26" s="30" customFormat="1" ht="12.75">
      <c r="A18" s="44">
        <v>4</v>
      </c>
      <c r="B18" s="30" t="s">
        <v>200</v>
      </c>
      <c r="C18" s="30" t="s">
        <v>284</v>
      </c>
      <c r="D18" s="44"/>
      <c r="E18" s="523">
        <v>1070706.0600000001</v>
      </c>
      <c r="F18" s="523">
        <v>0</v>
      </c>
      <c r="G18" s="523">
        <v>0</v>
      </c>
      <c r="H18" s="523">
        <f t="shared" si="3" ref="H18:H27">SUM(E18:G18)</f>
        <v>1070706.0600000001</v>
      </c>
      <c r="I18" s="523">
        <v>0</v>
      </c>
      <c r="J18" s="523">
        <f t="shared" si="4" ref="J18:J27">+H18+I18</f>
        <v>1070706.0600000001</v>
      </c>
      <c r="K18" s="140">
        <v>1</v>
      </c>
      <c r="L18" s="523">
        <f>+J18*K18</f>
        <v>1070706.0600000001</v>
      </c>
      <c r="M18" s="40"/>
      <c r="N18" s="44" t="s">
        <v>378</v>
      </c>
      <c r="O18" s="523">
        <v>0</v>
      </c>
      <c r="P18" s="523">
        <v>0</v>
      </c>
      <c r="Q18" s="523">
        <v>0</v>
      </c>
      <c r="R18" s="523">
        <f t="shared" si="5" ref="R18:R27">SUM(O18:Q18)</f>
        <v>0</v>
      </c>
      <c r="S18" s="523">
        <f>+L18</f>
        <v>1070706.0600000001</v>
      </c>
      <c r="T18" s="523">
        <v>0</v>
      </c>
      <c r="U18" s="523">
        <f t="shared" si="6" ref="U18:U27">SUM(S18:T18)</f>
        <v>1070706.0600000001</v>
      </c>
      <c r="V18" s="523">
        <v>0</v>
      </c>
      <c r="W18" s="523">
        <v>0</v>
      </c>
      <c r="X18" s="523">
        <f t="shared" si="7" ref="X18:X27">+R18+U18+V18+W18</f>
        <v>1070706.0600000001</v>
      </c>
      <c r="Y18" s="30" t="b">
        <f t="shared" si="1"/>
        <v>1</v>
      </c>
      <c r="Z18" s="116">
        <f t="shared" si="2"/>
        <v>0</v>
      </c>
    </row>
    <row r="19" spans="1:26" s="30" customFormat="1" ht="12.75">
      <c r="A19" s="44">
        <v>5</v>
      </c>
      <c r="B19" s="30" t="s">
        <v>201</v>
      </c>
      <c r="C19" s="30" t="s">
        <v>364</v>
      </c>
      <c r="D19" s="44"/>
      <c r="E19" s="523">
        <v>20397856.600000001</v>
      </c>
      <c r="F19" s="523">
        <v>0</v>
      </c>
      <c r="G19" s="523">
        <v>0</v>
      </c>
      <c r="H19" s="523">
        <f t="shared" si="3"/>
        <v>20397856.600000001</v>
      </c>
      <c r="I19" s="523">
        <f>J19-H19</f>
        <v>2070646.8399999999</v>
      </c>
      <c r="J19" s="523">
        <v>22468503.440000001</v>
      </c>
      <c r="K19" s="140">
        <v>1</v>
      </c>
      <c r="L19" s="523">
        <f t="shared" si="8" ref="L19:L27">+J19*K19</f>
        <v>22468503.440000001</v>
      </c>
      <c r="M19" s="40"/>
      <c r="N19" s="44" t="s">
        <v>378</v>
      </c>
      <c r="O19" s="523">
        <v>0</v>
      </c>
      <c r="P19" s="523">
        <f>ROUND(+$L19*'[5]II-F Alloc_Factor'!F$38,2)</f>
        <v>0</v>
      </c>
      <c r="Q19" s="523">
        <f>ROUND(+$L19*'[5]II-F Alloc_Factor'!G$38,2)</f>
        <v>0</v>
      </c>
      <c r="R19" s="523">
        <f t="shared" si="5"/>
        <v>0</v>
      </c>
      <c r="S19" s="523">
        <f>ROUND(+L19*('[5]II-F Alloc_Factor'!$E$38+'[5]II-F Alloc_Factor'!$I$38),2)</f>
        <v>17168857.82</v>
      </c>
      <c r="T19" s="523">
        <f>ROUND(+$L19*'[5]II-F Alloc_Factor'!J$38,2)</f>
        <v>0</v>
      </c>
      <c r="U19" s="523">
        <f t="shared" si="6"/>
        <v>17168857.82</v>
      </c>
      <c r="V19" s="523">
        <f>ROUND(+$L19*'[5]II-F Alloc_Factor'!L$38,2)</f>
        <v>5094630.9699999997</v>
      </c>
      <c r="W19" s="523">
        <f>+L19-R19-U19-V19</f>
        <v>205014.6500000013</v>
      </c>
      <c r="X19" s="523">
        <f t="shared" si="7"/>
        <v>22468503.440000001</v>
      </c>
      <c r="Y19" s="30" t="b">
        <f t="shared" si="1"/>
        <v>1</v>
      </c>
      <c r="Z19" s="116">
        <f t="shared" si="2"/>
        <v>0</v>
      </c>
    </row>
    <row r="20" spans="1:26" s="30" customFormat="1" ht="12.75">
      <c r="A20" s="44">
        <v>6</v>
      </c>
      <c r="B20" s="30" t="s">
        <v>201</v>
      </c>
      <c r="C20" s="30" t="s">
        <v>285</v>
      </c>
      <c r="D20" s="44"/>
      <c r="E20" s="523">
        <v>456565.46000000002</v>
      </c>
      <c r="F20" s="523">
        <v>0</v>
      </c>
      <c r="G20" s="523">
        <v>0</v>
      </c>
      <c r="H20" s="523">
        <f t="shared" si="3"/>
        <v>456565.46000000002</v>
      </c>
      <c r="I20" s="523">
        <v>0</v>
      </c>
      <c r="J20" s="523">
        <f t="shared" si="4"/>
        <v>456565.46000000002</v>
      </c>
      <c r="K20" s="140">
        <v>1</v>
      </c>
      <c r="L20" s="523">
        <f t="shared" si="8"/>
        <v>456565.46000000002</v>
      </c>
      <c r="M20" s="40"/>
      <c r="N20" s="44" t="s">
        <v>378</v>
      </c>
      <c r="O20" s="523">
        <v>0</v>
      </c>
      <c r="P20" s="523">
        <v>0</v>
      </c>
      <c r="Q20" s="523">
        <v>0</v>
      </c>
      <c r="R20" s="523">
        <f t="shared" si="5"/>
        <v>0</v>
      </c>
      <c r="S20" s="523">
        <f>+L20</f>
        <v>456565.46000000002</v>
      </c>
      <c r="T20" s="523">
        <v>0</v>
      </c>
      <c r="U20" s="523">
        <f t="shared" si="6"/>
        <v>456565.46000000002</v>
      </c>
      <c r="V20" s="523">
        <v>0</v>
      </c>
      <c r="W20" s="523">
        <v>0</v>
      </c>
      <c r="X20" s="523">
        <f t="shared" si="7"/>
        <v>456565.46000000002</v>
      </c>
      <c r="Y20" s="30" t="b">
        <f t="shared" si="1"/>
        <v>1</v>
      </c>
      <c r="Z20" s="116">
        <f t="shared" si="2"/>
        <v>0</v>
      </c>
    </row>
    <row r="21" spans="1:26" s="30" customFormat="1" ht="12.75">
      <c r="A21" s="44">
        <v>7</v>
      </c>
      <c r="B21" s="30" t="s">
        <v>199</v>
      </c>
      <c r="C21" s="30" t="s">
        <v>339</v>
      </c>
      <c r="D21" s="44"/>
      <c r="E21" s="523">
        <v>0</v>
      </c>
      <c r="F21" s="523">
        <v>0</v>
      </c>
      <c r="G21" s="523">
        <v>0</v>
      </c>
      <c r="H21" s="523">
        <f t="shared" si="3"/>
        <v>0</v>
      </c>
      <c r="I21" s="523">
        <v>0</v>
      </c>
      <c r="J21" s="523">
        <f t="shared" si="4"/>
        <v>0</v>
      </c>
      <c r="K21" s="140">
        <v>1</v>
      </c>
      <c r="L21" s="523">
        <f t="shared" si="8"/>
        <v>0</v>
      </c>
      <c r="M21" s="40"/>
      <c r="N21" s="44" t="s">
        <v>378</v>
      </c>
      <c r="O21" s="523">
        <v>0</v>
      </c>
      <c r="P21" s="523">
        <v>0</v>
      </c>
      <c r="Q21" s="523">
        <v>0</v>
      </c>
      <c r="R21" s="523">
        <f t="shared" si="5"/>
        <v>0</v>
      </c>
      <c r="S21" s="523">
        <v>0</v>
      </c>
      <c r="T21" s="523">
        <v>0</v>
      </c>
      <c r="U21" s="523">
        <f t="shared" si="6"/>
        <v>0</v>
      </c>
      <c r="V21" s="523">
        <v>0</v>
      </c>
      <c r="W21" s="523">
        <v>0</v>
      </c>
      <c r="X21" s="523">
        <f t="shared" si="7"/>
        <v>0</v>
      </c>
      <c r="Y21" s="30" t="b">
        <f t="shared" si="1"/>
        <v>1</v>
      </c>
      <c r="Z21" s="116">
        <f t="shared" si="2"/>
        <v>0</v>
      </c>
    </row>
    <row r="22" spans="1:26" s="30" customFormat="1" ht="12.75">
      <c r="A22" s="44">
        <v>8</v>
      </c>
      <c r="B22" s="30" t="s">
        <v>199</v>
      </c>
      <c r="C22" s="392" t="s">
        <v>340</v>
      </c>
      <c r="D22" s="44"/>
      <c r="E22" s="523">
        <v>8281656.0099999998</v>
      </c>
      <c r="F22" s="523">
        <v>0</v>
      </c>
      <c r="G22" s="523">
        <v>0</v>
      </c>
      <c r="H22" s="523">
        <f t="shared" si="3"/>
        <v>8281656.0099999998</v>
      </c>
      <c r="I22" s="523">
        <v>0</v>
      </c>
      <c r="J22" s="523">
        <f t="shared" si="4"/>
        <v>8281656.0099999998</v>
      </c>
      <c r="K22" s="140">
        <v>1</v>
      </c>
      <c r="L22" s="523">
        <f t="shared" si="8"/>
        <v>8281656.0099999998</v>
      </c>
      <c r="M22" s="40"/>
      <c r="N22" s="44" t="s">
        <v>378</v>
      </c>
      <c r="O22" s="523">
        <v>0</v>
      </c>
      <c r="P22" s="523">
        <v>0</v>
      </c>
      <c r="Q22" s="523">
        <v>0</v>
      </c>
      <c r="R22" s="523">
        <f t="shared" si="5"/>
        <v>0</v>
      </c>
      <c r="S22" s="523">
        <f>+L22</f>
        <v>8281656.0099999998</v>
      </c>
      <c r="T22" s="523">
        <v>0</v>
      </c>
      <c r="U22" s="523">
        <f t="shared" si="6"/>
        <v>8281656.0099999998</v>
      </c>
      <c r="V22" s="523">
        <v>0</v>
      </c>
      <c r="W22" s="523">
        <v>0</v>
      </c>
      <c r="X22" s="523">
        <f t="shared" si="7"/>
        <v>8281656.0099999998</v>
      </c>
      <c r="Y22" s="30" t="b">
        <f t="shared" si="1"/>
        <v>1</v>
      </c>
      <c r="Z22" s="116">
        <f t="shared" si="2"/>
        <v>0</v>
      </c>
    </row>
    <row r="23" spans="1:26" s="30" customFormat="1" ht="12.75">
      <c r="A23" s="44">
        <v>9</v>
      </c>
      <c r="B23" s="30" t="s">
        <v>199</v>
      </c>
      <c r="C23" s="393" t="s">
        <v>341</v>
      </c>
      <c r="D23" s="44"/>
      <c r="E23" s="523">
        <v>2021249.96</v>
      </c>
      <c r="F23" s="523">
        <v>0</v>
      </c>
      <c r="G23" s="523">
        <v>0</v>
      </c>
      <c r="H23" s="523">
        <f t="shared" si="3"/>
        <v>2021249.96</v>
      </c>
      <c r="I23" s="523">
        <v>0</v>
      </c>
      <c r="J23" s="523">
        <f t="shared" si="4"/>
        <v>2021249.96</v>
      </c>
      <c r="K23" s="140">
        <v>1</v>
      </c>
      <c r="L23" s="523">
        <f t="shared" si="8"/>
        <v>2021249.96</v>
      </c>
      <c r="M23" s="40"/>
      <c r="N23" s="44" t="s">
        <v>378</v>
      </c>
      <c r="O23" s="523">
        <v>961339</v>
      </c>
      <c r="P23" s="523">
        <v>0</v>
      </c>
      <c r="Q23" s="523">
        <v>0</v>
      </c>
      <c r="R23" s="523">
        <f t="shared" si="5"/>
        <v>961339</v>
      </c>
      <c r="S23" s="523">
        <f>+L23-R23</f>
        <v>1059910.96</v>
      </c>
      <c r="T23" s="523">
        <v>0</v>
      </c>
      <c r="U23" s="523">
        <f t="shared" si="6"/>
        <v>1059910.96</v>
      </c>
      <c r="V23" s="523">
        <v>0</v>
      </c>
      <c r="W23" s="523">
        <v>0</v>
      </c>
      <c r="X23" s="523">
        <f t="shared" si="7"/>
        <v>2021249.96</v>
      </c>
      <c r="Y23" s="30" t="b">
        <f t="shared" si="1"/>
        <v>1</v>
      </c>
      <c r="Z23" s="116">
        <f t="shared" si="2"/>
        <v>0</v>
      </c>
    </row>
    <row r="24" spans="1:26" s="30" customFormat="1" ht="12.75">
      <c r="A24" s="44">
        <v>10</v>
      </c>
      <c r="B24" s="30" t="s">
        <v>199</v>
      </c>
      <c r="C24" s="393" t="s">
        <v>342</v>
      </c>
      <c r="D24" s="44"/>
      <c r="E24" s="523">
        <v>14538318.33</v>
      </c>
      <c r="F24" s="523">
        <v>0</v>
      </c>
      <c r="G24" s="523">
        <v>0</v>
      </c>
      <c r="H24" s="523">
        <f t="shared" si="3"/>
        <v>14538318.33</v>
      </c>
      <c r="I24" s="523">
        <v>0</v>
      </c>
      <c r="J24" s="523">
        <f t="shared" si="4"/>
        <v>14538318.33</v>
      </c>
      <c r="K24" s="140">
        <v>1</v>
      </c>
      <c r="L24" s="523">
        <f t="shared" si="8"/>
        <v>14538318.33</v>
      </c>
      <c r="M24" s="40"/>
      <c r="N24" s="44" t="s">
        <v>378</v>
      </c>
      <c r="O24" s="523">
        <f>+L24</f>
        <v>14538318.33</v>
      </c>
      <c r="P24" s="523">
        <v>0</v>
      </c>
      <c r="Q24" s="523">
        <v>0</v>
      </c>
      <c r="R24" s="523">
        <f t="shared" si="5"/>
        <v>14538318.33</v>
      </c>
      <c r="S24" s="523">
        <v>0</v>
      </c>
      <c r="T24" s="523">
        <v>0</v>
      </c>
      <c r="U24" s="523">
        <f t="shared" si="6"/>
        <v>0</v>
      </c>
      <c r="V24" s="523">
        <v>0</v>
      </c>
      <c r="W24" s="523">
        <v>0</v>
      </c>
      <c r="X24" s="523">
        <f t="shared" si="7"/>
        <v>14538318.33</v>
      </c>
      <c r="Y24" s="30" t="b">
        <f t="shared" si="1"/>
        <v>1</v>
      </c>
      <c r="Z24" s="116">
        <f t="shared" si="2"/>
        <v>0</v>
      </c>
    </row>
    <row r="25" spans="1:26" s="30" customFormat="1" ht="12.75">
      <c r="A25" s="44">
        <v>11</v>
      </c>
      <c r="B25" s="30" t="s">
        <v>199</v>
      </c>
      <c r="C25" s="393" t="s">
        <v>339</v>
      </c>
      <c r="D25" s="44"/>
      <c r="E25" s="523">
        <v>625806.56000000006</v>
      </c>
      <c r="F25" s="523">
        <v>0</v>
      </c>
      <c r="G25" s="523">
        <v>0</v>
      </c>
      <c r="H25" s="523">
        <f t="shared" si="3"/>
        <v>625806.56000000006</v>
      </c>
      <c r="I25" s="523">
        <v>0</v>
      </c>
      <c r="J25" s="523">
        <f t="shared" si="4"/>
        <v>625806.56000000006</v>
      </c>
      <c r="K25" s="140">
        <v>1</v>
      </c>
      <c r="L25" s="523">
        <f t="shared" si="8"/>
        <v>625806.56000000006</v>
      </c>
      <c r="M25" s="40"/>
      <c r="N25" s="44" t="s">
        <v>378</v>
      </c>
      <c r="O25" s="523">
        <v>609106.56000000006</v>
      </c>
      <c r="P25" s="523">
        <v>0</v>
      </c>
      <c r="Q25" s="523">
        <v>0</v>
      </c>
      <c r="R25" s="523">
        <f t="shared" si="5"/>
        <v>609106.56000000006</v>
      </c>
      <c r="S25" s="523">
        <f>+L25-R25</f>
        <v>16700</v>
      </c>
      <c r="T25" s="523">
        <v>0</v>
      </c>
      <c r="U25" s="523">
        <f t="shared" si="6"/>
        <v>16700</v>
      </c>
      <c r="V25" s="523">
        <v>0</v>
      </c>
      <c r="W25" s="523">
        <v>0</v>
      </c>
      <c r="X25" s="523">
        <f t="shared" si="7"/>
        <v>625806.56000000006</v>
      </c>
      <c r="Y25" s="30" t="b">
        <f t="shared" si="1"/>
        <v>1</v>
      </c>
      <c r="Z25" s="116">
        <f t="shared" si="2"/>
        <v>0</v>
      </c>
    </row>
    <row r="26" spans="1:26" s="30" customFormat="1" ht="12.75">
      <c r="A26" s="44">
        <v>12</v>
      </c>
      <c r="B26" s="30" t="s">
        <v>199</v>
      </c>
      <c r="C26" s="393" t="s">
        <v>343</v>
      </c>
      <c r="D26" s="44"/>
      <c r="E26" s="523">
        <v>57320.669999999998</v>
      </c>
      <c r="F26" s="523">
        <v>305804.40000000002</v>
      </c>
      <c r="G26" s="523">
        <v>0</v>
      </c>
      <c r="H26" s="523">
        <f t="shared" si="3"/>
        <v>363125.07000000001</v>
      </c>
      <c r="I26" s="523">
        <v>101558.97</v>
      </c>
      <c r="J26" s="523">
        <f t="shared" si="4"/>
        <v>464684.04000000004</v>
      </c>
      <c r="K26" s="140">
        <v>1</v>
      </c>
      <c r="L26" s="523">
        <f t="shared" si="8"/>
        <v>464684.04000000004</v>
      </c>
      <c r="M26" s="40"/>
      <c r="N26" s="44" t="s">
        <v>378</v>
      </c>
      <c r="O26" s="523">
        <f>+L26</f>
        <v>464684.04000000004</v>
      </c>
      <c r="P26" s="523">
        <v>0</v>
      </c>
      <c r="Q26" s="523">
        <v>0</v>
      </c>
      <c r="R26" s="523">
        <f t="shared" si="5"/>
        <v>464684.04000000004</v>
      </c>
      <c r="S26" s="523">
        <v>0</v>
      </c>
      <c r="T26" s="523">
        <v>0</v>
      </c>
      <c r="U26" s="523">
        <f t="shared" si="6"/>
        <v>0</v>
      </c>
      <c r="V26" s="523">
        <v>0</v>
      </c>
      <c r="W26" s="523">
        <v>0</v>
      </c>
      <c r="X26" s="523">
        <f t="shared" si="7"/>
        <v>464684.04000000004</v>
      </c>
      <c r="Y26" s="30" t="b">
        <f t="shared" si="1"/>
        <v>1</v>
      </c>
      <c r="Z26" s="116">
        <f t="shared" si="2"/>
        <v>0</v>
      </c>
    </row>
    <row r="27" spans="1:26" s="30" customFormat="1" ht="12.75">
      <c r="A27" s="44">
        <v>13</v>
      </c>
      <c r="B27" s="30" t="s">
        <v>202</v>
      </c>
      <c r="C27" s="30" t="s">
        <v>286</v>
      </c>
      <c r="D27" s="44"/>
      <c r="E27" s="523">
        <v>23481635.879999999</v>
      </c>
      <c r="F27" s="523">
        <v>9283183.1999999993</v>
      </c>
      <c r="G27" s="523">
        <v>0</v>
      </c>
      <c r="H27" s="523">
        <f t="shared" si="3"/>
        <v>32764819.079999998</v>
      </c>
      <c r="I27" s="523">
        <f>-228533.85+409.26</f>
        <v>-228124.59</v>
      </c>
      <c r="J27" s="523">
        <f t="shared" si="4"/>
        <v>32536694.489999998</v>
      </c>
      <c r="K27" s="140">
        <v>1</v>
      </c>
      <c r="L27" s="523">
        <f t="shared" si="8"/>
        <v>32536694.489999998</v>
      </c>
      <c r="M27" s="40"/>
      <c r="N27" s="44" t="s">
        <v>378</v>
      </c>
      <c r="O27" s="523">
        <f>25311667.68+408.82</f>
        <v>25312076.5</v>
      </c>
      <c r="P27" s="523">
        <v>239326.69999999998</v>
      </c>
      <c r="Q27" s="523">
        <v>898483.62</v>
      </c>
      <c r="R27" s="523">
        <f t="shared" si="5"/>
        <v>26449886.82</v>
      </c>
      <c r="S27" s="523">
        <f>+L27-R27</f>
        <v>6086807.6699999981</v>
      </c>
      <c r="T27" s="523">
        <v>0</v>
      </c>
      <c r="U27" s="523">
        <f t="shared" si="6"/>
        <v>6086807.6699999981</v>
      </c>
      <c r="V27" s="523">
        <v>0</v>
      </c>
      <c r="W27" s="523">
        <v>0</v>
      </c>
      <c r="X27" s="523">
        <f t="shared" si="7"/>
        <v>32536694.489999998</v>
      </c>
      <c r="Y27" s="30" t="b">
        <f t="shared" si="1"/>
        <v>1</v>
      </c>
      <c r="Z27" s="116">
        <f t="shared" si="2"/>
        <v>0</v>
      </c>
    </row>
    <row r="28" spans="1:24" s="30" customFormat="1" ht="12.75">
      <c r="A28" s="44">
        <v>14</v>
      </c>
      <c r="C28" s="57"/>
      <c r="D28" s="44"/>
      <c r="E28" s="122"/>
      <c r="F28" s="122"/>
      <c r="G28" s="122"/>
      <c r="H28" s="122"/>
      <c r="I28" s="122"/>
      <c r="J28" s="122"/>
      <c r="K28" s="93"/>
      <c r="L28" s="122"/>
      <c r="M28" s="40"/>
      <c r="N28" s="44"/>
      <c r="O28" s="122"/>
      <c r="P28" s="122"/>
      <c r="Q28" s="122"/>
      <c r="R28" s="122"/>
      <c r="S28" s="122"/>
      <c r="T28" s="122"/>
      <c r="U28" s="122"/>
      <c r="V28" s="122"/>
      <c r="W28" s="122"/>
      <c r="X28" s="122"/>
    </row>
    <row r="29" spans="1:26" s="34" customFormat="1" ht="12.75">
      <c r="A29" s="44">
        <v>15</v>
      </c>
      <c r="B29" s="34" t="s">
        <v>228</v>
      </c>
      <c r="C29" s="45"/>
      <c r="D29" s="45" t="s">
        <v>236</v>
      </c>
      <c r="E29" s="395">
        <f t="shared" si="9" ref="E29:J29">SUM(E17:E27)</f>
        <v>70931115.530000001</v>
      </c>
      <c r="F29" s="395">
        <f t="shared" si="9"/>
        <v>9588987.5999999996</v>
      </c>
      <c r="G29" s="395">
        <f t="shared" si="9"/>
        <v>0</v>
      </c>
      <c r="H29" s="395">
        <f t="shared" si="9"/>
        <v>80520103.129999995</v>
      </c>
      <c r="I29" s="395">
        <f t="shared" si="9"/>
        <v>19560859.219999999</v>
      </c>
      <c r="J29" s="395">
        <f t="shared" si="9"/>
        <v>100080962.34999999</v>
      </c>
      <c r="K29" s="395"/>
      <c r="L29" s="395">
        <f>SUM(L17:L27)</f>
        <v>100080962.34999999</v>
      </c>
      <c r="M29" s="395"/>
      <c r="N29" s="395"/>
      <c r="O29" s="395">
        <f>SUM(O17:O27)</f>
        <v>41885524.43</v>
      </c>
      <c r="P29" s="395">
        <f t="shared" si="10" ref="P29:X29">SUM(P17:P27)</f>
        <v>239326.69999999998</v>
      </c>
      <c r="Q29" s="395">
        <f t="shared" si="10"/>
        <v>898483.62</v>
      </c>
      <c r="R29" s="395">
        <f t="shared" si="10"/>
        <v>43023334.75</v>
      </c>
      <c r="S29" s="395">
        <f t="shared" si="10"/>
        <v>51757981.979999989</v>
      </c>
      <c r="T29" s="395">
        <f t="shared" si="10"/>
        <v>0</v>
      </c>
      <c r="U29" s="395">
        <f t="shared" si="10"/>
        <v>51757981.979999989</v>
      </c>
      <c r="V29" s="395">
        <f t="shared" si="10"/>
        <v>5094630.9699999997</v>
      </c>
      <c r="W29" s="395">
        <f t="shared" si="10"/>
        <v>205014.6500000013</v>
      </c>
      <c r="X29" s="395">
        <f t="shared" si="10"/>
        <v>100080962.34999999</v>
      </c>
      <c r="Y29" s="30" t="b">
        <f>+L29=X29</f>
        <v>1</v>
      </c>
      <c r="Z29" s="116">
        <f>+L29-X29</f>
        <v>0</v>
      </c>
    </row>
    <row r="30" spans="4:24" s="30" customFormat="1" ht="12.75">
      <c r="D30" s="44"/>
      <c r="E30" s="40"/>
      <c r="F30" s="40"/>
      <c r="G30" s="40"/>
      <c r="H30" s="40"/>
      <c r="I30" s="40"/>
      <c r="J30" s="40"/>
      <c r="K30" s="40"/>
      <c r="L30" s="44"/>
      <c r="M30" s="40"/>
      <c r="N30" s="44"/>
      <c r="O30" s="40"/>
      <c r="P30" s="40"/>
      <c r="Q30" s="40"/>
      <c r="R30" s="40"/>
      <c r="S30" s="40"/>
      <c r="T30" s="40"/>
      <c r="U30" s="40"/>
      <c r="V30" s="40"/>
      <c r="W30" s="40"/>
      <c r="X30" s="40"/>
    </row>
    <row r="31" spans="4:24" s="30" customFormat="1" ht="12.75">
      <c r="D31" s="44"/>
      <c r="E31" s="40"/>
      <c r="F31" s="40"/>
      <c r="G31" s="40"/>
      <c r="H31" s="40"/>
      <c r="I31" s="40"/>
      <c r="J31" s="40"/>
      <c r="K31" s="40"/>
      <c r="L31" s="44"/>
      <c r="M31" s="40"/>
      <c r="N31" s="44"/>
      <c r="O31" s="40"/>
      <c r="P31" s="40"/>
      <c r="Q31" s="40"/>
      <c r="R31" s="40"/>
      <c r="S31" s="40"/>
      <c r="T31" s="40"/>
      <c r="U31" s="40"/>
      <c r="V31" s="40"/>
      <c r="W31" s="40"/>
      <c r="X31" s="40"/>
    </row>
    <row r="32" spans="4:24" s="34" customFormat="1" ht="12.75">
      <c r="D32" s="45"/>
      <c r="E32" s="40"/>
      <c r="F32" s="40"/>
      <c r="G32" s="40"/>
      <c r="H32" s="40"/>
      <c r="I32" s="40"/>
      <c r="J32" s="40"/>
      <c r="K32" s="40"/>
      <c r="L32" s="45"/>
      <c r="M32" s="40"/>
      <c r="N32" s="45"/>
      <c r="O32" s="40"/>
      <c r="P32" s="40"/>
      <c r="Q32" s="40"/>
      <c r="R32" s="40"/>
      <c r="S32" s="40"/>
      <c r="T32" s="40"/>
      <c r="U32" s="40"/>
      <c r="V32" s="40"/>
      <c r="W32" s="40"/>
      <c r="X32" s="40"/>
    </row>
    <row r="33" spans="4:24" s="30" customFormat="1" ht="12.75">
      <c r="D33" s="44"/>
      <c r="E33" s="40"/>
      <c r="F33" s="40"/>
      <c r="G33" s="40"/>
      <c r="H33" s="40"/>
      <c r="I33" s="40"/>
      <c r="J33" s="40"/>
      <c r="K33" s="40"/>
      <c r="L33" s="44"/>
      <c r="M33" s="40"/>
      <c r="N33" s="44"/>
      <c r="O33" s="40"/>
      <c r="P33" s="40"/>
      <c r="Q33" s="40"/>
      <c r="R33" s="40"/>
      <c r="S33" s="40"/>
      <c r="T33" s="40"/>
      <c r="U33" s="40"/>
      <c r="V33" s="40"/>
      <c r="W33" s="40"/>
      <c r="X33" s="40"/>
    </row>
    <row r="34" spans="4:24" s="30" customFormat="1" ht="12.75">
      <c r="D34" s="44"/>
      <c r="E34" s="40"/>
      <c r="F34" s="40"/>
      <c r="G34" s="40"/>
      <c r="H34" s="40"/>
      <c r="I34" s="40"/>
      <c r="J34" s="40"/>
      <c r="K34" s="40"/>
      <c r="L34" s="44"/>
      <c r="M34" s="40"/>
      <c r="N34" s="44"/>
      <c r="O34" s="40"/>
      <c r="P34" s="40"/>
      <c r="Q34" s="40"/>
      <c r="R34" s="40"/>
      <c r="S34" s="40"/>
      <c r="T34" s="40"/>
      <c r="U34" s="40"/>
      <c r="V34" s="40"/>
      <c r="W34" s="40"/>
      <c r="X34" s="40"/>
    </row>
    <row r="35" spans="4:24" s="34" customFormat="1" ht="12.75">
      <c r="D35" s="45"/>
      <c r="E35" s="46"/>
      <c r="F35" s="46"/>
      <c r="G35" s="46"/>
      <c r="H35" s="46"/>
      <c r="I35" s="46"/>
      <c r="J35" s="46"/>
      <c r="K35" s="46"/>
      <c r="L35" s="45"/>
      <c r="M35" s="46"/>
      <c r="N35" s="45"/>
      <c r="O35" s="46"/>
      <c r="P35" s="46"/>
      <c r="Q35" s="46"/>
      <c r="R35" s="46"/>
      <c r="S35" s="46"/>
      <c r="T35" s="46"/>
      <c r="U35" s="46"/>
      <c r="V35" s="46"/>
      <c r="W35" s="46"/>
      <c r="X35" s="46"/>
    </row>
    <row r="36" spans="4:18" s="30" customFormat="1" ht="12.75">
      <c r="D36" s="44"/>
      <c r="H36" s="40"/>
      <c r="L36" s="44"/>
      <c r="N36" s="44"/>
      <c r="O36" s="47"/>
      <c r="P36" s="47"/>
      <c r="Q36" s="47"/>
      <c r="R36" s="47"/>
    </row>
    <row r="37" spans="4:14" s="30" customFormat="1" ht="12.75">
      <c r="D37" s="44"/>
      <c r="L37" s="44"/>
      <c r="N37" s="44"/>
    </row>
    <row r="38" spans="4:14" s="30" customFormat="1" ht="12.75">
      <c r="D38" s="44"/>
      <c r="L38" s="44"/>
      <c r="N38" s="44"/>
    </row>
    <row r="39" spans="4:14" s="30" customFormat="1" ht="12.75">
      <c r="D39" s="44"/>
      <c r="L39" s="44"/>
      <c r="N39" s="44"/>
    </row>
    <row r="40" spans="4:14" s="30" customFormat="1" ht="12.75">
      <c r="D40" s="44"/>
      <c r="L40" s="44"/>
      <c r="N40" s="44"/>
    </row>
    <row r="41" spans="4:14" s="30" customFormat="1" ht="12.75">
      <c r="D41" s="44"/>
      <c r="L41" s="44"/>
      <c r="N41" s="44"/>
    </row>
    <row r="42" spans="4:14" s="30" customFormat="1" ht="12.75">
      <c r="D42" s="44"/>
      <c r="L42" s="44"/>
      <c r="N42" s="44"/>
    </row>
    <row r="43" spans="4:14" s="30" customFormat="1" ht="12.75">
      <c r="D43" s="44"/>
      <c r="L43" s="44"/>
      <c r="N43" s="44"/>
    </row>
    <row r="44" spans="4:14" s="30" customFormat="1" ht="12.75">
      <c r="D44" s="44"/>
      <c r="L44" s="44"/>
      <c r="N44" s="44"/>
    </row>
    <row r="45" spans="4:14" s="30" customFormat="1" ht="12.75">
      <c r="D45" s="44"/>
      <c r="L45" s="44"/>
      <c r="N45" s="44"/>
    </row>
    <row r="46" spans="4:14" s="30" customFormat="1" ht="12.75">
      <c r="D46" s="44"/>
      <c r="L46" s="44"/>
      <c r="N46" s="44"/>
    </row>
    <row r="47" spans="4:14" s="30" customFormat="1" ht="12.75">
      <c r="D47" s="44"/>
      <c r="L47" s="44"/>
      <c r="N47" s="44"/>
    </row>
    <row r="48" spans="4:14" s="30" customFormat="1" ht="12.75">
      <c r="D48" s="44"/>
      <c r="L48" s="44"/>
      <c r="N48" s="44"/>
    </row>
    <row r="49" spans="4:14" s="30" customFormat="1" ht="12.75">
      <c r="D49" s="44"/>
      <c r="L49" s="44"/>
      <c r="N49" s="44"/>
    </row>
    <row r="50" spans="4:14" s="30" customFormat="1" ht="12.75">
      <c r="D50" s="44"/>
      <c r="L50" s="44"/>
      <c r="N50" s="44"/>
    </row>
    <row r="51" spans="4:14" s="30" customFormat="1" ht="12.75">
      <c r="D51" s="44"/>
      <c r="L51" s="44"/>
      <c r="N51" s="44"/>
    </row>
    <row r="52" spans="4:14" s="30" customFormat="1" ht="12.75">
      <c r="D52" s="44"/>
      <c r="L52" s="44"/>
      <c r="N52" s="44"/>
    </row>
    <row r="53" spans="4:14" s="30" customFormat="1" ht="12.75">
      <c r="D53" s="44"/>
      <c r="L53" s="44"/>
      <c r="N53" s="44"/>
    </row>
    <row r="54" spans="4:14" s="30" customFormat="1" ht="12.75">
      <c r="D54" s="44"/>
      <c r="L54" s="44"/>
      <c r="N54" s="44"/>
    </row>
    <row r="55" spans="4:14" s="30" customFormat="1" ht="12.75">
      <c r="D55" s="44"/>
      <c r="L55" s="44"/>
      <c r="N55" s="44"/>
    </row>
    <row r="56" spans="4:14" s="30" customFormat="1" ht="12.75">
      <c r="D56" s="44"/>
      <c r="L56" s="44"/>
      <c r="N56" s="44"/>
    </row>
    <row r="57" spans="4:14" s="30" customFormat="1" ht="12.75">
      <c r="D57" s="44"/>
      <c r="L57" s="44"/>
      <c r="N57" s="44"/>
    </row>
    <row r="58" spans="4:14" s="30" customFormat="1" ht="12.75">
      <c r="D58" s="44"/>
      <c r="L58" s="44"/>
      <c r="N58" s="44"/>
    </row>
    <row r="59" spans="4:14" s="30" customFormat="1" ht="12.75">
      <c r="D59" s="44"/>
      <c r="L59" s="44"/>
      <c r="N59" s="44"/>
    </row>
    <row r="60" spans="4:14" s="30" customFormat="1" ht="12.75">
      <c r="D60" s="44"/>
      <c r="L60" s="44"/>
      <c r="N60" s="44"/>
    </row>
    <row r="61" spans="4:14" s="30" customFormat="1" ht="12.75">
      <c r="D61" s="44"/>
      <c r="L61" s="44"/>
      <c r="N61" s="44"/>
    </row>
    <row r="62" spans="4:14" s="30" customFormat="1" ht="12.75">
      <c r="D62" s="44"/>
      <c r="L62" s="44"/>
      <c r="N62" s="44"/>
    </row>
    <row r="63" spans="4:14" s="30" customFormat="1" ht="12.75">
      <c r="D63" s="44"/>
      <c r="L63" s="44"/>
      <c r="N63" s="44"/>
    </row>
    <row r="64" spans="4:14" s="30" customFormat="1" ht="12.75">
      <c r="D64" s="44"/>
      <c r="L64" s="44"/>
      <c r="N64" s="44"/>
    </row>
    <row r="65" spans="4:14" s="30" customFormat="1" ht="12.75">
      <c r="D65" s="44"/>
      <c r="L65" s="44"/>
      <c r="N65" s="44"/>
    </row>
    <row r="66" spans="4:14" s="30" customFormat="1" ht="12.75">
      <c r="D66" s="44"/>
      <c r="L66" s="44"/>
      <c r="N66" s="44"/>
    </row>
    <row r="67" spans="4:14" s="30" customFormat="1" ht="12.75">
      <c r="D67" s="44"/>
      <c r="L67" s="44"/>
      <c r="N67" s="44"/>
    </row>
    <row r="68" spans="4:14" s="30" customFormat="1" ht="12.75">
      <c r="D68" s="44"/>
      <c r="L68" s="44"/>
      <c r="N68" s="44"/>
    </row>
    <row r="69" spans="4:14" s="30" customFormat="1" ht="12.75">
      <c r="D69" s="44"/>
      <c r="L69" s="44"/>
      <c r="N69" s="44"/>
    </row>
    <row r="70" spans="4:14" s="30" customFormat="1" ht="12.75">
      <c r="D70" s="44"/>
      <c r="L70" s="44"/>
      <c r="N70" s="44"/>
    </row>
    <row r="71" spans="4:14" s="30" customFormat="1" ht="12.75">
      <c r="D71" s="44"/>
      <c r="L71" s="44"/>
      <c r="N71" s="44"/>
    </row>
    <row r="72" spans="4:14" s="30" customFormat="1" ht="12.75">
      <c r="D72" s="44"/>
      <c r="L72" s="44"/>
      <c r="N72" s="44"/>
    </row>
    <row r="73" spans="4:14" s="30" customFormat="1" ht="12.75">
      <c r="D73" s="44"/>
      <c r="L73" s="44"/>
      <c r="N73" s="44"/>
    </row>
  </sheetData>
  <printOptions horizontalCentered="1"/>
  <pageMargins left="0.1" right="0.1" top="2" bottom="0.2" header="1" footer="0.25"/>
  <pageSetup firstPageNumber="1" useFirstPageNumber="1" fitToHeight="0" fitToWidth="2" horizontalDpi="300" verticalDpi="300" orientation="landscape" pageOrder="overThenDown" scale="53" r:id="rId1"/>
  <headerFooter alignWithMargins="0">
    <oddHeader>&amp;C&amp;B
2022 RATE CASE
ONCOR ELECTRIC DELIVERY COMPANY LLC
II-E-5  OTHER REVENUE ITEMS (CREDIT)
TEST YEAR ENDING DECEMBER 31, 2021
SPONSOR: W. ALAN LEDBETTER&amp;R&amp;"Arial,Bold"Schedule &amp;A
Page &amp;P of &amp;N</oddHeader>
  </headerFooter>
  <colBreaks count="1" manualBreakCount="1">
    <brk id="12" min="9" max="28" man="1"/>
  </colBreaks>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ScaleCrop>false</ScaleCrop>
  <HeadingPairs>
    <vt:vector size="2" baseType="variant">
      <vt:variant>
        <vt:lpstr>Worksheets</vt:lpstr>
      </vt:variant>
      <vt:variant>
        <vt:i4>41</vt:i4>
      </vt:variant>
    </vt:vector>
  </HeadingPairs>
  <TitlesOfParts>
    <vt:vector size="41" baseType="lpstr">
      <vt:lpstr>Link Sheet</vt:lpstr>
      <vt:lpstr>II-E-1</vt:lpstr>
      <vt:lpstr>II-E-2</vt:lpstr>
      <vt:lpstr>II-E-2.1</vt:lpstr>
      <vt:lpstr>II-E-3 Attachment</vt:lpstr>
      <vt:lpstr>II-E-3</vt:lpstr>
      <vt:lpstr>II-E-3.1</vt:lpstr>
      <vt:lpstr>II-E-3.2a</vt:lpstr>
      <vt:lpstr>II-E-3.2b</vt:lpstr>
      <vt:lpstr>II-E-3.3</vt:lpstr>
      <vt:lpstr>II-E-3.4</vt:lpstr>
      <vt:lpstr>II-E-3.5</vt:lpstr>
      <vt:lpstr>II-E-3.5a</vt:lpstr>
      <vt:lpstr>II-E-3.6</vt:lpstr>
      <vt:lpstr>II-E-3.7</vt:lpstr>
      <vt:lpstr>II-E-3.8</vt:lpstr>
      <vt:lpstr>II-E-3.9</vt:lpstr>
      <vt:lpstr>II-E-3.10</vt:lpstr>
      <vt:lpstr>II-E-3.11</vt:lpstr>
      <vt:lpstr>II-E-3.12</vt:lpstr>
      <vt:lpstr>II-E-3.13</vt:lpstr>
      <vt:lpstr>II-E-3.14</vt:lpstr>
      <vt:lpstr>II-E-3.15</vt:lpstr>
      <vt:lpstr>II-E-3.16</vt:lpstr>
      <vt:lpstr>II-E-3.17</vt:lpstr>
      <vt:lpstr>II-E-3.18</vt:lpstr>
      <vt:lpstr>II-E-3.19</vt:lpstr>
      <vt:lpstr>II-E-3.20</vt:lpstr>
      <vt:lpstr>II-E-3.21</vt:lpstr>
      <vt:lpstr>II-E-3.22</vt:lpstr>
      <vt:lpstr>II-E-3.23</vt:lpstr>
      <vt:lpstr>II-E-3.24</vt:lpstr>
      <vt:lpstr>II-E-4</vt:lpstr>
      <vt:lpstr>II-E-4.1</vt:lpstr>
      <vt:lpstr>II-E-4.1.1</vt:lpstr>
      <vt:lpstr>II-E-4.2</vt:lpstr>
      <vt:lpstr>II-E-4.3</vt:lpstr>
      <vt:lpstr>II-E-4.4</vt:lpstr>
      <vt:lpstr>II-E-4.5</vt:lpstr>
      <vt:lpstr>II-E-4.6</vt:lpstr>
      <vt:lpstr>II-E-5</vt:lpstr>
    </vt:vector>
  </TitlesOfParts>
  <Template/>
  <Manager/>
  <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-932767527</vt:i4>
  </property>
  <property fmtid="{D5CDD505-2E9C-101B-9397-08002B2CF9AE}" pid="3" name="_EmailSubject">
    <vt:lpwstr>IOU RFP</vt:lpwstr>
  </property>
  <property fmtid="{D5CDD505-2E9C-101B-9397-08002B2CF9AE}" pid="4" name="_AuthorEmail">
    <vt:lpwstr>Ruth.Stark@puc.state.tx.us</vt:lpwstr>
  </property>
  <property fmtid="{D5CDD505-2E9C-101B-9397-08002B2CF9AE}" pid="5" name="_AuthorEmailDisplayName">
    <vt:lpwstr>Stark, Ruth</vt:lpwstr>
  </property>
  <property fmtid="{D5CDD505-2E9C-101B-9397-08002B2CF9AE}" pid="6" name="_PreviousAdHocReviewCycleID">
    <vt:i4>-513871875</vt:i4>
  </property>
  <property fmtid="{D5CDD505-2E9C-101B-9397-08002B2CF9AE}" pid="7" name="_ReviewingToolsShownOnce">
    <vt:lpwstr/>
  </property>
</Properties>
</file>