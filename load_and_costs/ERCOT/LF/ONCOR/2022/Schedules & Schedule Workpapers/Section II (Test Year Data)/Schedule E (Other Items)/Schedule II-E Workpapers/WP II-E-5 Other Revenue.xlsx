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E (Other Items)\Schedule II-E Workpapers\"/>
    </mc:Choice>
  </mc:AlternateContent>
  <bookViews>
    <workbookView xWindow="0" yWindow="0" windowWidth="19200" windowHeight="7305" activeTab="0"/>
  </bookViews>
  <sheets>
    <sheet name="Rec of other revenues" sheetId="1" r:id="rId2"/>
  </sheets>
  <definedNames>
    <definedName name="___NP1">#REF!</definedName>
    <definedName name="___NP10">#REF!</definedName>
    <definedName name="___NP11">#REF!</definedName>
    <definedName name="___NP12">#REF!</definedName>
    <definedName name="___NP13">#REF!</definedName>
    <definedName name="___NP14">#REF!</definedName>
    <definedName name="___NP15">#REF!</definedName>
    <definedName name="___NP16">#REF!</definedName>
    <definedName name="___NP17">#REF!</definedName>
    <definedName name="___NP19">#REF!</definedName>
    <definedName name="___NP2">#REF!</definedName>
    <definedName name="___NP20">#REF!</definedName>
    <definedName name="___NP3">#REF!</definedName>
    <definedName name="___NP4">#REF!</definedName>
    <definedName name="___NP5">#REF!</definedName>
    <definedName name="___NP6">#REF!</definedName>
    <definedName name="___NP7">#REF!</definedName>
    <definedName name="___NP8">#REF!</definedName>
    <definedName name="___NP9">#REF!</definedName>
    <definedName name="_NP1">#REF!</definedName>
    <definedName name="_NP10">#REF!</definedName>
    <definedName name="_NP11">#REF!</definedName>
    <definedName name="_NP12">#REF!</definedName>
    <definedName name="_NP13">#REF!</definedName>
    <definedName name="_NP14">#REF!</definedName>
    <definedName name="_NP15">#REF!</definedName>
    <definedName name="_NP16">#REF!</definedName>
    <definedName name="_NP17">#REF!</definedName>
    <definedName name="_NP18">#REF!</definedName>
    <definedName name="_NP19">#REF!</definedName>
    <definedName name="_NP2">#REF!</definedName>
    <definedName name="_NP20">#REF!</definedName>
    <definedName name="_NP3">#REF!</definedName>
    <definedName name="_NP4">#REF!</definedName>
    <definedName name="_NP5">#REF!</definedName>
    <definedName name="_NP6">#REF!</definedName>
    <definedName name="_NP7">#REF!</definedName>
    <definedName name="_NP8">#REF!</definedName>
    <definedName name="_NP9">#REF!</definedName>
    <definedName name="ASD">#REF!</definedName>
    <definedName name="NvsAnswerCol">"'[DR_1152821_1161812_TRN Trial Balance Dec 2017.xls]Sheet1'!$A$7:$A$312"</definedName>
    <definedName name="NvsASD">"V2017-12-31"</definedName>
    <definedName name="NvsAutoDrillOk">"VN"</definedName>
    <definedName name="NvsElapsedTime">0.000370370369637385</definedName>
    <definedName name="NvsEndTime">42027.2527314815</definedName>
    <definedName name="NvsInstLang">"VENG"</definedName>
    <definedName name="NvsInstSpec">"%,LTU_SUM01,SBAL,FACCOUNT,V4549000"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"V3000-01-01"</definedName>
    <definedName name="NvsPanelSetid">"VSHARE"</definedName>
    <definedName name="NvsParentRef">"'[TRN Trial Balance Dec 2017.xls]Sheet1'!$T$227"</definedName>
    <definedName name="NvsReqBU">"VTRN"</definedName>
    <definedName name="NvsReqBUOnly">"VY"</definedName>
    <definedName name="NvsTranslateLedger">#REF!</definedName>
    <definedName name="NvsTransLed">"VY"</definedName>
    <definedName name="NvsTree.F_ACNT_D_NONRG">"YSNYN"</definedName>
    <definedName name="NvsTree.F_BU_D_BASE_FCR">"YSNNN"</definedName>
    <definedName name="NvsTreeASD">"V2017-12-31"</definedName>
    <definedName name="NvsValTbl.ACCOUNT">"GL_ACCOUNT_TBL"</definedName>
    <definedName name="NvsValTbl.AFFILIATE">"AFFILIATE_VW"</definedName>
    <definedName name="NvsValTbl.BUSINESS_UNIT">"BUS_UNIT_TBL_GL"</definedName>
    <definedName name="NvsValTbl.CURRENCY_CD">"CURRENCY_CD_VW"</definedName>
    <definedName name="NvsValTbl.PF_SCENARIO_ID">"PF_SCENARIO_VW"</definedName>
    <definedName name="NvsValTbl.PROJECT_ID">"PROJECT"</definedName>
    <definedName name="NvsValTbl.SCENARIO">"SCENARIO_ALL_VW"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5" i="1" l="1"/>
</calcChain>
</file>

<file path=xl/sharedStrings.xml><?xml version="1.0" encoding="utf-8"?>
<sst xmlns="http://schemas.openxmlformats.org/spreadsheetml/2006/main" count="97" uniqueCount="88">
  <si>
    <t xml:space="preserve">Total Consolidated Test Year Operating Revenue </t>
  </si>
  <si>
    <t>Less:  Retail T&amp;D Wires Revenue (CC,MC, DSC, DCRF)</t>
  </si>
  <si>
    <t>Less:  TCRF &amp; TSC Revenue (TCRF, TSC)</t>
  </si>
  <si>
    <t>Less:  TCRF - Over/Under Calculation (Billed)</t>
  </si>
  <si>
    <t>Less:  Advanced Meter Service</t>
  </si>
  <si>
    <t>Less:  Energy Efficiency Cost Recovery Factor</t>
  </si>
  <si>
    <t>Less:  Rate Case Expense Recovery Factor</t>
  </si>
  <si>
    <t>Less:  Remand</t>
  </si>
  <si>
    <t xml:space="preserve">Less:  Wholesale Rate NTS - Third Parties and Wholesale </t>
  </si>
  <si>
    <t>Wholesale Rate NTS - Oncor Legacy</t>
  </si>
  <si>
    <t>Less:  Wholesale Rate NTS - NTUSU</t>
  </si>
  <si>
    <t xml:space="preserve">Less:  </t>
  </si>
  <si>
    <t>Wholesale Rate (XFMR/DLS)</t>
  </si>
  <si>
    <t>Less:  WDSS _NTUSU</t>
  </si>
  <si>
    <t>WDSS - NTUSU</t>
  </si>
  <si>
    <t xml:space="preserve">Less: </t>
  </si>
  <si>
    <t>Unbilled Revenue DSC/DCRF/Discretionary</t>
  </si>
  <si>
    <t>Unbilled TCRF, EECRF, AMCRF</t>
  </si>
  <si>
    <t xml:space="preserve">Less:  Deferred Unbilled EECRF, TCRF, AMCRF, RCE &amp; Remand </t>
  </si>
  <si>
    <t>Deferred Unbilled TCRF, EECRF, AMCRF</t>
  </si>
  <si>
    <t>Total Consolidated Other Revenue Items</t>
  </si>
  <si>
    <t xml:space="preserve"> </t>
  </si>
  <si>
    <t>Distribution</t>
  </si>
  <si>
    <t>NTUSU</t>
  </si>
  <si>
    <t>Account</t>
  </si>
  <si>
    <t>Detail of Other Revenue Items</t>
  </si>
  <si>
    <t>Rev Credit</t>
  </si>
  <si>
    <t>Grand Totals</t>
  </si>
  <si>
    <t>Forfeited Discounts (Penalties for late payment)</t>
  </si>
  <si>
    <t>Retail T&amp;D Discretionary Revenues</t>
  </si>
  <si>
    <t xml:space="preserve">Miscellaneous Service Revenue </t>
  </si>
  <si>
    <t>Rents from Pole Contacts</t>
  </si>
  <si>
    <t>Rents from Fiber Optics</t>
  </si>
  <si>
    <t>Rents from Other:</t>
  </si>
  <si>
    <t xml:space="preserve">  Total Cost of Ownership - NTU</t>
  </si>
  <si>
    <t xml:space="preserve">  Total Cost of Ownership - STU</t>
  </si>
  <si>
    <t>Sub-total Rents from Other</t>
  </si>
  <si>
    <t>Rents from Affiliate (NTUSU)</t>
  </si>
  <si>
    <t>Sub-total Rents - Account 454 (Consolidated)</t>
  </si>
  <si>
    <t>Other Revenue-Other</t>
  </si>
  <si>
    <t xml:space="preserve">  Miscellaneous Billings</t>
  </si>
  <si>
    <t xml:space="preserve">  Mutual Assistance</t>
  </si>
  <si>
    <t xml:space="preserve">  CIAC Gross Up</t>
  </si>
  <si>
    <t xml:space="preserve">  To, From &amp; Over - original DC tie</t>
  </si>
  <si>
    <t xml:space="preserve">  To, From &amp; Over - original DC tie - SMGPM</t>
  </si>
  <si>
    <t xml:space="preserve">  To, From &amp; Over - Mexico tie</t>
  </si>
  <si>
    <t xml:space="preserve">  Pro Rata/Dual Feed </t>
  </si>
  <si>
    <t xml:space="preserve">  Services provided to NTUSU (elim)</t>
  </si>
  <si>
    <t xml:space="preserve">  Services provided to SU</t>
  </si>
  <si>
    <t xml:space="preserve">  Tampering - TDSP energy portion of tampering</t>
  </si>
  <si>
    <t>Sub-total Other Revenue</t>
  </si>
  <si>
    <t xml:space="preserve">  TRN Services for NTUSU (elim)</t>
  </si>
  <si>
    <t>Other Revenue - Engineering and Operations</t>
  </si>
  <si>
    <t xml:space="preserve">  High Voltage maintenance - third parties</t>
  </si>
  <si>
    <t xml:space="preserve">  Facilities studies, interconnection studies, DG studies</t>
  </si>
  <si>
    <t>Sub-total Other Revenues - Engineering and Operations</t>
  </si>
  <si>
    <t>Sub-total Other Revenue - Account 456</t>
  </si>
  <si>
    <t>Sub-total Regulated T&amp;D</t>
  </si>
  <si>
    <t>TCOS</t>
  </si>
  <si>
    <t>Totals</t>
  </si>
  <si>
    <t>(1)</t>
  </si>
  <si>
    <t xml:space="preserve">Other Electric Revenues </t>
  </si>
  <si>
    <t>(2)</t>
  </si>
  <si>
    <t>ROW and Miscellaneous A454</t>
  </si>
  <si>
    <t>(4)</t>
  </si>
  <si>
    <t>Other Electric Revenues A456</t>
  </si>
  <si>
    <t>Note</t>
  </si>
  <si>
    <t>(3)</t>
  </si>
  <si>
    <t xml:space="preserve">Exclude Mutual Assistance </t>
  </si>
  <si>
    <t>K&amp;M adjustment for September 2021 TRN billing (revenue). See WP/II-D ADJUSTMENTS/59 for details.</t>
  </si>
  <si>
    <t>Power Factor</t>
  </si>
  <si>
    <t>Discretionary</t>
  </si>
  <si>
    <t>2022 Rate Case</t>
  </si>
  <si>
    <t>For the Test Year Ending December 31, 2021</t>
  </si>
  <si>
    <t>NTU TRAN</t>
  </si>
  <si>
    <t>TRAN</t>
  </si>
  <si>
    <t>Addback Eliminations</t>
  </si>
  <si>
    <t>Oncor Electric Delivery Company LLC</t>
  </si>
  <si>
    <t>Other Revenues</t>
  </si>
  <si>
    <t>Total Other Revenues</t>
  </si>
  <si>
    <t>Total K&amp;M changes</t>
  </si>
  <si>
    <t>Subtotal</t>
  </si>
  <si>
    <t>See WP/IV-J-7, Page 15 of 18</t>
  </si>
  <si>
    <t>See WP/IV-J-2/1, Page 2 of 2</t>
  </si>
  <si>
    <t>Sponsor:  W. Alan Ledbetter &amp; M. Troxle</t>
  </si>
  <si>
    <t xml:space="preserve">  Antenna Lease</t>
  </si>
  <si>
    <t xml:space="preserve">  Rent from Property - ROW/Misc. Bldg. rentals</t>
  </si>
  <si>
    <t>Adjustments: Known and Measurable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</si>
</sst>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 Unicode MS"/>
      <family val="2"/>
    </font>
    <font>
      <b/>
      <sz val="10"/>
      <name val="Arial"/>
      <family val="2"/>
    </font>
    <font>
      <b/>
      <sz val="10"/>
      <name val="Arial Unicode MS"/>
      <family val="2"/>
    </font>
    <font>
      <b/>
      <sz val="12"/>
      <name val="Arial Unicode MS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double">
        <color auto="1"/>
      </bottom>
    </border>
  </borders>
  <cellStyleXfs count="2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20" applyFont="1" applyFill="1" applyBorder="1" applyAlignment="1">
      <alignment horizontal="left"/>
      <protection/>
    </xf>
    <xf numFmtId="43" fontId="0" fillId="0" borderId="0" xfId="22" applyFont="1" applyFill="1" applyBorder="1"/>
    <xf numFmtId="39" fontId="2" fillId="0" borderId="0" xfId="20" applyNumberFormat="1" applyFill="1" applyBorder="1">
      <alignment/>
      <protection/>
    </xf>
    <xf numFmtId="7" fontId="2" fillId="0" borderId="0" xfId="20" applyNumberFormat="1" applyFill="1">
      <alignment/>
      <protection/>
    </xf>
    <xf numFmtId="0" fontId="2" fillId="0" borderId="0" xfId="20" applyFill="1">
      <alignment/>
      <protection/>
    </xf>
    <xf numFmtId="44" fontId="0" fillId="0" borderId="0" xfId="24" applyFont="1" applyFill="1"/>
    <xf numFmtId="0" fontId="2" fillId="0" borderId="0" xfId="20" applyFill="1" applyAlignment="1">
      <alignment horizontal="center"/>
      <protection/>
    </xf>
    <xf numFmtId="164" fontId="2" fillId="0" borderId="0" xfId="20" applyNumberFormat="1" applyFill="1">
      <alignment/>
      <protection/>
    </xf>
    <xf numFmtId="43" fontId="2" fillId="0" borderId="0" xfId="23" applyFont="1" applyFill="1"/>
    <xf numFmtId="44" fontId="0" fillId="0" borderId="0" xfId="24" applyFont="1" applyFill="1" applyBorder="1"/>
    <xf numFmtId="44" fontId="0" fillId="0" borderId="1" xfId="24" applyFont="1" applyFill="1" applyBorder="1"/>
    <xf numFmtId="44" fontId="2" fillId="0" borderId="0" xfId="20" applyNumberFormat="1" applyFill="1">
      <alignment/>
      <protection/>
    </xf>
    <xf numFmtId="7" fontId="0" fillId="0" borderId="0" xfId="24" applyNumberFormat="1" applyFont="1" applyFill="1"/>
    <xf numFmtId="44" fontId="0" fillId="0" borderId="0" xfId="24" applyNumberFormat="1" applyFont="1" applyFill="1" applyBorder="1"/>
    <xf numFmtId="0" fontId="2" fillId="0" borderId="0" xfId="20" applyFill="1" applyBorder="1">
      <alignment/>
      <protection/>
    </xf>
    <xf numFmtId="44" fontId="2" fillId="0" borderId="0" xfId="20" applyNumberFormat="1" applyFill="1" applyBorder="1">
      <alignment/>
      <protection/>
    </xf>
    <xf numFmtId="164" fontId="2" fillId="0" borderId="0" xfId="20" applyNumberFormat="1" applyFill="1" applyAlignment="1">
      <alignment horizontal="left"/>
      <protection/>
    </xf>
    <xf numFmtId="0" fontId="5" fillId="0" borderId="0" xfId="20" applyFont="1" applyFill="1">
      <alignment/>
      <protection/>
    </xf>
    <xf numFmtId="43" fontId="2" fillId="0" borderId="0" xfId="20" applyNumberFormat="1" applyFill="1">
      <alignment/>
      <protection/>
    </xf>
    <xf numFmtId="0" fontId="6" fillId="0" borderId="0" xfId="0" applyFont="1" applyFill="1" applyBorder="1"/>
    <xf numFmtId="43" fontId="2" fillId="0" borderId="0" xfId="18" applyFont="1" applyFill="1"/>
    <xf numFmtId="0" fontId="2" fillId="0" borderId="2" xfId="20" applyFill="1" applyBorder="1" applyAlignment="1">
      <alignment horizontal="center"/>
      <protection/>
    </xf>
    <xf numFmtId="0" fontId="2" fillId="0" borderId="0" xfId="21" applyFill="1">
      <alignment/>
      <protection/>
    </xf>
    <xf numFmtId="0" fontId="2" fillId="0" borderId="0" xfId="21" applyFont="1" applyFill="1">
      <alignment/>
      <protection/>
    </xf>
    <xf numFmtId="7" fontId="2" fillId="0" borderId="0" xfId="23" applyNumberFormat="1" applyFont="1" applyFill="1"/>
    <xf numFmtId="0" fontId="2" fillId="0" borderId="2" xfId="20" applyFill="1" applyBorder="1">
      <alignment/>
      <protection/>
    </xf>
    <xf numFmtId="0" fontId="2" fillId="0" borderId="0" xfId="20" applyFill="1" applyBorder="1" applyAlignment="1">
      <alignment horizontal="center"/>
      <protection/>
    </xf>
    <xf numFmtId="164" fontId="2" fillId="0" borderId="0" xfId="20" applyNumberFormat="1" applyFill="1" applyBorder="1">
      <alignment/>
      <protection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49" fontId="2" fillId="0" borderId="0" xfId="22" applyNumberFormat="1" applyFont="1" applyFill="1" applyAlignment="1">
      <alignment horizontal="center"/>
    </xf>
    <xf numFmtId="0" fontId="2" fillId="0" borderId="0" xfId="0" applyFont="1" applyFill="1"/>
    <xf numFmtId="41" fontId="2" fillId="0" borderId="0" xfId="20" applyNumberFormat="1" applyFill="1">
      <alignment/>
      <protection/>
    </xf>
    <xf numFmtId="42" fontId="0" fillId="0" borderId="0" xfId="24" applyNumberFormat="1" applyFont="1" applyFill="1"/>
    <xf numFmtId="42" fontId="2" fillId="0" borderId="1" xfId="20" applyNumberFormat="1" applyFill="1" applyBorder="1">
      <alignment/>
      <protection/>
    </xf>
    <xf numFmtId="41" fontId="0" fillId="0" borderId="0" xfId="24" applyNumberFormat="1" applyFont="1" applyFill="1"/>
    <xf numFmtId="42" fontId="2" fillId="0" borderId="3" xfId="20" applyNumberFormat="1" applyFill="1" applyBorder="1">
      <alignment/>
      <protection/>
    </xf>
    <xf numFmtId="42" fontId="4" fillId="0" borderId="3" xfId="20" applyNumberFormat="1" applyFont="1" applyFill="1" applyBorder="1">
      <alignment/>
      <protection/>
    </xf>
    <xf numFmtId="42" fontId="7" fillId="0" borderId="0" xfId="24" applyNumberFormat="1" applyFont="1" applyFill="1"/>
    <xf numFmtId="0" fontId="4" fillId="0" borderId="0" xfId="20" applyFont="1" applyFill="1">
      <alignment/>
      <protection/>
    </xf>
    <xf numFmtId="0" fontId="3" fillId="0" borderId="0" xfId="0" applyFont="1" applyFill="1" applyBorder="1"/>
    <xf numFmtId="42" fontId="4" fillId="0" borderId="0" xfId="20" applyNumberFormat="1" applyFont="1" applyFill="1">
      <alignment/>
      <protection/>
    </xf>
    <xf numFmtId="49" fontId="4" fillId="0" borderId="0" xfId="22" applyNumberFormat="1" applyFont="1" applyFill="1" applyAlignment="1">
      <alignment horizontal="center"/>
    </xf>
    <xf numFmtId="41" fontId="0" fillId="0" borderId="2" xfId="24" applyNumberFormat="1" applyFont="1" applyFill="1" applyBorder="1"/>
    <xf numFmtId="0" fontId="3" fillId="0" borderId="0" xfId="20" applyFont="1" applyFill="1" applyBorder="1" applyAlignment="1">
      <alignment horizontal="center"/>
      <protection/>
    </xf>
    <xf numFmtId="14" fontId="3" fillId="0" borderId="0" xfId="20" applyNumberFormat="1" applyFont="1" applyFill="1" applyBorder="1" applyAlignment="1">
      <alignment horizontal="center"/>
      <protection/>
    </xf>
    <xf numFmtId="0" fontId="2" fillId="0" borderId="0" xfId="20" applyFill="1" applyAlignment="1">
      <alignment horizontal="left"/>
      <protection/>
    </xf>
  </cellXfs>
  <cellStyles count="11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Normal 3" xfId="21"/>
    <cellStyle name="Comma 2" xfId="22"/>
    <cellStyle name="Comma 3" xfId="23"/>
    <cellStyle name="Currency 2" xfId="2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Q90"/>
  <sheetViews>
    <sheetView tabSelected="1" workbookViewId="0" topLeftCell="A1"/>
  </sheetViews>
  <sheetFormatPr defaultColWidth="9.14428571428571" defaultRowHeight="15"/>
  <cols>
    <col min="1" max="1" width="8.14285714285714" style="5" customWidth="1"/>
    <col min="2" max="2" width="2.85714285714286" style="5" customWidth="1"/>
    <col min="3" max="3" width="5.57142857142857" style="5" customWidth="1"/>
    <col min="4" max="4" width="3.42857142857143" style="5" customWidth="1"/>
    <col min="5" max="5" width="45.8571428571429" style="5" customWidth="1"/>
    <col min="6" max="6" width="3.42857142857143" style="5" customWidth="1"/>
    <col min="7" max="7" width="17.1428571428571" style="5" customWidth="1"/>
    <col min="8" max="8" width="4.57142857142857" style="5" customWidth="1"/>
    <col min="9" max="9" width="17.8571428571429" style="5" customWidth="1"/>
    <col min="10" max="10" width="4.42857142857143" style="5" customWidth="1"/>
    <col min="11" max="11" width="17.8571428571429" style="5" customWidth="1"/>
    <col min="12" max="12" width="3.85714285714286" style="5" customWidth="1"/>
    <col min="13" max="13" width="19.4285714285714" style="5" bestFit="1" customWidth="1"/>
    <col min="14" max="14" width="21.8571428571429" style="5" customWidth="1"/>
    <col min="15" max="15" width="19.1428571428571" style="5" hidden="1" customWidth="1"/>
    <col min="16" max="16" width="25.4285714285714" style="5" customWidth="1"/>
    <col min="17" max="17" width="15" style="5" bestFit="1" customWidth="1"/>
    <col min="18" max="256" width="9.14285714285714" style="5"/>
    <col min="257" max="257" width="8.14285714285714" style="5" customWidth="1"/>
    <col min="258" max="258" width="2.85714285714286" style="5" customWidth="1"/>
    <col min="259" max="259" width="5.57142857142857" style="5" customWidth="1"/>
    <col min="260" max="260" width="3.42857142857143" style="5" customWidth="1"/>
    <col min="261" max="261" width="45.8571428571429" style="5" customWidth="1"/>
    <col min="262" max="262" width="3.42857142857143" style="5" customWidth="1"/>
    <col min="263" max="263" width="17.1428571428571" style="5" bestFit="1" customWidth="1"/>
    <col min="264" max="264" width="3.57142857142857" style="5" customWidth="1"/>
    <col min="265" max="265" width="17.8571428571429" style="5" bestFit="1" customWidth="1"/>
    <col min="266" max="266" width="3.14285714285714" style="5" customWidth="1"/>
    <col min="267" max="267" width="17.8571428571429" style="5" customWidth="1"/>
    <col min="268" max="268" width="3.85714285714286" style="5" customWidth="1"/>
    <col min="269" max="269" width="19.4285714285714" style="5" bestFit="1" customWidth="1"/>
    <col min="270" max="270" width="21.8571428571429" style="5" customWidth="1"/>
    <col min="271" max="271" width="0" style="5" hidden="1" customWidth="1"/>
    <col min="272" max="272" width="25.4285714285714" style="5" customWidth="1"/>
    <col min="273" max="273" width="15" style="5" bestFit="1" customWidth="1"/>
    <col min="274" max="512" width="9.14285714285714" style="5"/>
    <col min="513" max="513" width="8.14285714285714" style="5" customWidth="1"/>
    <col min="514" max="514" width="2.85714285714286" style="5" customWidth="1"/>
    <col min="515" max="515" width="5.57142857142857" style="5" customWidth="1"/>
    <col min="516" max="516" width="3.42857142857143" style="5" customWidth="1"/>
    <col min="517" max="517" width="45.8571428571429" style="5" customWidth="1"/>
    <col min="518" max="518" width="3.42857142857143" style="5" customWidth="1"/>
    <col min="519" max="519" width="17.1428571428571" style="5" bestFit="1" customWidth="1"/>
    <col min="520" max="520" width="3.57142857142857" style="5" customWidth="1"/>
    <col min="521" max="521" width="17.8571428571429" style="5" bestFit="1" customWidth="1"/>
    <col min="522" max="522" width="3.14285714285714" style="5" customWidth="1"/>
    <col min="523" max="523" width="17.8571428571429" style="5" customWidth="1"/>
    <col min="524" max="524" width="3.85714285714286" style="5" customWidth="1"/>
    <col min="525" max="525" width="19.4285714285714" style="5" bestFit="1" customWidth="1"/>
    <col min="526" max="526" width="21.8571428571429" style="5" customWidth="1"/>
    <col min="527" max="527" width="0" style="5" hidden="1" customWidth="1"/>
    <col min="528" max="528" width="25.4285714285714" style="5" customWidth="1"/>
    <col min="529" max="529" width="15" style="5" bestFit="1" customWidth="1"/>
    <col min="530" max="768" width="9.14285714285714" style="5"/>
    <col min="769" max="769" width="8.14285714285714" style="5" customWidth="1"/>
    <col min="770" max="770" width="2.85714285714286" style="5" customWidth="1"/>
    <col min="771" max="771" width="5.57142857142857" style="5" customWidth="1"/>
    <col min="772" max="772" width="3.42857142857143" style="5" customWidth="1"/>
    <col min="773" max="773" width="45.8571428571429" style="5" customWidth="1"/>
    <col min="774" max="774" width="3.42857142857143" style="5" customWidth="1"/>
    <col min="775" max="775" width="17.1428571428571" style="5" bestFit="1" customWidth="1"/>
    <col min="776" max="776" width="3.57142857142857" style="5" customWidth="1"/>
    <col min="777" max="777" width="17.8571428571429" style="5" bestFit="1" customWidth="1"/>
    <col min="778" max="778" width="3.14285714285714" style="5" customWidth="1"/>
    <col min="779" max="779" width="17.8571428571429" style="5" customWidth="1"/>
    <col min="780" max="780" width="3.85714285714286" style="5" customWidth="1"/>
    <col min="781" max="781" width="19.4285714285714" style="5" bestFit="1" customWidth="1"/>
    <col min="782" max="782" width="21.8571428571429" style="5" customWidth="1"/>
    <col min="783" max="783" width="0" style="5" hidden="1" customWidth="1"/>
    <col min="784" max="784" width="25.4285714285714" style="5" customWidth="1"/>
    <col min="785" max="785" width="15" style="5" bestFit="1" customWidth="1"/>
    <col min="786" max="1024" width="9.14285714285714" style="5"/>
    <col min="1025" max="1025" width="8.14285714285714" style="5" customWidth="1"/>
    <col min="1026" max="1026" width="2.85714285714286" style="5" customWidth="1"/>
    <col min="1027" max="1027" width="5.57142857142857" style="5" customWidth="1"/>
    <col min="1028" max="1028" width="3.42857142857143" style="5" customWidth="1"/>
    <col min="1029" max="1029" width="45.8571428571429" style="5" customWidth="1"/>
    <col min="1030" max="1030" width="3.42857142857143" style="5" customWidth="1"/>
    <col min="1031" max="1031" width="17.1428571428571" style="5" bestFit="1" customWidth="1"/>
    <col min="1032" max="1032" width="3.57142857142857" style="5" customWidth="1"/>
    <col min="1033" max="1033" width="17.8571428571429" style="5" bestFit="1" customWidth="1"/>
    <col min="1034" max="1034" width="3.14285714285714" style="5" customWidth="1"/>
    <col min="1035" max="1035" width="17.8571428571429" style="5" customWidth="1"/>
    <col min="1036" max="1036" width="3.85714285714286" style="5" customWidth="1"/>
    <col min="1037" max="1037" width="19.4285714285714" style="5" bestFit="1" customWidth="1"/>
    <col min="1038" max="1038" width="21.8571428571429" style="5" customWidth="1"/>
    <col min="1039" max="1039" width="0" style="5" hidden="1" customWidth="1"/>
    <col min="1040" max="1040" width="25.4285714285714" style="5" customWidth="1"/>
    <col min="1041" max="1041" width="15" style="5" bestFit="1" customWidth="1"/>
    <col min="1042" max="1280" width="9.14285714285714" style="5"/>
    <col min="1281" max="1281" width="8.14285714285714" style="5" customWidth="1"/>
    <col min="1282" max="1282" width="2.85714285714286" style="5" customWidth="1"/>
    <col min="1283" max="1283" width="5.57142857142857" style="5" customWidth="1"/>
    <col min="1284" max="1284" width="3.42857142857143" style="5" customWidth="1"/>
    <col min="1285" max="1285" width="45.8571428571429" style="5" customWidth="1"/>
    <col min="1286" max="1286" width="3.42857142857143" style="5" customWidth="1"/>
    <col min="1287" max="1287" width="17.1428571428571" style="5" bestFit="1" customWidth="1"/>
    <col min="1288" max="1288" width="3.57142857142857" style="5" customWidth="1"/>
    <col min="1289" max="1289" width="17.8571428571429" style="5" bestFit="1" customWidth="1"/>
    <col min="1290" max="1290" width="3.14285714285714" style="5" customWidth="1"/>
    <col min="1291" max="1291" width="17.8571428571429" style="5" customWidth="1"/>
    <col min="1292" max="1292" width="3.85714285714286" style="5" customWidth="1"/>
    <col min="1293" max="1293" width="19.4285714285714" style="5" bestFit="1" customWidth="1"/>
    <col min="1294" max="1294" width="21.8571428571429" style="5" customWidth="1"/>
    <col min="1295" max="1295" width="0" style="5" hidden="1" customWidth="1"/>
    <col min="1296" max="1296" width="25.4285714285714" style="5" customWidth="1"/>
    <col min="1297" max="1297" width="15" style="5" bestFit="1" customWidth="1"/>
    <col min="1298" max="1536" width="9.14285714285714" style="5"/>
    <col min="1537" max="1537" width="8.14285714285714" style="5" customWidth="1"/>
    <col min="1538" max="1538" width="2.85714285714286" style="5" customWidth="1"/>
    <col min="1539" max="1539" width="5.57142857142857" style="5" customWidth="1"/>
    <col min="1540" max="1540" width="3.42857142857143" style="5" customWidth="1"/>
    <col min="1541" max="1541" width="45.8571428571429" style="5" customWidth="1"/>
    <col min="1542" max="1542" width="3.42857142857143" style="5" customWidth="1"/>
    <col min="1543" max="1543" width="17.1428571428571" style="5" bestFit="1" customWidth="1"/>
    <col min="1544" max="1544" width="3.57142857142857" style="5" customWidth="1"/>
    <col min="1545" max="1545" width="17.8571428571429" style="5" bestFit="1" customWidth="1"/>
    <col min="1546" max="1546" width="3.14285714285714" style="5" customWidth="1"/>
    <col min="1547" max="1547" width="17.8571428571429" style="5" customWidth="1"/>
    <col min="1548" max="1548" width="3.85714285714286" style="5" customWidth="1"/>
    <col min="1549" max="1549" width="19.4285714285714" style="5" bestFit="1" customWidth="1"/>
    <col min="1550" max="1550" width="21.8571428571429" style="5" customWidth="1"/>
    <col min="1551" max="1551" width="0" style="5" hidden="1" customWidth="1"/>
    <col min="1552" max="1552" width="25.4285714285714" style="5" customWidth="1"/>
    <col min="1553" max="1553" width="15" style="5" bestFit="1" customWidth="1"/>
    <col min="1554" max="1792" width="9.14285714285714" style="5"/>
    <col min="1793" max="1793" width="8.14285714285714" style="5" customWidth="1"/>
    <col min="1794" max="1794" width="2.85714285714286" style="5" customWidth="1"/>
    <col min="1795" max="1795" width="5.57142857142857" style="5" customWidth="1"/>
    <col min="1796" max="1796" width="3.42857142857143" style="5" customWidth="1"/>
    <col min="1797" max="1797" width="45.8571428571429" style="5" customWidth="1"/>
    <col min="1798" max="1798" width="3.42857142857143" style="5" customWidth="1"/>
    <col min="1799" max="1799" width="17.1428571428571" style="5" bestFit="1" customWidth="1"/>
    <col min="1800" max="1800" width="3.57142857142857" style="5" customWidth="1"/>
    <col min="1801" max="1801" width="17.8571428571429" style="5" bestFit="1" customWidth="1"/>
    <col min="1802" max="1802" width="3.14285714285714" style="5" customWidth="1"/>
    <col min="1803" max="1803" width="17.8571428571429" style="5" customWidth="1"/>
    <col min="1804" max="1804" width="3.85714285714286" style="5" customWidth="1"/>
    <col min="1805" max="1805" width="19.4285714285714" style="5" bestFit="1" customWidth="1"/>
    <col min="1806" max="1806" width="21.8571428571429" style="5" customWidth="1"/>
    <col min="1807" max="1807" width="0" style="5" hidden="1" customWidth="1"/>
    <col min="1808" max="1808" width="25.4285714285714" style="5" customWidth="1"/>
    <col min="1809" max="1809" width="15" style="5" bestFit="1" customWidth="1"/>
    <col min="1810" max="2048" width="9.14285714285714" style="5"/>
    <col min="2049" max="2049" width="8.14285714285714" style="5" customWidth="1"/>
    <col min="2050" max="2050" width="2.85714285714286" style="5" customWidth="1"/>
    <col min="2051" max="2051" width="5.57142857142857" style="5" customWidth="1"/>
    <col min="2052" max="2052" width="3.42857142857143" style="5" customWidth="1"/>
    <col min="2053" max="2053" width="45.8571428571429" style="5" customWidth="1"/>
    <col min="2054" max="2054" width="3.42857142857143" style="5" customWidth="1"/>
    <col min="2055" max="2055" width="17.1428571428571" style="5" bestFit="1" customWidth="1"/>
    <col min="2056" max="2056" width="3.57142857142857" style="5" customWidth="1"/>
    <col min="2057" max="2057" width="17.8571428571429" style="5" bestFit="1" customWidth="1"/>
    <col min="2058" max="2058" width="3.14285714285714" style="5" customWidth="1"/>
    <col min="2059" max="2059" width="17.8571428571429" style="5" customWidth="1"/>
    <col min="2060" max="2060" width="3.85714285714286" style="5" customWidth="1"/>
    <col min="2061" max="2061" width="19.4285714285714" style="5" bestFit="1" customWidth="1"/>
    <col min="2062" max="2062" width="21.8571428571429" style="5" customWidth="1"/>
    <col min="2063" max="2063" width="0" style="5" hidden="1" customWidth="1"/>
    <col min="2064" max="2064" width="25.4285714285714" style="5" customWidth="1"/>
    <col min="2065" max="2065" width="15" style="5" bestFit="1" customWidth="1"/>
    <col min="2066" max="2304" width="9.14285714285714" style="5"/>
    <col min="2305" max="2305" width="8.14285714285714" style="5" customWidth="1"/>
    <col min="2306" max="2306" width="2.85714285714286" style="5" customWidth="1"/>
    <col min="2307" max="2307" width="5.57142857142857" style="5" customWidth="1"/>
    <col min="2308" max="2308" width="3.42857142857143" style="5" customWidth="1"/>
    <col min="2309" max="2309" width="45.8571428571429" style="5" customWidth="1"/>
    <col min="2310" max="2310" width="3.42857142857143" style="5" customWidth="1"/>
    <col min="2311" max="2311" width="17.1428571428571" style="5" bestFit="1" customWidth="1"/>
    <col min="2312" max="2312" width="3.57142857142857" style="5" customWidth="1"/>
    <col min="2313" max="2313" width="17.8571428571429" style="5" bestFit="1" customWidth="1"/>
    <col min="2314" max="2314" width="3.14285714285714" style="5" customWidth="1"/>
    <col min="2315" max="2315" width="17.8571428571429" style="5" customWidth="1"/>
    <col min="2316" max="2316" width="3.85714285714286" style="5" customWidth="1"/>
    <col min="2317" max="2317" width="19.4285714285714" style="5" bestFit="1" customWidth="1"/>
    <col min="2318" max="2318" width="21.8571428571429" style="5" customWidth="1"/>
    <col min="2319" max="2319" width="0" style="5" hidden="1" customWidth="1"/>
    <col min="2320" max="2320" width="25.4285714285714" style="5" customWidth="1"/>
    <col min="2321" max="2321" width="15" style="5" bestFit="1" customWidth="1"/>
    <col min="2322" max="2560" width="9.14285714285714" style="5"/>
    <col min="2561" max="2561" width="8.14285714285714" style="5" customWidth="1"/>
    <col min="2562" max="2562" width="2.85714285714286" style="5" customWidth="1"/>
    <col min="2563" max="2563" width="5.57142857142857" style="5" customWidth="1"/>
    <col min="2564" max="2564" width="3.42857142857143" style="5" customWidth="1"/>
    <col min="2565" max="2565" width="45.8571428571429" style="5" customWidth="1"/>
    <col min="2566" max="2566" width="3.42857142857143" style="5" customWidth="1"/>
    <col min="2567" max="2567" width="17.1428571428571" style="5" bestFit="1" customWidth="1"/>
    <col min="2568" max="2568" width="3.57142857142857" style="5" customWidth="1"/>
    <col min="2569" max="2569" width="17.8571428571429" style="5" bestFit="1" customWidth="1"/>
    <col min="2570" max="2570" width="3.14285714285714" style="5" customWidth="1"/>
    <col min="2571" max="2571" width="17.8571428571429" style="5" customWidth="1"/>
    <col min="2572" max="2572" width="3.85714285714286" style="5" customWidth="1"/>
    <col min="2573" max="2573" width="19.4285714285714" style="5" bestFit="1" customWidth="1"/>
    <col min="2574" max="2574" width="21.8571428571429" style="5" customWidth="1"/>
    <col min="2575" max="2575" width="0" style="5" hidden="1" customWidth="1"/>
    <col min="2576" max="2576" width="25.4285714285714" style="5" customWidth="1"/>
    <col min="2577" max="2577" width="15" style="5" bestFit="1" customWidth="1"/>
    <col min="2578" max="2816" width="9.14285714285714" style="5"/>
    <col min="2817" max="2817" width="8.14285714285714" style="5" customWidth="1"/>
    <col min="2818" max="2818" width="2.85714285714286" style="5" customWidth="1"/>
    <col min="2819" max="2819" width="5.57142857142857" style="5" customWidth="1"/>
    <col min="2820" max="2820" width="3.42857142857143" style="5" customWidth="1"/>
    <col min="2821" max="2821" width="45.8571428571429" style="5" customWidth="1"/>
    <col min="2822" max="2822" width="3.42857142857143" style="5" customWidth="1"/>
    <col min="2823" max="2823" width="17.1428571428571" style="5" bestFit="1" customWidth="1"/>
    <col min="2824" max="2824" width="3.57142857142857" style="5" customWidth="1"/>
    <col min="2825" max="2825" width="17.8571428571429" style="5" bestFit="1" customWidth="1"/>
    <col min="2826" max="2826" width="3.14285714285714" style="5" customWidth="1"/>
    <col min="2827" max="2827" width="17.8571428571429" style="5" customWidth="1"/>
    <col min="2828" max="2828" width="3.85714285714286" style="5" customWidth="1"/>
    <col min="2829" max="2829" width="19.4285714285714" style="5" bestFit="1" customWidth="1"/>
    <col min="2830" max="2830" width="21.8571428571429" style="5" customWidth="1"/>
    <col min="2831" max="2831" width="0" style="5" hidden="1" customWidth="1"/>
    <col min="2832" max="2832" width="25.4285714285714" style="5" customWidth="1"/>
    <col min="2833" max="2833" width="15" style="5" bestFit="1" customWidth="1"/>
    <col min="2834" max="3072" width="9.14285714285714" style="5"/>
    <col min="3073" max="3073" width="8.14285714285714" style="5" customWidth="1"/>
    <col min="3074" max="3074" width="2.85714285714286" style="5" customWidth="1"/>
    <col min="3075" max="3075" width="5.57142857142857" style="5" customWidth="1"/>
    <col min="3076" max="3076" width="3.42857142857143" style="5" customWidth="1"/>
    <col min="3077" max="3077" width="45.8571428571429" style="5" customWidth="1"/>
    <col min="3078" max="3078" width="3.42857142857143" style="5" customWidth="1"/>
    <col min="3079" max="3079" width="17.1428571428571" style="5" bestFit="1" customWidth="1"/>
    <col min="3080" max="3080" width="3.57142857142857" style="5" customWidth="1"/>
    <col min="3081" max="3081" width="17.8571428571429" style="5" bestFit="1" customWidth="1"/>
    <col min="3082" max="3082" width="3.14285714285714" style="5" customWidth="1"/>
    <col min="3083" max="3083" width="17.8571428571429" style="5" customWidth="1"/>
    <col min="3084" max="3084" width="3.85714285714286" style="5" customWidth="1"/>
    <col min="3085" max="3085" width="19.4285714285714" style="5" bestFit="1" customWidth="1"/>
    <col min="3086" max="3086" width="21.8571428571429" style="5" customWidth="1"/>
    <col min="3087" max="3087" width="0" style="5" hidden="1" customWidth="1"/>
    <col min="3088" max="3088" width="25.4285714285714" style="5" customWidth="1"/>
    <col min="3089" max="3089" width="15" style="5" bestFit="1" customWidth="1"/>
    <col min="3090" max="3328" width="9.14285714285714" style="5"/>
    <col min="3329" max="3329" width="8.14285714285714" style="5" customWidth="1"/>
    <col min="3330" max="3330" width="2.85714285714286" style="5" customWidth="1"/>
    <col min="3331" max="3331" width="5.57142857142857" style="5" customWidth="1"/>
    <col min="3332" max="3332" width="3.42857142857143" style="5" customWidth="1"/>
    <col min="3333" max="3333" width="45.8571428571429" style="5" customWidth="1"/>
    <col min="3334" max="3334" width="3.42857142857143" style="5" customWidth="1"/>
    <col min="3335" max="3335" width="17.1428571428571" style="5" bestFit="1" customWidth="1"/>
    <col min="3336" max="3336" width="3.57142857142857" style="5" customWidth="1"/>
    <col min="3337" max="3337" width="17.8571428571429" style="5" bestFit="1" customWidth="1"/>
    <col min="3338" max="3338" width="3.14285714285714" style="5" customWidth="1"/>
    <col min="3339" max="3339" width="17.8571428571429" style="5" customWidth="1"/>
    <col min="3340" max="3340" width="3.85714285714286" style="5" customWidth="1"/>
    <col min="3341" max="3341" width="19.4285714285714" style="5" bestFit="1" customWidth="1"/>
    <col min="3342" max="3342" width="21.8571428571429" style="5" customWidth="1"/>
    <col min="3343" max="3343" width="0" style="5" hidden="1" customWidth="1"/>
    <col min="3344" max="3344" width="25.4285714285714" style="5" customWidth="1"/>
    <col min="3345" max="3345" width="15" style="5" bestFit="1" customWidth="1"/>
    <col min="3346" max="3584" width="9.14285714285714" style="5"/>
    <col min="3585" max="3585" width="8.14285714285714" style="5" customWidth="1"/>
    <col min="3586" max="3586" width="2.85714285714286" style="5" customWidth="1"/>
    <col min="3587" max="3587" width="5.57142857142857" style="5" customWidth="1"/>
    <col min="3588" max="3588" width="3.42857142857143" style="5" customWidth="1"/>
    <col min="3589" max="3589" width="45.8571428571429" style="5" customWidth="1"/>
    <col min="3590" max="3590" width="3.42857142857143" style="5" customWidth="1"/>
    <col min="3591" max="3591" width="17.1428571428571" style="5" bestFit="1" customWidth="1"/>
    <col min="3592" max="3592" width="3.57142857142857" style="5" customWidth="1"/>
    <col min="3593" max="3593" width="17.8571428571429" style="5" bestFit="1" customWidth="1"/>
    <col min="3594" max="3594" width="3.14285714285714" style="5" customWidth="1"/>
    <col min="3595" max="3595" width="17.8571428571429" style="5" customWidth="1"/>
    <col min="3596" max="3596" width="3.85714285714286" style="5" customWidth="1"/>
    <col min="3597" max="3597" width="19.4285714285714" style="5" bestFit="1" customWidth="1"/>
    <col min="3598" max="3598" width="21.8571428571429" style="5" customWidth="1"/>
    <col min="3599" max="3599" width="0" style="5" hidden="1" customWidth="1"/>
    <col min="3600" max="3600" width="25.4285714285714" style="5" customWidth="1"/>
    <col min="3601" max="3601" width="15" style="5" bestFit="1" customWidth="1"/>
    <col min="3602" max="3840" width="9.14285714285714" style="5"/>
    <col min="3841" max="3841" width="8.14285714285714" style="5" customWidth="1"/>
    <col min="3842" max="3842" width="2.85714285714286" style="5" customWidth="1"/>
    <col min="3843" max="3843" width="5.57142857142857" style="5" customWidth="1"/>
    <col min="3844" max="3844" width="3.42857142857143" style="5" customWidth="1"/>
    <col min="3845" max="3845" width="45.8571428571429" style="5" customWidth="1"/>
    <col min="3846" max="3846" width="3.42857142857143" style="5" customWidth="1"/>
    <col min="3847" max="3847" width="17.1428571428571" style="5" bestFit="1" customWidth="1"/>
    <col min="3848" max="3848" width="3.57142857142857" style="5" customWidth="1"/>
    <col min="3849" max="3849" width="17.8571428571429" style="5" bestFit="1" customWidth="1"/>
    <col min="3850" max="3850" width="3.14285714285714" style="5" customWidth="1"/>
    <col min="3851" max="3851" width="17.8571428571429" style="5" customWidth="1"/>
    <col min="3852" max="3852" width="3.85714285714286" style="5" customWidth="1"/>
    <col min="3853" max="3853" width="19.4285714285714" style="5" bestFit="1" customWidth="1"/>
    <col min="3854" max="3854" width="21.8571428571429" style="5" customWidth="1"/>
    <col min="3855" max="3855" width="0" style="5" hidden="1" customWidth="1"/>
    <col min="3856" max="3856" width="25.4285714285714" style="5" customWidth="1"/>
    <col min="3857" max="3857" width="15" style="5" bestFit="1" customWidth="1"/>
    <col min="3858" max="4096" width="9.14285714285714" style="5"/>
    <col min="4097" max="4097" width="8.14285714285714" style="5" customWidth="1"/>
    <col min="4098" max="4098" width="2.85714285714286" style="5" customWidth="1"/>
    <col min="4099" max="4099" width="5.57142857142857" style="5" customWidth="1"/>
    <col min="4100" max="4100" width="3.42857142857143" style="5" customWidth="1"/>
    <col min="4101" max="4101" width="45.8571428571429" style="5" customWidth="1"/>
    <col min="4102" max="4102" width="3.42857142857143" style="5" customWidth="1"/>
    <col min="4103" max="4103" width="17.1428571428571" style="5" bestFit="1" customWidth="1"/>
    <col min="4104" max="4104" width="3.57142857142857" style="5" customWidth="1"/>
    <col min="4105" max="4105" width="17.8571428571429" style="5" bestFit="1" customWidth="1"/>
    <col min="4106" max="4106" width="3.14285714285714" style="5" customWidth="1"/>
    <col min="4107" max="4107" width="17.8571428571429" style="5" customWidth="1"/>
    <col min="4108" max="4108" width="3.85714285714286" style="5" customWidth="1"/>
    <col min="4109" max="4109" width="19.4285714285714" style="5" bestFit="1" customWidth="1"/>
    <col min="4110" max="4110" width="21.8571428571429" style="5" customWidth="1"/>
    <col min="4111" max="4111" width="0" style="5" hidden="1" customWidth="1"/>
    <col min="4112" max="4112" width="25.4285714285714" style="5" customWidth="1"/>
    <col min="4113" max="4113" width="15" style="5" bestFit="1" customWidth="1"/>
    <col min="4114" max="4352" width="9.14285714285714" style="5"/>
    <col min="4353" max="4353" width="8.14285714285714" style="5" customWidth="1"/>
    <col min="4354" max="4354" width="2.85714285714286" style="5" customWidth="1"/>
    <col min="4355" max="4355" width="5.57142857142857" style="5" customWidth="1"/>
    <col min="4356" max="4356" width="3.42857142857143" style="5" customWidth="1"/>
    <col min="4357" max="4357" width="45.8571428571429" style="5" customWidth="1"/>
    <col min="4358" max="4358" width="3.42857142857143" style="5" customWidth="1"/>
    <col min="4359" max="4359" width="17.1428571428571" style="5" bestFit="1" customWidth="1"/>
    <col min="4360" max="4360" width="3.57142857142857" style="5" customWidth="1"/>
    <col min="4361" max="4361" width="17.8571428571429" style="5" bestFit="1" customWidth="1"/>
    <col min="4362" max="4362" width="3.14285714285714" style="5" customWidth="1"/>
    <col min="4363" max="4363" width="17.8571428571429" style="5" customWidth="1"/>
    <col min="4364" max="4364" width="3.85714285714286" style="5" customWidth="1"/>
    <col min="4365" max="4365" width="19.4285714285714" style="5" bestFit="1" customWidth="1"/>
    <col min="4366" max="4366" width="21.8571428571429" style="5" customWidth="1"/>
    <col min="4367" max="4367" width="0" style="5" hidden="1" customWidth="1"/>
    <col min="4368" max="4368" width="25.4285714285714" style="5" customWidth="1"/>
    <col min="4369" max="4369" width="15" style="5" bestFit="1" customWidth="1"/>
    <col min="4370" max="4608" width="9.14285714285714" style="5"/>
    <col min="4609" max="4609" width="8.14285714285714" style="5" customWidth="1"/>
    <col min="4610" max="4610" width="2.85714285714286" style="5" customWidth="1"/>
    <col min="4611" max="4611" width="5.57142857142857" style="5" customWidth="1"/>
    <col min="4612" max="4612" width="3.42857142857143" style="5" customWidth="1"/>
    <col min="4613" max="4613" width="45.8571428571429" style="5" customWidth="1"/>
    <col min="4614" max="4614" width="3.42857142857143" style="5" customWidth="1"/>
    <col min="4615" max="4615" width="17.1428571428571" style="5" bestFit="1" customWidth="1"/>
    <col min="4616" max="4616" width="3.57142857142857" style="5" customWidth="1"/>
    <col min="4617" max="4617" width="17.8571428571429" style="5" bestFit="1" customWidth="1"/>
    <col min="4618" max="4618" width="3.14285714285714" style="5" customWidth="1"/>
    <col min="4619" max="4619" width="17.8571428571429" style="5" customWidth="1"/>
    <col min="4620" max="4620" width="3.85714285714286" style="5" customWidth="1"/>
    <col min="4621" max="4621" width="19.4285714285714" style="5" bestFit="1" customWidth="1"/>
    <col min="4622" max="4622" width="21.8571428571429" style="5" customWidth="1"/>
    <col min="4623" max="4623" width="0" style="5" hidden="1" customWidth="1"/>
    <col min="4624" max="4624" width="25.4285714285714" style="5" customWidth="1"/>
    <col min="4625" max="4625" width="15" style="5" bestFit="1" customWidth="1"/>
    <col min="4626" max="4864" width="9.14285714285714" style="5"/>
    <col min="4865" max="4865" width="8.14285714285714" style="5" customWidth="1"/>
    <col min="4866" max="4866" width="2.85714285714286" style="5" customWidth="1"/>
    <col min="4867" max="4867" width="5.57142857142857" style="5" customWidth="1"/>
    <col min="4868" max="4868" width="3.42857142857143" style="5" customWidth="1"/>
    <col min="4869" max="4869" width="45.8571428571429" style="5" customWidth="1"/>
    <col min="4870" max="4870" width="3.42857142857143" style="5" customWidth="1"/>
    <col min="4871" max="4871" width="17.1428571428571" style="5" bestFit="1" customWidth="1"/>
    <col min="4872" max="4872" width="3.57142857142857" style="5" customWidth="1"/>
    <col min="4873" max="4873" width="17.8571428571429" style="5" bestFit="1" customWidth="1"/>
    <col min="4874" max="4874" width="3.14285714285714" style="5" customWidth="1"/>
    <col min="4875" max="4875" width="17.8571428571429" style="5" customWidth="1"/>
    <col min="4876" max="4876" width="3.85714285714286" style="5" customWidth="1"/>
    <col min="4877" max="4877" width="19.4285714285714" style="5" bestFit="1" customWidth="1"/>
    <col min="4878" max="4878" width="21.8571428571429" style="5" customWidth="1"/>
    <col min="4879" max="4879" width="0" style="5" hidden="1" customWidth="1"/>
    <col min="4880" max="4880" width="25.4285714285714" style="5" customWidth="1"/>
    <col min="4881" max="4881" width="15" style="5" bestFit="1" customWidth="1"/>
    <col min="4882" max="5120" width="9.14285714285714" style="5"/>
    <col min="5121" max="5121" width="8.14285714285714" style="5" customWidth="1"/>
    <col min="5122" max="5122" width="2.85714285714286" style="5" customWidth="1"/>
    <col min="5123" max="5123" width="5.57142857142857" style="5" customWidth="1"/>
    <col min="5124" max="5124" width="3.42857142857143" style="5" customWidth="1"/>
    <col min="5125" max="5125" width="45.8571428571429" style="5" customWidth="1"/>
    <col min="5126" max="5126" width="3.42857142857143" style="5" customWidth="1"/>
    <col min="5127" max="5127" width="17.1428571428571" style="5" bestFit="1" customWidth="1"/>
    <col min="5128" max="5128" width="3.57142857142857" style="5" customWidth="1"/>
    <col min="5129" max="5129" width="17.8571428571429" style="5" bestFit="1" customWidth="1"/>
    <col min="5130" max="5130" width="3.14285714285714" style="5" customWidth="1"/>
    <col min="5131" max="5131" width="17.8571428571429" style="5" customWidth="1"/>
    <col min="5132" max="5132" width="3.85714285714286" style="5" customWidth="1"/>
    <col min="5133" max="5133" width="19.4285714285714" style="5" bestFit="1" customWidth="1"/>
    <col min="5134" max="5134" width="21.8571428571429" style="5" customWidth="1"/>
    <col min="5135" max="5135" width="0" style="5" hidden="1" customWidth="1"/>
    <col min="5136" max="5136" width="25.4285714285714" style="5" customWidth="1"/>
    <col min="5137" max="5137" width="15" style="5" bestFit="1" customWidth="1"/>
    <col min="5138" max="5376" width="9.14285714285714" style="5"/>
    <col min="5377" max="5377" width="8.14285714285714" style="5" customWidth="1"/>
    <col min="5378" max="5378" width="2.85714285714286" style="5" customWidth="1"/>
    <col min="5379" max="5379" width="5.57142857142857" style="5" customWidth="1"/>
    <col min="5380" max="5380" width="3.42857142857143" style="5" customWidth="1"/>
    <col min="5381" max="5381" width="45.8571428571429" style="5" customWidth="1"/>
    <col min="5382" max="5382" width="3.42857142857143" style="5" customWidth="1"/>
    <col min="5383" max="5383" width="17.1428571428571" style="5" bestFit="1" customWidth="1"/>
    <col min="5384" max="5384" width="3.57142857142857" style="5" customWidth="1"/>
    <col min="5385" max="5385" width="17.8571428571429" style="5" bestFit="1" customWidth="1"/>
    <col min="5386" max="5386" width="3.14285714285714" style="5" customWidth="1"/>
    <col min="5387" max="5387" width="17.8571428571429" style="5" customWidth="1"/>
    <col min="5388" max="5388" width="3.85714285714286" style="5" customWidth="1"/>
    <col min="5389" max="5389" width="19.4285714285714" style="5" bestFit="1" customWidth="1"/>
    <col min="5390" max="5390" width="21.8571428571429" style="5" customWidth="1"/>
    <col min="5391" max="5391" width="0" style="5" hidden="1" customWidth="1"/>
    <col min="5392" max="5392" width="25.4285714285714" style="5" customWidth="1"/>
    <col min="5393" max="5393" width="15" style="5" bestFit="1" customWidth="1"/>
    <col min="5394" max="5632" width="9.14285714285714" style="5"/>
    <col min="5633" max="5633" width="8.14285714285714" style="5" customWidth="1"/>
    <col min="5634" max="5634" width="2.85714285714286" style="5" customWidth="1"/>
    <col min="5635" max="5635" width="5.57142857142857" style="5" customWidth="1"/>
    <col min="5636" max="5636" width="3.42857142857143" style="5" customWidth="1"/>
    <col min="5637" max="5637" width="45.8571428571429" style="5" customWidth="1"/>
    <col min="5638" max="5638" width="3.42857142857143" style="5" customWidth="1"/>
    <col min="5639" max="5639" width="17.1428571428571" style="5" bestFit="1" customWidth="1"/>
    <col min="5640" max="5640" width="3.57142857142857" style="5" customWidth="1"/>
    <col min="5641" max="5641" width="17.8571428571429" style="5" bestFit="1" customWidth="1"/>
    <col min="5642" max="5642" width="3.14285714285714" style="5" customWidth="1"/>
    <col min="5643" max="5643" width="17.8571428571429" style="5" customWidth="1"/>
    <col min="5644" max="5644" width="3.85714285714286" style="5" customWidth="1"/>
    <col min="5645" max="5645" width="19.4285714285714" style="5" bestFit="1" customWidth="1"/>
    <col min="5646" max="5646" width="21.8571428571429" style="5" customWidth="1"/>
    <col min="5647" max="5647" width="0" style="5" hidden="1" customWidth="1"/>
    <col min="5648" max="5648" width="25.4285714285714" style="5" customWidth="1"/>
    <col min="5649" max="5649" width="15" style="5" bestFit="1" customWidth="1"/>
    <col min="5650" max="5888" width="9.14285714285714" style="5"/>
    <col min="5889" max="5889" width="8.14285714285714" style="5" customWidth="1"/>
    <col min="5890" max="5890" width="2.85714285714286" style="5" customWidth="1"/>
    <col min="5891" max="5891" width="5.57142857142857" style="5" customWidth="1"/>
    <col min="5892" max="5892" width="3.42857142857143" style="5" customWidth="1"/>
    <col min="5893" max="5893" width="45.8571428571429" style="5" customWidth="1"/>
    <col min="5894" max="5894" width="3.42857142857143" style="5" customWidth="1"/>
    <col min="5895" max="5895" width="17.1428571428571" style="5" bestFit="1" customWidth="1"/>
    <col min="5896" max="5896" width="3.57142857142857" style="5" customWidth="1"/>
    <col min="5897" max="5897" width="17.8571428571429" style="5" bestFit="1" customWidth="1"/>
    <col min="5898" max="5898" width="3.14285714285714" style="5" customWidth="1"/>
    <col min="5899" max="5899" width="17.8571428571429" style="5" customWidth="1"/>
    <col min="5900" max="5900" width="3.85714285714286" style="5" customWidth="1"/>
    <col min="5901" max="5901" width="19.4285714285714" style="5" bestFit="1" customWidth="1"/>
    <col min="5902" max="5902" width="21.8571428571429" style="5" customWidth="1"/>
    <col min="5903" max="5903" width="0" style="5" hidden="1" customWidth="1"/>
    <col min="5904" max="5904" width="25.4285714285714" style="5" customWidth="1"/>
    <col min="5905" max="5905" width="15" style="5" bestFit="1" customWidth="1"/>
    <col min="5906" max="6144" width="9.14285714285714" style="5"/>
    <col min="6145" max="6145" width="8.14285714285714" style="5" customWidth="1"/>
    <col min="6146" max="6146" width="2.85714285714286" style="5" customWidth="1"/>
    <col min="6147" max="6147" width="5.57142857142857" style="5" customWidth="1"/>
    <col min="6148" max="6148" width="3.42857142857143" style="5" customWidth="1"/>
    <col min="6149" max="6149" width="45.8571428571429" style="5" customWidth="1"/>
    <col min="6150" max="6150" width="3.42857142857143" style="5" customWidth="1"/>
    <col min="6151" max="6151" width="17.1428571428571" style="5" bestFit="1" customWidth="1"/>
    <col min="6152" max="6152" width="3.57142857142857" style="5" customWidth="1"/>
    <col min="6153" max="6153" width="17.8571428571429" style="5" bestFit="1" customWidth="1"/>
    <col min="6154" max="6154" width="3.14285714285714" style="5" customWidth="1"/>
    <col min="6155" max="6155" width="17.8571428571429" style="5" customWidth="1"/>
    <col min="6156" max="6156" width="3.85714285714286" style="5" customWidth="1"/>
    <col min="6157" max="6157" width="19.4285714285714" style="5" bestFit="1" customWidth="1"/>
    <col min="6158" max="6158" width="21.8571428571429" style="5" customWidth="1"/>
    <col min="6159" max="6159" width="0" style="5" hidden="1" customWidth="1"/>
    <col min="6160" max="6160" width="25.4285714285714" style="5" customWidth="1"/>
    <col min="6161" max="6161" width="15" style="5" bestFit="1" customWidth="1"/>
    <col min="6162" max="6400" width="9.14285714285714" style="5"/>
    <col min="6401" max="6401" width="8.14285714285714" style="5" customWidth="1"/>
    <col min="6402" max="6402" width="2.85714285714286" style="5" customWidth="1"/>
    <col min="6403" max="6403" width="5.57142857142857" style="5" customWidth="1"/>
    <col min="6404" max="6404" width="3.42857142857143" style="5" customWidth="1"/>
    <col min="6405" max="6405" width="45.8571428571429" style="5" customWidth="1"/>
    <col min="6406" max="6406" width="3.42857142857143" style="5" customWidth="1"/>
    <col min="6407" max="6407" width="17.1428571428571" style="5" bestFit="1" customWidth="1"/>
    <col min="6408" max="6408" width="3.57142857142857" style="5" customWidth="1"/>
    <col min="6409" max="6409" width="17.8571428571429" style="5" bestFit="1" customWidth="1"/>
    <col min="6410" max="6410" width="3.14285714285714" style="5" customWidth="1"/>
    <col min="6411" max="6411" width="17.8571428571429" style="5" customWidth="1"/>
    <col min="6412" max="6412" width="3.85714285714286" style="5" customWidth="1"/>
    <col min="6413" max="6413" width="19.4285714285714" style="5" bestFit="1" customWidth="1"/>
    <col min="6414" max="6414" width="21.8571428571429" style="5" customWidth="1"/>
    <col min="6415" max="6415" width="0" style="5" hidden="1" customWidth="1"/>
    <col min="6416" max="6416" width="25.4285714285714" style="5" customWidth="1"/>
    <col min="6417" max="6417" width="15" style="5" bestFit="1" customWidth="1"/>
    <col min="6418" max="6656" width="9.14285714285714" style="5"/>
    <col min="6657" max="6657" width="8.14285714285714" style="5" customWidth="1"/>
    <col min="6658" max="6658" width="2.85714285714286" style="5" customWidth="1"/>
    <col min="6659" max="6659" width="5.57142857142857" style="5" customWidth="1"/>
    <col min="6660" max="6660" width="3.42857142857143" style="5" customWidth="1"/>
    <col min="6661" max="6661" width="45.8571428571429" style="5" customWidth="1"/>
    <col min="6662" max="6662" width="3.42857142857143" style="5" customWidth="1"/>
    <col min="6663" max="6663" width="17.1428571428571" style="5" bestFit="1" customWidth="1"/>
    <col min="6664" max="6664" width="3.57142857142857" style="5" customWidth="1"/>
    <col min="6665" max="6665" width="17.8571428571429" style="5" bestFit="1" customWidth="1"/>
    <col min="6666" max="6666" width="3.14285714285714" style="5" customWidth="1"/>
    <col min="6667" max="6667" width="17.8571428571429" style="5" customWidth="1"/>
    <col min="6668" max="6668" width="3.85714285714286" style="5" customWidth="1"/>
    <col min="6669" max="6669" width="19.4285714285714" style="5" bestFit="1" customWidth="1"/>
    <col min="6670" max="6670" width="21.8571428571429" style="5" customWidth="1"/>
    <col min="6671" max="6671" width="0" style="5" hidden="1" customWidth="1"/>
    <col min="6672" max="6672" width="25.4285714285714" style="5" customWidth="1"/>
    <col min="6673" max="6673" width="15" style="5" bestFit="1" customWidth="1"/>
    <col min="6674" max="6912" width="9.14285714285714" style="5"/>
    <col min="6913" max="6913" width="8.14285714285714" style="5" customWidth="1"/>
    <col min="6914" max="6914" width="2.85714285714286" style="5" customWidth="1"/>
    <col min="6915" max="6915" width="5.57142857142857" style="5" customWidth="1"/>
    <col min="6916" max="6916" width="3.42857142857143" style="5" customWidth="1"/>
    <col min="6917" max="6917" width="45.8571428571429" style="5" customWidth="1"/>
    <col min="6918" max="6918" width="3.42857142857143" style="5" customWidth="1"/>
    <col min="6919" max="6919" width="17.1428571428571" style="5" bestFit="1" customWidth="1"/>
    <col min="6920" max="6920" width="3.57142857142857" style="5" customWidth="1"/>
    <col min="6921" max="6921" width="17.8571428571429" style="5" bestFit="1" customWidth="1"/>
    <col min="6922" max="6922" width="3.14285714285714" style="5" customWidth="1"/>
    <col min="6923" max="6923" width="17.8571428571429" style="5" customWidth="1"/>
    <col min="6924" max="6924" width="3.85714285714286" style="5" customWidth="1"/>
    <col min="6925" max="6925" width="19.4285714285714" style="5" bestFit="1" customWidth="1"/>
    <col min="6926" max="6926" width="21.8571428571429" style="5" customWidth="1"/>
    <col min="6927" max="6927" width="0" style="5" hidden="1" customWidth="1"/>
    <col min="6928" max="6928" width="25.4285714285714" style="5" customWidth="1"/>
    <col min="6929" max="6929" width="15" style="5" bestFit="1" customWidth="1"/>
    <col min="6930" max="7168" width="9.14285714285714" style="5"/>
    <col min="7169" max="7169" width="8.14285714285714" style="5" customWidth="1"/>
    <col min="7170" max="7170" width="2.85714285714286" style="5" customWidth="1"/>
    <col min="7171" max="7171" width="5.57142857142857" style="5" customWidth="1"/>
    <col min="7172" max="7172" width="3.42857142857143" style="5" customWidth="1"/>
    <col min="7173" max="7173" width="45.8571428571429" style="5" customWidth="1"/>
    <col min="7174" max="7174" width="3.42857142857143" style="5" customWidth="1"/>
    <col min="7175" max="7175" width="17.1428571428571" style="5" bestFit="1" customWidth="1"/>
    <col min="7176" max="7176" width="3.57142857142857" style="5" customWidth="1"/>
    <col min="7177" max="7177" width="17.8571428571429" style="5" bestFit="1" customWidth="1"/>
    <col min="7178" max="7178" width="3.14285714285714" style="5" customWidth="1"/>
    <col min="7179" max="7179" width="17.8571428571429" style="5" customWidth="1"/>
    <col min="7180" max="7180" width="3.85714285714286" style="5" customWidth="1"/>
    <col min="7181" max="7181" width="19.4285714285714" style="5" bestFit="1" customWidth="1"/>
    <col min="7182" max="7182" width="21.8571428571429" style="5" customWidth="1"/>
    <col min="7183" max="7183" width="0" style="5" hidden="1" customWidth="1"/>
    <col min="7184" max="7184" width="25.4285714285714" style="5" customWidth="1"/>
    <col min="7185" max="7185" width="15" style="5" bestFit="1" customWidth="1"/>
    <col min="7186" max="7424" width="9.14285714285714" style="5"/>
    <col min="7425" max="7425" width="8.14285714285714" style="5" customWidth="1"/>
    <col min="7426" max="7426" width="2.85714285714286" style="5" customWidth="1"/>
    <col min="7427" max="7427" width="5.57142857142857" style="5" customWidth="1"/>
    <col min="7428" max="7428" width="3.42857142857143" style="5" customWidth="1"/>
    <col min="7429" max="7429" width="45.8571428571429" style="5" customWidth="1"/>
    <col min="7430" max="7430" width="3.42857142857143" style="5" customWidth="1"/>
    <col min="7431" max="7431" width="17.1428571428571" style="5" bestFit="1" customWidth="1"/>
    <col min="7432" max="7432" width="3.57142857142857" style="5" customWidth="1"/>
    <col min="7433" max="7433" width="17.8571428571429" style="5" bestFit="1" customWidth="1"/>
    <col min="7434" max="7434" width="3.14285714285714" style="5" customWidth="1"/>
    <col min="7435" max="7435" width="17.8571428571429" style="5" customWidth="1"/>
    <col min="7436" max="7436" width="3.85714285714286" style="5" customWidth="1"/>
    <col min="7437" max="7437" width="19.4285714285714" style="5" bestFit="1" customWidth="1"/>
    <col min="7438" max="7438" width="21.8571428571429" style="5" customWidth="1"/>
    <col min="7439" max="7439" width="0" style="5" hidden="1" customWidth="1"/>
    <col min="7440" max="7440" width="25.4285714285714" style="5" customWidth="1"/>
    <col min="7441" max="7441" width="15" style="5" bestFit="1" customWidth="1"/>
    <col min="7442" max="7680" width="9.14285714285714" style="5"/>
    <col min="7681" max="7681" width="8.14285714285714" style="5" customWidth="1"/>
    <col min="7682" max="7682" width="2.85714285714286" style="5" customWidth="1"/>
    <col min="7683" max="7683" width="5.57142857142857" style="5" customWidth="1"/>
    <col min="7684" max="7684" width="3.42857142857143" style="5" customWidth="1"/>
    <col min="7685" max="7685" width="45.8571428571429" style="5" customWidth="1"/>
    <col min="7686" max="7686" width="3.42857142857143" style="5" customWidth="1"/>
    <col min="7687" max="7687" width="17.1428571428571" style="5" bestFit="1" customWidth="1"/>
    <col min="7688" max="7688" width="3.57142857142857" style="5" customWidth="1"/>
    <col min="7689" max="7689" width="17.8571428571429" style="5" bestFit="1" customWidth="1"/>
    <col min="7690" max="7690" width="3.14285714285714" style="5" customWidth="1"/>
    <col min="7691" max="7691" width="17.8571428571429" style="5" customWidth="1"/>
    <col min="7692" max="7692" width="3.85714285714286" style="5" customWidth="1"/>
    <col min="7693" max="7693" width="19.4285714285714" style="5" bestFit="1" customWidth="1"/>
    <col min="7694" max="7694" width="21.8571428571429" style="5" customWidth="1"/>
    <col min="7695" max="7695" width="0" style="5" hidden="1" customWidth="1"/>
    <col min="7696" max="7696" width="25.4285714285714" style="5" customWidth="1"/>
    <col min="7697" max="7697" width="15" style="5" bestFit="1" customWidth="1"/>
    <col min="7698" max="7936" width="9.14285714285714" style="5"/>
    <col min="7937" max="7937" width="8.14285714285714" style="5" customWidth="1"/>
    <col min="7938" max="7938" width="2.85714285714286" style="5" customWidth="1"/>
    <col min="7939" max="7939" width="5.57142857142857" style="5" customWidth="1"/>
    <col min="7940" max="7940" width="3.42857142857143" style="5" customWidth="1"/>
    <col min="7941" max="7941" width="45.8571428571429" style="5" customWidth="1"/>
    <col min="7942" max="7942" width="3.42857142857143" style="5" customWidth="1"/>
    <col min="7943" max="7943" width="17.1428571428571" style="5" bestFit="1" customWidth="1"/>
    <col min="7944" max="7944" width="3.57142857142857" style="5" customWidth="1"/>
    <col min="7945" max="7945" width="17.8571428571429" style="5" bestFit="1" customWidth="1"/>
    <col min="7946" max="7946" width="3.14285714285714" style="5" customWidth="1"/>
    <col min="7947" max="7947" width="17.8571428571429" style="5" customWidth="1"/>
    <col min="7948" max="7948" width="3.85714285714286" style="5" customWidth="1"/>
    <col min="7949" max="7949" width="19.4285714285714" style="5" bestFit="1" customWidth="1"/>
    <col min="7950" max="7950" width="21.8571428571429" style="5" customWidth="1"/>
    <col min="7951" max="7951" width="0" style="5" hidden="1" customWidth="1"/>
    <col min="7952" max="7952" width="25.4285714285714" style="5" customWidth="1"/>
    <col min="7953" max="7953" width="15" style="5" bestFit="1" customWidth="1"/>
    <col min="7954" max="8192" width="9.14285714285714" style="5"/>
    <col min="8193" max="8193" width="8.14285714285714" style="5" customWidth="1"/>
    <col min="8194" max="8194" width="2.85714285714286" style="5" customWidth="1"/>
    <col min="8195" max="8195" width="5.57142857142857" style="5" customWidth="1"/>
    <col min="8196" max="8196" width="3.42857142857143" style="5" customWidth="1"/>
    <col min="8197" max="8197" width="45.8571428571429" style="5" customWidth="1"/>
    <col min="8198" max="8198" width="3.42857142857143" style="5" customWidth="1"/>
    <col min="8199" max="8199" width="17.1428571428571" style="5" bestFit="1" customWidth="1"/>
    <col min="8200" max="8200" width="3.57142857142857" style="5" customWidth="1"/>
    <col min="8201" max="8201" width="17.8571428571429" style="5" bestFit="1" customWidth="1"/>
    <col min="8202" max="8202" width="3.14285714285714" style="5" customWidth="1"/>
    <col min="8203" max="8203" width="17.8571428571429" style="5" customWidth="1"/>
    <col min="8204" max="8204" width="3.85714285714286" style="5" customWidth="1"/>
    <col min="8205" max="8205" width="19.4285714285714" style="5" bestFit="1" customWidth="1"/>
    <col min="8206" max="8206" width="21.8571428571429" style="5" customWidth="1"/>
    <col min="8207" max="8207" width="0" style="5" hidden="1" customWidth="1"/>
    <col min="8208" max="8208" width="25.4285714285714" style="5" customWidth="1"/>
    <col min="8209" max="8209" width="15" style="5" bestFit="1" customWidth="1"/>
    <col min="8210" max="8448" width="9.14285714285714" style="5"/>
    <col min="8449" max="8449" width="8.14285714285714" style="5" customWidth="1"/>
    <col min="8450" max="8450" width="2.85714285714286" style="5" customWidth="1"/>
    <col min="8451" max="8451" width="5.57142857142857" style="5" customWidth="1"/>
    <col min="8452" max="8452" width="3.42857142857143" style="5" customWidth="1"/>
    <col min="8453" max="8453" width="45.8571428571429" style="5" customWidth="1"/>
    <col min="8454" max="8454" width="3.42857142857143" style="5" customWidth="1"/>
    <col min="8455" max="8455" width="17.1428571428571" style="5" bestFit="1" customWidth="1"/>
    <col min="8456" max="8456" width="3.57142857142857" style="5" customWidth="1"/>
    <col min="8457" max="8457" width="17.8571428571429" style="5" bestFit="1" customWidth="1"/>
    <col min="8458" max="8458" width="3.14285714285714" style="5" customWidth="1"/>
    <col min="8459" max="8459" width="17.8571428571429" style="5" customWidth="1"/>
    <col min="8460" max="8460" width="3.85714285714286" style="5" customWidth="1"/>
    <col min="8461" max="8461" width="19.4285714285714" style="5" bestFit="1" customWidth="1"/>
    <col min="8462" max="8462" width="21.8571428571429" style="5" customWidth="1"/>
    <col min="8463" max="8463" width="0" style="5" hidden="1" customWidth="1"/>
    <col min="8464" max="8464" width="25.4285714285714" style="5" customWidth="1"/>
    <col min="8465" max="8465" width="15" style="5" bestFit="1" customWidth="1"/>
    <col min="8466" max="8704" width="9.14285714285714" style="5"/>
    <col min="8705" max="8705" width="8.14285714285714" style="5" customWidth="1"/>
    <col min="8706" max="8706" width="2.85714285714286" style="5" customWidth="1"/>
    <col min="8707" max="8707" width="5.57142857142857" style="5" customWidth="1"/>
    <col min="8708" max="8708" width="3.42857142857143" style="5" customWidth="1"/>
    <col min="8709" max="8709" width="45.8571428571429" style="5" customWidth="1"/>
    <col min="8710" max="8710" width="3.42857142857143" style="5" customWidth="1"/>
    <col min="8711" max="8711" width="17.1428571428571" style="5" bestFit="1" customWidth="1"/>
    <col min="8712" max="8712" width="3.57142857142857" style="5" customWidth="1"/>
    <col min="8713" max="8713" width="17.8571428571429" style="5" bestFit="1" customWidth="1"/>
    <col min="8714" max="8714" width="3.14285714285714" style="5" customWidth="1"/>
    <col min="8715" max="8715" width="17.8571428571429" style="5" customWidth="1"/>
    <col min="8716" max="8716" width="3.85714285714286" style="5" customWidth="1"/>
    <col min="8717" max="8717" width="19.4285714285714" style="5" bestFit="1" customWidth="1"/>
    <col min="8718" max="8718" width="21.8571428571429" style="5" customWidth="1"/>
    <col min="8719" max="8719" width="0" style="5" hidden="1" customWidth="1"/>
    <col min="8720" max="8720" width="25.4285714285714" style="5" customWidth="1"/>
    <col min="8721" max="8721" width="15" style="5" bestFit="1" customWidth="1"/>
    <col min="8722" max="8960" width="9.14285714285714" style="5"/>
    <col min="8961" max="8961" width="8.14285714285714" style="5" customWidth="1"/>
    <col min="8962" max="8962" width="2.85714285714286" style="5" customWidth="1"/>
    <col min="8963" max="8963" width="5.57142857142857" style="5" customWidth="1"/>
    <col min="8964" max="8964" width="3.42857142857143" style="5" customWidth="1"/>
    <col min="8965" max="8965" width="45.8571428571429" style="5" customWidth="1"/>
    <col min="8966" max="8966" width="3.42857142857143" style="5" customWidth="1"/>
    <col min="8967" max="8967" width="17.1428571428571" style="5" bestFit="1" customWidth="1"/>
    <col min="8968" max="8968" width="3.57142857142857" style="5" customWidth="1"/>
    <col min="8969" max="8969" width="17.8571428571429" style="5" bestFit="1" customWidth="1"/>
    <col min="8970" max="8970" width="3.14285714285714" style="5" customWidth="1"/>
    <col min="8971" max="8971" width="17.8571428571429" style="5" customWidth="1"/>
    <col min="8972" max="8972" width="3.85714285714286" style="5" customWidth="1"/>
    <col min="8973" max="8973" width="19.4285714285714" style="5" bestFit="1" customWidth="1"/>
    <col min="8974" max="8974" width="21.8571428571429" style="5" customWidth="1"/>
    <col min="8975" max="8975" width="0" style="5" hidden="1" customWidth="1"/>
    <col min="8976" max="8976" width="25.4285714285714" style="5" customWidth="1"/>
    <col min="8977" max="8977" width="15" style="5" bestFit="1" customWidth="1"/>
    <col min="8978" max="9216" width="9.14285714285714" style="5"/>
    <col min="9217" max="9217" width="8.14285714285714" style="5" customWidth="1"/>
    <col min="9218" max="9218" width="2.85714285714286" style="5" customWidth="1"/>
    <col min="9219" max="9219" width="5.57142857142857" style="5" customWidth="1"/>
    <col min="9220" max="9220" width="3.42857142857143" style="5" customWidth="1"/>
    <col min="9221" max="9221" width="45.8571428571429" style="5" customWidth="1"/>
    <col min="9222" max="9222" width="3.42857142857143" style="5" customWidth="1"/>
    <col min="9223" max="9223" width="17.1428571428571" style="5" bestFit="1" customWidth="1"/>
    <col min="9224" max="9224" width="3.57142857142857" style="5" customWidth="1"/>
    <col min="9225" max="9225" width="17.8571428571429" style="5" bestFit="1" customWidth="1"/>
    <col min="9226" max="9226" width="3.14285714285714" style="5" customWidth="1"/>
    <col min="9227" max="9227" width="17.8571428571429" style="5" customWidth="1"/>
    <col min="9228" max="9228" width="3.85714285714286" style="5" customWidth="1"/>
    <col min="9229" max="9229" width="19.4285714285714" style="5" bestFit="1" customWidth="1"/>
    <col min="9230" max="9230" width="21.8571428571429" style="5" customWidth="1"/>
    <col min="9231" max="9231" width="0" style="5" hidden="1" customWidth="1"/>
    <col min="9232" max="9232" width="25.4285714285714" style="5" customWidth="1"/>
    <col min="9233" max="9233" width="15" style="5" bestFit="1" customWidth="1"/>
    <col min="9234" max="9472" width="9.14285714285714" style="5"/>
    <col min="9473" max="9473" width="8.14285714285714" style="5" customWidth="1"/>
    <col min="9474" max="9474" width="2.85714285714286" style="5" customWidth="1"/>
    <col min="9475" max="9475" width="5.57142857142857" style="5" customWidth="1"/>
    <col min="9476" max="9476" width="3.42857142857143" style="5" customWidth="1"/>
    <col min="9477" max="9477" width="45.8571428571429" style="5" customWidth="1"/>
    <col min="9478" max="9478" width="3.42857142857143" style="5" customWidth="1"/>
    <col min="9479" max="9479" width="17.1428571428571" style="5" bestFit="1" customWidth="1"/>
    <col min="9480" max="9480" width="3.57142857142857" style="5" customWidth="1"/>
    <col min="9481" max="9481" width="17.8571428571429" style="5" bestFit="1" customWidth="1"/>
    <col min="9482" max="9482" width="3.14285714285714" style="5" customWidth="1"/>
    <col min="9483" max="9483" width="17.8571428571429" style="5" customWidth="1"/>
    <col min="9484" max="9484" width="3.85714285714286" style="5" customWidth="1"/>
    <col min="9485" max="9485" width="19.4285714285714" style="5" bestFit="1" customWidth="1"/>
    <col min="9486" max="9486" width="21.8571428571429" style="5" customWidth="1"/>
    <col min="9487" max="9487" width="0" style="5" hidden="1" customWidth="1"/>
    <col min="9488" max="9488" width="25.4285714285714" style="5" customWidth="1"/>
    <col min="9489" max="9489" width="15" style="5" bestFit="1" customWidth="1"/>
    <col min="9490" max="9728" width="9.14285714285714" style="5"/>
    <col min="9729" max="9729" width="8.14285714285714" style="5" customWidth="1"/>
    <col min="9730" max="9730" width="2.85714285714286" style="5" customWidth="1"/>
    <col min="9731" max="9731" width="5.57142857142857" style="5" customWidth="1"/>
    <col min="9732" max="9732" width="3.42857142857143" style="5" customWidth="1"/>
    <col min="9733" max="9733" width="45.8571428571429" style="5" customWidth="1"/>
    <col min="9734" max="9734" width="3.42857142857143" style="5" customWidth="1"/>
    <col min="9735" max="9735" width="17.1428571428571" style="5" bestFit="1" customWidth="1"/>
    <col min="9736" max="9736" width="3.57142857142857" style="5" customWidth="1"/>
    <col min="9737" max="9737" width="17.8571428571429" style="5" bestFit="1" customWidth="1"/>
    <col min="9738" max="9738" width="3.14285714285714" style="5" customWidth="1"/>
    <col min="9739" max="9739" width="17.8571428571429" style="5" customWidth="1"/>
    <col min="9740" max="9740" width="3.85714285714286" style="5" customWidth="1"/>
    <col min="9741" max="9741" width="19.4285714285714" style="5" bestFit="1" customWidth="1"/>
    <col min="9742" max="9742" width="21.8571428571429" style="5" customWidth="1"/>
    <col min="9743" max="9743" width="0" style="5" hidden="1" customWidth="1"/>
    <col min="9744" max="9744" width="25.4285714285714" style="5" customWidth="1"/>
    <col min="9745" max="9745" width="15" style="5" bestFit="1" customWidth="1"/>
    <col min="9746" max="9984" width="9.14285714285714" style="5"/>
    <col min="9985" max="9985" width="8.14285714285714" style="5" customWidth="1"/>
    <col min="9986" max="9986" width="2.85714285714286" style="5" customWidth="1"/>
    <col min="9987" max="9987" width="5.57142857142857" style="5" customWidth="1"/>
    <col min="9988" max="9988" width="3.42857142857143" style="5" customWidth="1"/>
    <col min="9989" max="9989" width="45.8571428571429" style="5" customWidth="1"/>
    <col min="9990" max="9990" width="3.42857142857143" style="5" customWidth="1"/>
    <col min="9991" max="9991" width="17.1428571428571" style="5" bestFit="1" customWidth="1"/>
    <col min="9992" max="9992" width="3.57142857142857" style="5" customWidth="1"/>
    <col min="9993" max="9993" width="17.8571428571429" style="5" bestFit="1" customWidth="1"/>
    <col min="9994" max="9994" width="3.14285714285714" style="5" customWidth="1"/>
    <col min="9995" max="9995" width="17.8571428571429" style="5" customWidth="1"/>
    <col min="9996" max="9996" width="3.85714285714286" style="5" customWidth="1"/>
    <col min="9997" max="9997" width="19.4285714285714" style="5" bestFit="1" customWidth="1"/>
    <col min="9998" max="9998" width="21.8571428571429" style="5" customWidth="1"/>
    <col min="9999" max="9999" width="0" style="5" hidden="1" customWidth="1"/>
    <col min="10000" max="10000" width="25.4285714285714" style="5" customWidth="1"/>
    <col min="10001" max="10001" width="15" style="5" bestFit="1" customWidth="1"/>
    <col min="10002" max="10240" width="9.14285714285714" style="5"/>
    <col min="10241" max="10241" width="8.14285714285714" style="5" customWidth="1"/>
    <col min="10242" max="10242" width="2.85714285714286" style="5" customWidth="1"/>
    <col min="10243" max="10243" width="5.57142857142857" style="5" customWidth="1"/>
    <col min="10244" max="10244" width="3.42857142857143" style="5" customWidth="1"/>
    <col min="10245" max="10245" width="45.8571428571429" style="5" customWidth="1"/>
    <col min="10246" max="10246" width="3.42857142857143" style="5" customWidth="1"/>
    <col min="10247" max="10247" width="17.1428571428571" style="5" bestFit="1" customWidth="1"/>
    <col min="10248" max="10248" width="3.57142857142857" style="5" customWidth="1"/>
    <col min="10249" max="10249" width="17.8571428571429" style="5" bestFit="1" customWidth="1"/>
    <col min="10250" max="10250" width="3.14285714285714" style="5" customWidth="1"/>
    <col min="10251" max="10251" width="17.8571428571429" style="5" customWidth="1"/>
    <col min="10252" max="10252" width="3.85714285714286" style="5" customWidth="1"/>
    <col min="10253" max="10253" width="19.4285714285714" style="5" bestFit="1" customWidth="1"/>
    <col min="10254" max="10254" width="21.8571428571429" style="5" customWidth="1"/>
    <col min="10255" max="10255" width="0" style="5" hidden="1" customWidth="1"/>
    <col min="10256" max="10256" width="25.4285714285714" style="5" customWidth="1"/>
    <col min="10257" max="10257" width="15" style="5" bestFit="1" customWidth="1"/>
    <col min="10258" max="10496" width="9.14285714285714" style="5"/>
    <col min="10497" max="10497" width="8.14285714285714" style="5" customWidth="1"/>
    <col min="10498" max="10498" width="2.85714285714286" style="5" customWidth="1"/>
    <col min="10499" max="10499" width="5.57142857142857" style="5" customWidth="1"/>
    <col min="10500" max="10500" width="3.42857142857143" style="5" customWidth="1"/>
    <col min="10501" max="10501" width="45.8571428571429" style="5" customWidth="1"/>
    <col min="10502" max="10502" width="3.42857142857143" style="5" customWidth="1"/>
    <col min="10503" max="10503" width="17.1428571428571" style="5" bestFit="1" customWidth="1"/>
    <col min="10504" max="10504" width="3.57142857142857" style="5" customWidth="1"/>
    <col min="10505" max="10505" width="17.8571428571429" style="5" bestFit="1" customWidth="1"/>
    <col min="10506" max="10506" width="3.14285714285714" style="5" customWidth="1"/>
    <col min="10507" max="10507" width="17.8571428571429" style="5" customWidth="1"/>
    <col min="10508" max="10508" width="3.85714285714286" style="5" customWidth="1"/>
    <col min="10509" max="10509" width="19.4285714285714" style="5" bestFit="1" customWidth="1"/>
    <col min="10510" max="10510" width="21.8571428571429" style="5" customWidth="1"/>
    <col min="10511" max="10511" width="0" style="5" hidden="1" customWidth="1"/>
    <col min="10512" max="10512" width="25.4285714285714" style="5" customWidth="1"/>
    <col min="10513" max="10513" width="15" style="5" bestFit="1" customWidth="1"/>
    <col min="10514" max="10752" width="9.14285714285714" style="5"/>
    <col min="10753" max="10753" width="8.14285714285714" style="5" customWidth="1"/>
    <col min="10754" max="10754" width="2.85714285714286" style="5" customWidth="1"/>
    <col min="10755" max="10755" width="5.57142857142857" style="5" customWidth="1"/>
    <col min="10756" max="10756" width="3.42857142857143" style="5" customWidth="1"/>
    <col min="10757" max="10757" width="45.8571428571429" style="5" customWidth="1"/>
    <col min="10758" max="10758" width="3.42857142857143" style="5" customWidth="1"/>
    <col min="10759" max="10759" width="17.1428571428571" style="5" bestFit="1" customWidth="1"/>
    <col min="10760" max="10760" width="3.57142857142857" style="5" customWidth="1"/>
    <col min="10761" max="10761" width="17.8571428571429" style="5" bestFit="1" customWidth="1"/>
    <col min="10762" max="10762" width="3.14285714285714" style="5" customWidth="1"/>
    <col min="10763" max="10763" width="17.8571428571429" style="5" customWidth="1"/>
    <col min="10764" max="10764" width="3.85714285714286" style="5" customWidth="1"/>
    <col min="10765" max="10765" width="19.4285714285714" style="5" bestFit="1" customWidth="1"/>
    <col min="10766" max="10766" width="21.8571428571429" style="5" customWidth="1"/>
    <col min="10767" max="10767" width="0" style="5" hidden="1" customWidth="1"/>
    <col min="10768" max="10768" width="25.4285714285714" style="5" customWidth="1"/>
    <col min="10769" max="10769" width="15" style="5" bestFit="1" customWidth="1"/>
    <col min="10770" max="11008" width="9.14285714285714" style="5"/>
    <col min="11009" max="11009" width="8.14285714285714" style="5" customWidth="1"/>
    <col min="11010" max="11010" width="2.85714285714286" style="5" customWidth="1"/>
    <col min="11011" max="11011" width="5.57142857142857" style="5" customWidth="1"/>
    <col min="11012" max="11012" width="3.42857142857143" style="5" customWidth="1"/>
    <col min="11013" max="11013" width="45.8571428571429" style="5" customWidth="1"/>
    <col min="11014" max="11014" width="3.42857142857143" style="5" customWidth="1"/>
    <col min="11015" max="11015" width="17.1428571428571" style="5" bestFit="1" customWidth="1"/>
    <col min="11016" max="11016" width="3.57142857142857" style="5" customWidth="1"/>
    <col min="11017" max="11017" width="17.8571428571429" style="5" bestFit="1" customWidth="1"/>
    <col min="11018" max="11018" width="3.14285714285714" style="5" customWidth="1"/>
    <col min="11019" max="11019" width="17.8571428571429" style="5" customWidth="1"/>
    <col min="11020" max="11020" width="3.85714285714286" style="5" customWidth="1"/>
    <col min="11021" max="11021" width="19.4285714285714" style="5" bestFit="1" customWidth="1"/>
    <col min="11022" max="11022" width="21.8571428571429" style="5" customWidth="1"/>
    <col min="11023" max="11023" width="0" style="5" hidden="1" customWidth="1"/>
    <col min="11024" max="11024" width="25.4285714285714" style="5" customWidth="1"/>
    <col min="11025" max="11025" width="15" style="5" bestFit="1" customWidth="1"/>
    <col min="11026" max="11264" width="9.14285714285714" style="5"/>
    <col min="11265" max="11265" width="8.14285714285714" style="5" customWidth="1"/>
    <col min="11266" max="11266" width="2.85714285714286" style="5" customWidth="1"/>
    <col min="11267" max="11267" width="5.57142857142857" style="5" customWidth="1"/>
    <col min="11268" max="11268" width="3.42857142857143" style="5" customWidth="1"/>
    <col min="11269" max="11269" width="45.8571428571429" style="5" customWidth="1"/>
    <col min="11270" max="11270" width="3.42857142857143" style="5" customWidth="1"/>
    <col min="11271" max="11271" width="17.1428571428571" style="5" bestFit="1" customWidth="1"/>
    <col min="11272" max="11272" width="3.57142857142857" style="5" customWidth="1"/>
    <col min="11273" max="11273" width="17.8571428571429" style="5" bestFit="1" customWidth="1"/>
    <col min="11274" max="11274" width="3.14285714285714" style="5" customWidth="1"/>
    <col min="11275" max="11275" width="17.8571428571429" style="5" customWidth="1"/>
    <col min="11276" max="11276" width="3.85714285714286" style="5" customWidth="1"/>
    <col min="11277" max="11277" width="19.4285714285714" style="5" bestFit="1" customWidth="1"/>
    <col min="11278" max="11278" width="21.8571428571429" style="5" customWidth="1"/>
    <col min="11279" max="11279" width="0" style="5" hidden="1" customWidth="1"/>
    <col min="11280" max="11280" width="25.4285714285714" style="5" customWidth="1"/>
    <col min="11281" max="11281" width="15" style="5" bestFit="1" customWidth="1"/>
    <col min="11282" max="11520" width="9.14285714285714" style="5"/>
    <col min="11521" max="11521" width="8.14285714285714" style="5" customWidth="1"/>
    <col min="11522" max="11522" width="2.85714285714286" style="5" customWidth="1"/>
    <col min="11523" max="11523" width="5.57142857142857" style="5" customWidth="1"/>
    <col min="11524" max="11524" width="3.42857142857143" style="5" customWidth="1"/>
    <col min="11525" max="11525" width="45.8571428571429" style="5" customWidth="1"/>
    <col min="11526" max="11526" width="3.42857142857143" style="5" customWidth="1"/>
    <col min="11527" max="11527" width="17.1428571428571" style="5" bestFit="1" customWidth="1"/>
    <col min="11528" max="11528" width="3.57142857142857" style="5" customWidth="1"/>
    <col min="11529" max="11529" width="17.8571428571429" style="5" bestFit="1" customWidth="1"/>
    <col min="11530" max="11530" width="3.14285714285714" style="5" customWidth="1"/>
    <col min="11531" max="11531" width="17.8571428571429" style="5" customWidth="1"/>
    <col min="11532" max="11532" width="3.85714285714286" style="5" customWidth="1"/>
    <col min="11533" max="11533" width="19.4285714285714" style="5" bestFit="1" customWidth="1"/>
    <col min="11534" max="11534" width="21.8571428571429" style="5" customWidth="1"/>
    <col min="11535" max="11535" width="0" style="5" hidden="1" customWidth="1"/>
    <col min="11536" max="11536" width="25.4285714285714" style="5" customWidth="1"/>
    <col min="11537" max="11537" width="15" style="5" bestFit="1" customWidth="1"/>
    <col min="11538" max="11776" width="9.14285714285714" style="5"/>
    <col min="11777" max="11777" width="8.14285714285714" style="5" customWidth="1"/>
    <col min="11778" max="11778" width="2.85714285714286" style="5" customWidth="1"/>
    <col min="11779" max="11779" width="5.57142857142857" style="5" customWidth="1"/>
    <col min="11780" max="11780" width="3.42857142857143" style="5" customWidth="1"/>
    <col min="11781" max="11781" width="45.8571428571429" style="5" customWidth="1"/>
    <col min="11782" max="11782" width="3.42857142857143" style="5" customWidth="1"/>
    <col min="11783" max="11783" width="17.1428571428571" style="5" bestFit="1" customWidth="1"/>
    <col min="11784" max="11784" width="3.57142857142857" style="5" customWidth="1"/>
    <col min="11785" max="11785" width="17.8571428571429" style="5" bestFit="1" customWidth="1"/>
    <col min="11786" max="11786" width="3.14285714285714" style="5" customWidth="1"/>
    <col min="11787" max="11787" width="17.8571428571429" style="5" customWidth="1"/>
    <col min="11788" max="11788" width="3.85714285714286" style="5" customWidth="1"/>
    <col min="11789" max="11789" width="19.4285714285714" style="5" bestFit="1" customWidth="1"/>
    <col min="11790" max="11790" width="21.8571428571429" style="5" customWidth="1"/>
    <col min="11791" max="11791" width="0" style="5" hidden="1" customWidth="1"/>
    <col min="11792" max="11792" width="25.4285714285714" style="5" customWidth="1"/>
    <col min="11793" max="11793" width="15" style="5" bestFit="1" customWidth="1"/>
    <col min="11794" max="12032" width="9.14285714285714" style="5"/>
    <col min="12033" max="12033" width="8.14285714285714" style="5" customWidth="1"/>
    <col min="12034" max="12034" width="2.85714285714286" style="5" customWidth="1"/>
    <col min="12035" max="12035" width="5.57142857142857" style="5" customWidth="1"/>
    <col min="12036" max="12036" width="3.42857142857143" style="5" customWidth="1"/>
    <col min="12037" max="12037" width="45.8571428571429" style="5" customWidth="1"/>
    <col min="12038" max="12038" width="3.42857142857143" style="5" customWidth="1"/>
    <col min="12039" max="12039" width="17.1428571428571" style="5" bestFit="1" customWidth="1"/>
    <col min="12040" max="12040" width="3.57142857142857" style="5" customWidth="1"/>
    <col min="12041" max="12041" width="17.8571428571429" style="5" bestFit="1" customWidth="1"/>
    <col min="12042" max="12042" width="3.14285714285714" style="5" customWidth="1"/>
    <col min="12043" max="12043" width="17.8571428571429" style="5" customWidth="1"/>
    <col min="12044" max="12044" width="3.85714285714286" style="5" customWidth="1"/>
    <col min="12045" max="12045" width="19.4285714285714" style="5" bestFit="1" customWidth="1"/>
    <col min="12046" max="12046" width="21.8571428571429" style="5" customWidth="1"/>
    <col min="12047" max="12047" width="0" style="5" hidden="1" customWidth="1"/>
    <col min="12048" max="12048" width="25.4285714285714" style="5" customWidth="1"/>
    <col min="12049" max="12049" width="15" style="5" bestFit="1" customWidth="1"/>
    <col min="12050" max="12288" width="9.14285714285714" style="5"/>
    <col min="12289" max="12289" width="8.14285714285714" style="5" customWidth="1"/>
    <col min="12290" max="12290" width="2.85714285714286" style="5" customWidth="1"/>
    <col min="12291" max="12291" width="5.57142857142857" style="5" customWidth="1"/>
    <col min="12292" max="12292" width="3.42857142857143" style="5" customWidth="1"/>
    <col min="12293" max="12293" width="45.8571428571429" style="5" customWidth="1"/>
    <col min="12294" max="12294" width="3.42857142857143" style="5" customWidth="1"/>
    <col min="12295" max="12295" width="17.1428571428571" style="5" bestFit="1" customWidth="1"/>
    <col min="12296" max="12296" width="3.57142857142857" style="5" customWidth="1"/>
    <col min="12297" max="12297" width="17.8571428571429" style="5" bestFit="1" customWidth="1"/>
    <col min="12298" max="12298" width="3.14285714285714" style="5" customWidth="1"/>
    <col min="12299" max="12299" width="17.8571428571429" style="5" customWidth="1"/>
    <col min="12300" max="12300" width="3.85714285714286" style="5" customWidth="1"/>
    <col min="12301" max="12301" width="19.4285714285714" style="5" bestFit="1" customWidth="1"/>
    <col min="12302" max="12302" width="21.8571428571429" style="5" customWidth="1"/>
    <col min="12303" max="12303" width="0" style="5" hidden="1" customWidth="1"/>
    <col min="12304" max="12304" width="25.4285714285714" style="5" customWidth="1"/>
    <col min="12305" max="12305" width="15" style="5" bestFit="1" customWidth="1"/>
    <col min="12306" max="12544" width="9.14285714285714" style="5"/>
    <col min="12545" max="12545" width="8.14285714285714" style="5" customWidth="1"/>
    <col min="12546" max="12546" width="2.85714285714286" style="5" customWidth="1"/>
    <col min="12547" max="12547" width="5.57142857142857" style="5" customWidth="1"/>
    <col min="12548" max="12548" width="3.42857142857143" style="5" customWidth="1"/>
    <col min="12549" max="12549" width="45.8571428571429" style="5" customWidth="1"/>
    <col min="12550" max="12550" width="3.42857142857143" style="5" customWidth="1"/>
    <col min="12551" max="12551" width="17.1428571428571" style="5" bestFit="1" customWidth="1"/>
    <col min="12552" max="12552" width="3.57142857142857" style="5" customWidth="1"/>
    <col min="12553" max="12553" width="17.8571428571429" style="5" bestFit="1" customWidth="1"/>
    <col min="12554" max="12554" width="3.14285714285714" style="5" customWidth="1"/>
    <col min="12555" max="12555" width="17.8571428571429" style="5" customWidth="1"/>
    <col min="12556" max="12556" width="3.85714285714286" style="5" customWidth="1"/>
    <col min="12557" max="12557" width="19.4285714285714" style="5" bestFit="1" customWidth="1"/>
    <col min="12558" max="12558" width="21.8571428571429" style="5" customWidth="1"/>
    <col min="12559" max="12559" width="0" style="5" hidden="1" customWidth="1"/>
    <col min="12560" max="12560" width="25.4285714285714" style="5" customWidth="1"/>
    <col min="12561" max="12561" width="15" style="5" bestFit="1" customWidth="1"/>
    <col min="12562" max="12800" width="9.14285714285714" style="5"/>
    <col min="12801" max="12801" width="8.14285714285714" style="5" customWidth="1"/>
    <col min="12802" max="12802" width="2.85714285714286" style="5" customWidth="1"/>
    <col min="12803" max="12803" width="5.57142857142857" style="5" customWidth="1"/>
    <col min="12804" max="12804" width="3.42857142857143" style="5" customWidth="1"/>
    <col min="12805" max="12805" width="45.8571428571429" style="5" customWidth="1"/>
    <col min="12806" max="12806" width="3.42857142857143" style="5" customWidth="1"/>
    <col min="12807" max="12807" width="17.1428571428571" style="5" bestFit="1" customWidth="1"/>
    <col min="12808" max="12808" width="3.57142857142857" style="5" customWidth="1"/>
    <col min="12809" max="12809" width="17.8571428571429" style="5" bestFit="1" customWidth="1"/>
    <col min="12810" max="12810" width="3.14285714285714" style="5" customWidth="1"/>
    <col min="12811" max="12811" width="17.8571428571429" style="5" customWidth="1"/>
    <col min="12812" max="12812" width="3.85714285714286" style="5" customWidth="1"/>
    <col min="12813" max="12813" width="19.4285714285714" style="5" bestFit="1" customWidth="1"/>
    <col min="12814" max="12814" width="21.8571428571429" style="5" customWidth="1"/>
    <col min="12815" max="12815" width="0" style="5" hidden="1" customWidth="1"/>
    <col min="12816" max="12816" width="25.4285714285714" style="5" customWidth="1"/>
    <col min="12817" max="12817" width="15" style="5" bestFit="1" customWidth="1"/>
    <col min="12818" max="13056" width="9.14285714285714" style="5"/>
    <col min="13057" max="13057" width="8.14285714285714" style="5" customWidth="1"/>
    <col min="13058" max="13058" width="2.85714285714286" style="5" customWidth="1"/>
    <col min="13059" max="13059" width="5.57142857142857" style="5" customWidth="1"/>
    <col min="13060" max="13060" width="3.42857142857143" style="5" customWidth="1"/>
    <col min="13061" max="13061" width="45.8571428571429" style="5" customWidth="1"/>
    <col min="13062" max="13062" width="3.42857142857143" style="5" customWidth="1"/>
    <col min="13063" max="13063" width="17.1428571428571" style="5" bestFit="1" customWidth="1"/>
    <col min="13064" max="13064" width="3.57142857142857" style="5" customWidth="1"/>
    <col min="13065" max="13065" width="17.8571428571429" style="5" bestFit="1" customWidth="1"/>
    <col min="13066" max="13066" width="3.14285714285714" style="5" customWidth="1"/>
    <col min="13067" max="13067" width="17.8571428571429" style="5" customWidth="1"/>
    <col min="13068" max="13068" width="3.85714285714286" style="5" customWidth="1"/>
    <col min="13069" max="13069" width="19.4285714285714" style="5" bestFit="1" customWidth="1"/>
    <col min="13070" max="13070" width="21.8571428571429" style="5" customWidth="1"/>
    <col min="13071" max="13071" width="0" style="5" hidden="1" customWidth="1"/>
    <col min="13072" max="13072" width="25.4285714285714" style="5" customWidth="1"/>
    <col min="13073" max="13073" width="15" style="5" bestFit="1" customWidth="1"/>
    <col min="13074" max="13312" width="9.14285714285714" style="5"/>
    <col min="13313" max="13313" width="8.14285714285714" style="5" customWidth="1"/>
    <col min="13314" max="13314" width="2.85714285714286" style="5" customWidth="1"/>
    <col min="13315" max="13315" width="5.57142857142857" style="5" customWidth="1"/>
    <col min="13316" max="13316" width="3.42857142857143" style="5" customWidth="1"/>
    <col min="13317" max="13317" width="45.8571428571429" style="5" customWidth="1"/>
    <col min="13318" max="13318" width="3.42857142857143" style="5" customWidth="1"/>
    <col min="13319" max="13319" width="17.1428571428571" style="5" bestFit="1" customWidth="1"/>
    <col min="13320" max="13320" width="3.57142857142857" style="5" customWidth="1"/>
    <col min="13321" max="13321" width="17.8571428571429" style="5" bestFit="1" customWidth="1"/>
    <col min="13322" max="13322" width="3.14285714285714" style="5" customWidth="1"/>
    <col min="13323" max="13323" width="17.8571428571429" style="5" customWidth="1"/>
    <col min="13324" max="13324" width="3.85714285714286" style="5" customWidth="1"/>
    <col min="13325" max="13325" width="19.4285714285714" style="5" bestFit="1" customWidth="1"/>
    <col min="13326" max="13326" width="21.8571428571429" style="5" customWidth="1"/>
    <col min="13327" max="13327" width="0" style="5" hidden="1" customWidth="1"/>
    <col min="13328" max="13328" width="25.4285714285714" style="5" customWidth="1"/>
    <col min="13329" max="13329" width="15" style="5" bestFit="1" customWidth="1"/>
    <col min="13330" max="13568" width="9.14285714285714" style="5"/>
    <col min="13569" max="13569" width="8.14285714285714" style="5" customWidth="1"/>
    <col min="13570" max="13570" width="2.85714285714286" style="5" customWidth="1"/>
    <col min="13571" max="13571" width="5.57142857142857" style="5" customWidth="1"/>
    <col min="13572" max="13572" width="3.42857142857143" style="5" customWidth="1"/>
    <col min="13573" max="13573" width="45.8571428571429" style="5" customWidth="1"/>
    <col min="13574" max="13574" width="3.42857142857143" style="5" customWidth="1"/>
    <col min="13575" max="13575" width="17.1428571428571" style="5" bestFit="1" customWidth="1"/>
    <col min="13576" max="13576" width="3.57142857142857" style="5" customWidth="1"/>
    <col min="13577" max="13577" width="17.8571428571429" style="5" bestFit="1" customWidth="1"/>
    <col min="13578" max="13578" width="3.14285714285714" style="5" customWidth="1"/>
    <col min="13579" max="13579" width="17.8571428571429" style="5" customWidth="1"/>
    <col min="13580" max="13580" width="3.85714285714286" style="5" customWidth="1"/>
    <col min="13581" max="13581" width="19.4285714285714" style="5" bestFit="1" customWidth="1"/>
    <col min="13582" max="13582" width="21.8571428571429" style="5" customWidth="1"/>
    <col min="13583" max="13583" width="0" style="5" hidden="1" customWidth="1"/>
    <col min="13584" max="13584" width="25.4285714285714" style="5" customWidth="1"/>
    <col min="13585" max="13585" width="15" style="5" bestFit="1" customWidth="1"/>
    <col min="13586" max="13824" width="9.14285714285714" style="5"/>
    <col min="13825" max="13825" width="8.14285714285714" style="5" customWidth="1"/>
    <col min="13826" max="13826" width="2.85714285714286" style="5" customWidth="1"/>
    <col min="13827" max="13827" width="5.57142857142857" style="5" customWidth="1"/>
    <col min="13828" max="13828" width="3.42857142857143" style="5" customWidth="1"/>
    <col min="13829" max="13829" width="45.8571428571429" style="5" customWidth="1"/>
    <col min="13830" max="13830" width="3.42857142857143" style="5" customWidth="1"/>
    <col min="13831" max="13831" width="17.1428571428571" style="5" bestFit="1" customWidth="1"/>
    <col min="13832" max="13832" width="3.57142857142857" style="5" customWidth="1"/>
    <col min="13833" max="13833" width="17.8571428571429" style="5" bestFit="1" customWidth="1"/>
    <col min="13834" max="13834" width="3.14285714285714" style="5" customWidth="1"/>
    <col min="13835" max="13835" width="17.8571428571429" style="5" customWidth="1"/>
    <col min="13836" max="13836" width="3.85714285714286" style="5" customWidth="1"/>
    <col min="13837" max="13837" width="19.4285714285714" style="5" bestFit="1" customWidth="1"/>
    <col min="13838" max="13838" width="21.8571428571429" style="5" customWidth="1"/>
    <col min="13839" max="13839" width="0" style="5" hidden="1" customWidth="1"/>
    <col min="13840" max="13840" width="25.4285714285714" style="5" customWidth="1"/>
    <col min="13841" max="13841" width="15" style="5" bestFit="1" customWidth="1"/>
    <col min="13842" max="14080" width="9.14285714285714" style="5"/>
    <col min="14081" max="14081" width="8.14285714285714" style="5" customWidth="1"/>
    <col min="14082" max="14082" width="2.85714285714286" style="5" customWidth="1"/>
    <col min="14083" max="14083" width="5.57142857142857" style="5" customWidth="1"/>
    <col min="14084" max="14084" width="3.42857142857143" style="5" customWidth="1"/>
    <col min="14085" max="14085" width="45.8571428571429" style="5" customWidth="1"/>
    <col min="14086" max="14086" width="3.42857142857143" style="5" customWidth="1"/>
    <col min="14087" max="14087" width="17.1428571428571" style="5" bestFit="1" customWidth="1"/>
    <col min="14088" max="14088" width="3.57142857142857" style="5" customWidth="1"/>
    <col min="14089" max="14089" width="17.8571428571429" style="5" bestFit="1" customWidth="1"/>
    <col min="14090" max="14090" width="3.14285714285714" style="5" customWidth="1"/>
    <col min="14091" max="14091" width="17.8571428571429" style="5" customWidth="1"/>
    <col min="14092" max="14092" width="3.85714285714286" style="5" customWidth="1"/>
    <col min="14093" max="14093" width="19.4285714285714" style="5" bestFit="1" customWidth="1"/>
    <col min="14094" max="14094" width="21.8571428571429" style="5" customWidth="1"/>
    <col min="14095" max="14095" width="0" style="5" hidden="1" customWidth="1"/>
    <col min="14096" max="14096" width="25.4285714285714" style="5" customWidth="1"/>
    <col min="14097" max="14097" width="15" style="5" bestFit="1" customWidth="1"/>
    <col min="14098" max="14336" width="9.14285714285714" style="5"/>
    <col min="14337" max="14337" width="8.14285714285714" style="5" customWidth="1"/>
    <col min="14338" max="14338" width="2.85714285714286" style="5" customWidth="1"/>
    <col min="14339" max="14339" width="5.57142857142857" style="5" customWidth="1"/>
    <col min="14340" max="14340" width="3.42857142857143" style="5" customWidth="1"/>
    <col min="14341" max="14341" width="45.8571428571429" style="5" customWidth="1"/>
    <col min="14342" max="14342" width="3.42857142857143" style="5" customWidth="1"/>
    <col min="14343" max="14343" width="17.1428571428571" style="5" bestFit="1" customWidth="1"/>
    <col min="14344" max="14344" width="3.57142857142857" style="5" customWidth="1"/>
    <col min="14345" max="14345" width="17.8571428571429" style="5" bestFit="1" customWidth="1"/>
    <col min="14346" max="14346" width="3.14285714285714" style="5" customWidth="1"/>
    <col min="14347" max="14347" width="17.8571428571429" style="5" customWidth="1"/>
    <col min="14348" max="14348" width="3.85714285714286" style="5" customWidth="1"/>
    <col min="14349" max="14349" width="19.4285714285714" style="5" bestFit="1" customWidth="1"/>
    <col min="14350" max="14350" width="21.8571428571429" style="5" customWidth="1"/>
    <col min="14351" max="14351" width="0" style="5" hidden="1" customWidth="1"/>
    <col min="14352" max="14352" width="25.4285714285714" style="5" customWidth="1"/>
    <col min="14353" max="14353" width="15" style="5" bestFit="1" customWidth="1"/>
    <col min="14354" max="14592" width="9.14285714285714" style="5"/>
    <col min="14593" max="14593" width="8.14285714285714" style="5" customWidth="1"/>
    <col min="14594" max="14594" width="2.85714285714286" style="5" customWidth="1"/>
    <col min="14595" max="14595" width="5.57142857142857" style="5" customWidth="1"/>
    <col min="14596" max="14596" width="3.42857142857143" style="5" customWidth="1"/>
    <col min="14597" max="14597" width="45.8571428571429" style="5" customWidth="1"/>
    <col min="14598" max="14598" width="3.42857142857143" style="5" customWidth="1"/>
    <col min="14599" max="14599" width="17.1428571428571" style="5" bestFit="1" customWidth="1"/>
    <col min="14600" max="14600" width="3.57142857142857" style="5" customWidth="1"/>
    <col min="14601" max="14601" width="17.8571428571429" style="5" bestFit="1" customWidth="1"/>
    <col min="14602" max="14602" width="3.14285714285714" style="5" customWidth="1"/>
    <col min="14603" max="14603" width="17.8571428571429" style="5" customWidth="1"/>
    <col min="14604" max="14604" width="3.85714285714286" style="5" customWidth="1"/>
    <col min="14605" max="14605" width="19.4285714285714" style="5" bestFit="1" customWidth="1"/>
    <col min="14606" max="14606" width="21.8571428571429" style="5" customWidth="1"/>
    <col min="14607" max="14607" width="0" style="5" hidden="1" customWidth="1"/>
    <col min="14608" max="14608" width="25.4285714285714" style="5" customWidth="1"/>
    <col min="14609" max="14609" width="15" style="5" bestFit="1" customWidth="1"/>
    <col min="14610" max="14848" width="9.14285714285714" style="5"/>
    <col min="14849" max="14849" width="8.14285714285714" style="5" customWidth="1"/>
    <col min="14850" max="14850" width="2.85714285714286" style="5" customWidth="1"/>
    <col min="14851" max="14851" width="5.57142857142857" style="5" customWidth="1"/>
    <col min="14852" max="14852" width="3.42857142857143" style="5" customWidth="1"/>
    <col min="14853" max="14853" width="45.8571428571429" style="5" customWidth="1"/>
    <col min="14854" max="14854" width="3.42857142857143" style="5" customWidth="1"/>
    <col min="14855" max="14855" width="17.1428571428571" style="5" bestFit="1" customWidth="1"/>
    <col min="14856" max="14856" width="3.57142857142857" style="5" customWidth="1"/>
    <col min="14857" max="14857" width="17.8571428571429" style="5" bestFit="1" customWidth="1"/>
    <col min="14858" max="14858" width="3.14285714285714" style="5" customWidth="1"/>
    <col min="14859" max="14859" width="17.8571428571429" style="5" customWidth="1"/>
    <col min="14860" max="14860" width="3.85714285714286" style="5" customWidth="1"/>
    <col min="14861" max="14861" width="19.4285714285714" style="5" bestFit="1" customWidth="1"/>
    <col min="14862" max="14862" width="21.8571428571429" style="5" customWidth="1"/>
    <col min="14863" max="14863" width="0" style="5" hidden="1" customWidth="1"/>
    <col min="14864" max="14864" width="25.4285714285714" style="5" customWidth="1"/>
    <col min="14865" max="14865" width="15" style="5" bestFit="1" customWidth="1"/>
    <col min="14866" max="15104" width="9.14285714285714" style="5"/>
    <col min="15105" max="15105" width="8.14285714285714" style="5" customWidth="1"/>
    <col min="15106" max="15106" width="2.85714285714286" style="5" customWidth="1"/>
    <col min="15107" max="15107" width="5.57142857142857" style="5" customWidth="1"/>
    <col min="15108" max="15108" width="3.42857142857143" style="5" customWidth="1"/>
    <col min="15109" max="15109" width="45.8571428571429" style="5" customWidth="1"/>
    <col min="15110" max="15110" width="3.42857142857143" style="5" customWidth="1"/>
    <col min="15111" max="15111" width="17.1428571428571" style="5" bestFit="1" customWidth="1"/>
    <col min="15112" max="15112" width="3.57142857142857" style="5" customWidth="1"/>
    <col min="15113" max="15113" width="17.8571428571429" style="5" bestFit="1" customWidth="1"/>
    <col min="15114" max="15114" width="3.14285714285714" style="5" customWidth="1"/>
    <col min="15115" max="15115" width="17.8571428571429" style="5" customWidth="1"/>
    <col min="15116" max="15116" width="3.85714285714286" style="5" customWidth="1"/>
    <col min="15117" max="15117" width="19.4285714285714" style="5" bestFit="1" customWidth="1"/>
    <col min="15118" max="15118" width="21.8571428571429" style="5" customWidth="1"/>
    <col min="15119" max="15119" width="0" style="5" hidden="1" customWidth="1"/>
    <col min="15120" max="15120" width="25.4285714285714" style="5" customWidth="1"/>
    <col min="15121" max="15121" width="15" style="5" bestFit="1" customWidth="1"/>
    <col min="15122" max="15360" width="9.14285714285714" style="5"/>
    <col min="15361" max="15361" width="8.14285714285714" style="5" customWidth="1"/>
    <col min="15362" max="15362" width="2.85714285714286" style="5" customWidth="1"/>
    <col min="15363" max="15363" width="5.57142857142857" style="5" customWidth="1"/>
    <col min="15364" max="15364" width="3.42857142857143" style="5" customWidth="1"/>
    <col min="15365" max="15365" width="45.8571428571429" style="5" customWidth="1"/>
    <col min="15366" max="15366" width="3.42857142857143" style="5" customWidth="1"/>
    <col min="15367" max="15367" width="17.1428571428571" style="5" bestFit="1" customWidth="1"/>
    <col min="15368" max="15368" width="3.57142857142857" style="5" customWidth="1"/>
    <col min="15369" max="15369" width="17.8571428571429" style="5" bestFit="1" customWidth="1"/>
    <col min="15370" max="15370" width="3.14285714285714" style="5" customWidth="1"/>
    <col min="15371" max="15371" width="17.8571428571429" style="5" customWidth="1"/>
    <col min="15372" max="15372" width="3.85714285714286" style="5" customWidth="1"/>
    <col min="15373" max="15373" width="19.4285714285714" style="5" bestFit="1" customWidth="1"/>
    <col min="15374" max="15374" width="21.8571428571429" style="5" customWidth="1"/>
    <col min="15375" max="15375" width="0" style="5" hidden="1" customWidth="1"/>
    <col min="15376" max="15376" width="25.4285714285714" style="5" customWidth="1"/>
    <col min="15377" max="15377" width="15" style="5" bestFit="1" customWidth="1"/>
    <col min="15378" max="15616" width="9.14285714285714" style="5"/>
    <col min="15617" max="15617" width="8.14285714285714" style="5" customWidth="1"/>
    <col min="15618" max="15618" width="2.85714285714286" style="5" customWidth="1"/>
    <col min="15619" max="15619" width="5.57142857142857" style="5" customWidth="1"/>
    <col min="15620" max="15620" width="3.42857142857143" style="5" customWidth="1"/>
    <col min="15621" max="15621" width="45.8571428571429" style="5" customWidth="1"/>
    <col min="15622" max="15622" width="3.42857142857143" style="5" customWidth="1"/>
    <col min="15623" max="15623" width="17.1428571428571" style="5" bestFit="1" customWidth="1"/>
    <col min="15624" max="15624" width="3.57142857142857" style="5" customWidth="1"/>
    <col min="15625" max="15625" width="17.8571428571429" style="5" bestFit="1" customWidth="1"/>
    <col min="15626" max="15626" width="3.14285714285714" style="5" customWidth="1"/>
    <col min="15627" max="15627" width="17.8571428571429" style="5" customWidth="1"/>
    <col min="15628" max="15628" width="3.85714285714286" style="5" customWidth="1"/>
    <col min="15629" max="15629" width="19.4285714285714" style="5" bestFit="1" customWidth="1"/>
    <col min="15630" max="15630" width="21.8571428571429" style="5" customWidth="1"/>
    <col min="15631" max="15631" width="0" style="5" hidden="1" customWidth="1"/>
    <col min="15632" max="15632" width="25.4285714285714" style="5" customWidth="1"/>
    <col min="15633" max="15633" width="15" style="5" bestFit="1" customWidth="1"/>
    <col min="15634" max="15872" width="9.14285714285714" style="5"/>
    <col min="15873" max="15873" width="8.14285714285714" style="5" customWidth="1"/>
    <col min="15874" max="15874" width="2.85714285714286" style="5" customWidth="1"/>
    <col min="15875" max="15875" width="5.57142857142857" style="5" customWidth="1"/>
    <col min="15876" max="15876" width="3.42857142857143" style="5" customWidth="1"/>
    <col min="15877" max="15877" width="45.8571428571429" style="5" customWidth="1"/>
    <col min="15878" max="15878" width="3.42857142857143" style="5" customWidth="1"/>
    <col min="15879" max="15879" width="17.1428571428571" style="5" bestFit="1" customWidth="1"/>
    <col min="15880" max="15880" width="3.57142857142857" style="5" customWidth="1"/>
    <col min="15881" max="15881" width="17.8571428571429" style="5" bestFit="1" customWidth="1"/>
    <col min="15882" max="15882" width="3.14285714285714" style="5" customWidth="1"/>
    <col min="15883" max="15883" width="17.8571428571429" style="5" customWidth="1"/>
    <col min="15884" max="15884" width="3.85714285714286" style="5" customWidth="1"/>
    <col min="15885" max="15885" width="19.4285714285714" style="5" bestFit="1" customWidth="1"/>
    <col min="15886" max="15886" width="21.8571428571429" style="5" customWidth="1"/>
    <col min="15887" max="15887" width="0" style="5" hidden="1" customWidth="1"/>
    <col min="15888" max="15888" width="25.4285714285714" style="5" customWidth="1"/>
    <col min="15889" max="15889" width="15" style="5" bestFit="1" customWidth="1"/>
    <col min="15890" max="16128" width="9.14285714285714" style="5"/>
    <col min="16129" max="16129" width="8.14285714285714" style="5" customWidth="1"/>
    <col min="16130" max="16130" width="2.85714285714286" style="5" customWidth="1"/>
    <col min="16131" max="16131" width="5.57142857142857" style="5" customWidth="1"/>
    <col min="16132" max="16132" width="3.42857142857143" style="5" customWidth="1"/>
    <col min="16133" max="16133" width="45.8571428571429" style="5" customWidth="1"/>
    <col min="16134" max="16134" width="3.42857142857143" style="5" customWidth="1"/>
    <col min="16135" max="16135" width="17.1428571428571" style="5" bestFit="1" customWidth="1"/>
    <col min="16136" max="16136" width="3.57142857142857" style="5" customWidth="1"/>
    <col min="16137" max="16137" width="17.8571428571429" style="5" bestFit="1" customWidth="1"/>
    <col min="16138" max="16138" width="3.14285714285714" style="5" customWidth="1"/>
    <col min="16139" max="16139" width="17.8571428571429" style="5" customWidth="1"/>
    <col min="16140" max="16140" width="3.85714285714286" style="5" customWidth="1"/>
    <col min="16141" max="16141" width="19.4285714285714" style="5" bestFit="1" customWidth="1"/>
    <col min="16142" max="16142" width="21.8571428571429" style="5" customWidth="1"/>
    <col min="16143" max="16143" width="0" style="5" hidden="1" customWidth="1"/>
    <col min="16144" max="16144" width="25.4285714285714" style="5" customWidth="1"/>
    <col min="16145" max="16145" width="15" style="5" bestFit="1" customWidth="1"/>
    <col min="16146" max="16384" width="9.14285714285714" style="5"/>
  </cols>
  <sheetData>
    <row r="1" spans="3:15" ht="15">
      <c r="C1" s="45" t="s">
        <v>72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3:15" ht="15">
      <c r="C2" s="45" t="s">
        <v>77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3:15" ht="15">
      <c r="C3" s="45" t="s">
        <v>78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3:15" ht="15">
      <c r="C4" s="46" t="s">
        <v>73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3:15" ht="15">
      <c r="C5" s="46" t="s">
        <v>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3:3" ht="15">
      <c r="C6" s="1"/>
    </row>
    <row r="7" spans="3:3" ht="15">
      <c r="C7" s="1"/>
    </row>
    <row r="8" spans="3:13" ht="15.75">
      <c r="C8" s="23" t="s">
        <v>0</v>
      </c>
      <c r="I8" s="2"/>
      <c r="J8" s="2"/>
      <c r="K8" s="2"/>
      <c r="M8" s="34">
        <v>4764035928.2799997</v>
      </c>
    </row>
    <row r="9" spans="3:17" ht="15">
      <c r="C9" s="23" t="s">
        <v>1</v>
      </c>
      <c r="I9" s="3"/>
      <c r="J9" s="3"/>
      <c r="K9" s="3"/>
      <c r="M9" s="33">
        <v>2227838705.6300001</v>
      </c>
      <c r="P9" s="9"/>
      <c r="Q9" s="19"/>
    </row>
    <row r="10" spans="3:17" ht="15">
      <c r="C10" s="23" t="s">
        <v>2</v>
      </c>
      <c r="I10" s="3"/>
      <c r="J10" s="3"/>
      <c r="K10" s="3"/>
      <c r="M10" s="33">
        <v>1475932111.4200001</v>
      </c>
      <c r="P10" s="9"/>
      <c r="Q10" s="19"/>
    </row>
    <row r="11" spans="3:17" ht="15">
      <c r="C11" s="24" t="s">
        <v>3</v>
      </c>
      <c r="I11" s="3"/>
      <c r="J11" s="3"/>
      <c r="K11" s="3"/>
      <c r="M11" s="33">
        <v>41275820.060000002</v>
      </c>
      <c r="P11" s="9"/>
      <c r="Q11" s="19"/>
    </row>
    <row r="12" spans="3:17" ht="15">
      <c r="C12" s="23" t="s">
        <v>4</v>
      </c>
      <c r="I12" s="3"/>
      <c r="J12" s="3"/>
      <c r="K12" s="3"/>
      <c r="M12" s="33">
        <v>-20475713.000000004</v>
      </c>
      <c r="P12" s="9"/>
      <c r="Q12" s="19"/>
    </row>
    <row r="13" spans="3:17" ht="15">
      <c r="C13" s="23" t="s">
        <v>5</v>
      </c>
      <c r="I13" s="3"/>
      <c r="J13" s="3"/>
      <c r="K13" s="3"/>
      <c r="M13" s="33">
        <v>77125797.929999992</v>
      </c>
      <c r="P13" s="9"/>
      <c r="Q13" s="19"/>
    </row>
    <row r="14" spans="3:17" ht="15">
      <c r="C14" s="23" t="s">
        <v>6</v>
      </c>
      <c r="I14" s="3"/>
      <c r="J14" s="3"/>
      <c r="K14" s="3"/>
      <c r="M14" s="33">
        <v>292.47999999999996</v>
      </c>
      <c r="P14" s="9"/>
      <c r="Q14" s="19"/>
    </row>
    <row r="15" spans="3:17" ht="15">
      <c r="C15" s="23" t="s">
        <v>7</v>
      </c>
      <c r="I15" s="3"/>
      <c r="J15" s="3"/>
      <c r="K15" s="3"/>
      <c r="M15" s="33">
        <v>-453.10000000000002</v>
      </c>
      <c r="P15" s="9"/>
      <c r="Q15" s="19"/>
    </row>
    <row r="16" spans="3:17" ht="15">
      <c r="C16" s="23" t="s">
        <v>8</v>
      </c>
      <c r="D16" s="5" t="s">
        <v>9</v>
      </c>
      <c r="I16" s="3"/>
      <c r="J16" s="3"/>
      <c r="K16" s="3"/>
      <c r="M16" s="33">
        <v>731597198.15999997</v>
      </c>
      <c r="P16" s="9"/>
      <c r="Q16" s="19"/>
    </row>
    <row r="17" spans="3:17" ht="15">
      <c r="C17" s="23" t="s">
        <v>10</v>
      </c>
      <c r="I17" s="3"/>
      <c r="J17" s="3"/>
      <c r="K17" s="3"/>
      <c r="M17" s="33">
        <v>147879220.59</v>
      </c>
      <c r="P17" s="9"/>
      <c r="Q17" s="19"/>
    </row>
    <row r="18" spans="3:17" ht="15">
      <c r="C18" s="23" t="s">
        <v>11</v>
      </c>
      <c r="D18" s="5" t="s">
        <v>12</v>
      </c>
      <c r="I18" s="3"/>
      <c r="J18" s="3"/>
      <c r="K18" s="3"/>
      <c r="M18" s="33">
        <v>2270929.9700000002</v>
      </c>
      <c r="P18" s="9"/>
      <c r="Q18" s="19"/>
    </row>
    <row r="19" spans="3:17" ht="15">
      <c r="C19" s="23" t="s">
        <v>13</v>
      </c>
      <c r="D19" s="5" t="s">
        <v>14</v>
      </c>
      <c r="I19" s="3"/>
      <c r="J19" s="3"/>
      <c r="K19" s="3"/>
      <c r="M19" s="33">
        <v>20787528.239999998</v>
      </c>
      <c r="P19" s="9"/>
      <c r="Q19" s="19"/>
    </row>
    <row r="20" spans="3:17" ht="15">
      <c r="C20" s="24" t="s">
        <v>15</v>
      </c>
      <c r="D20" s="5" t="s">
        <v>16</v>
      </c>
      <c r="I20" s="3"/>
      <c r="J20" s="3"/>
      <c r="K20" s="3"/>
      <c r="M20" s="33">
        <v>-11126625.629999999</v>
      </c>
      <c r="P20" s="9"/>
      <c r="Q20" s="19"/>
    </row>
    <row r="21" spans="3:17" ht="15">
      <c r="C21" s="24" t="s">
        <v>15</v>
      </c>
      <c r="D21" s="5" t="s">
        <v>17</v>
      </c>
      <c r="I21" s="3"/>
      <c r="J21" s="3"/>
      <c r="K21" s="3"/>
      <c r="M21" s="33">
        <v>-3756986.1799999997</v>
      </c>
      <c r="P21" s="9"/>
      <c r="Q21" s="19"/>
    </row>
    <row r="22" spans="3:17" ht="15">
      <c r="C22" s="24" t="s">
        <v>18</v>
      </c>
      <c r="D22" s="5" t="s">
        <v>19</v>
      </c>
      <c r="I22" s="3"/>
      <c r="J22" s="3"/>
      <c r="K22" s="3"/>
      <c r="M22" s="33">
        <v>3756986.1799999997</v>
      </c>
      <c r="P22" s="9"/>
      <c r="Q22" s="19"/>
    </row>
    <row r="23" spans="9:17" ht="6.75" customHeight="1">
      <c r="I23" s="3"/>
      <c r="J23" s="3"/>
      <c r="K23" s="3"/>
      <c r="M23" s="4"/>
      <c r="P23" s="9"/>
      <c r="Q23" s="19"/>
    </row>
    <row r="24" spans="3:16" ht="15">
      <c r="C24" s="5" t="s">
        <v>20</v>
      </c>
      <c r="I24" s="3"/>
      <c r="J24" s="3"/>
      <c r="K24" s="3"/>
      <c r="M24" s="35">
        <f>M8-SUM(M9:M22)</f>
        <v>70931115.529999733</v>
      </c>
      <c r="P24" s="9"/>
    </row>
    <row r="25" spans="9:16" ht="15">
      <c r="I25" s="3"/>
      <c r="J25" s="3"/>
      <c r="K25" s="3"/>
      <c r="M25" s="4"/>
      <c r="P25" s="25"/>
    </row>
    <row r="26" spans="9:13" ht="15">
      <c r="I26" s="5" t="s">
        <v>21</v>
      </c>
      <c r="M26" s="12"/>
    </row>
    <row r="27" spans="13:13" ht="15">
      <c r="M27" s="4"/>
    </row>
    <row r="28" spans="7:14" ht="15">
      <c r="G28" s="7" t="s">
        <v>75</v>
      </c>
      <c r="H28" s="7"/>
      <c r="I28" s="7" t="s">
        <v>22</v>
      </c>
      <c r="J28" s="7"/>
      <c r="K28" s="7" t="s">
        <v>74</v>
      </c>
      <c r="L28" s="7"/>
      <c r="M28" s="7"/>
      <c r="N28" s="7"/>
    </row>
    <row r="29" spans="1:14" ht="15">
      <c r="A29" s="26" t="s">
        <v>24</v>
      </c>
      <c r="C29" s="26" t="s">
        <v>25</v>
      </c>
      <c r="D29" s="26"/>
      <c r="E29" s="26"/>
      <c r="G29" s="22" t="s">
        <v>26</v>
      </c>
      <c r="H29" s="7"/>
      <c r="I29" s="22" t="s">
        <v>26</v>
      </c>
      <c r="J29" s="22"/>
      <c r="K29" s="22" t="s">
        <v>26</v>
      </c>
      <c r="L29" s="7"/>
      <c r="M29" s="22" t="s">
        <v>27</v>
      </c>
      <c r="N29" s="7"/>
    </row>
    <row r="30" spans="1:14" ht="15">
      <c r="A30" s="15"/>
      <c r="C30" s="15"/>
      <c r="D30" s="15"/>
      <c r="E30" s="15"/>
      <c r="G30" s="27"/>
      <c r="H30" s="7"/>
      <c r="I30" s="27"/>
      <c r="J30" s="27"/>
      <c r="K30" s="27"/>
      <c r="L30" s="7"/>
      <c r="M30" s="27"/>
      <c r="N30" s="7"/>
    </row>
    <row r="31" spans="1:17" ht="15.75">
      <c r="A31" s="7">
        <v>450</v>
      </c>
      <c r="C31" s="5" t="s">
        <v>28</v>
      </c>
      <c r="G31" s="34"/>
      <c r="H31" s="34"/>
      <c r="I31" s="34">
        <v>1070706.0600000001</v>
      </c>
      <c r="J31" s="34"/>
      <c r="K31" s="34">
        <v>0</v>
      </c>
      <c r="L31" s="34"/>
      <c r="M31" s="34">
        <f>G31+I31+K31</f>
        <v>1070706.0600000001</v>
      </c>
      <c r="P31" s="9"/>
      <c r="Q31" s="12"/>
    </row>
    <row r="32" spans="1:17" ht="15">
      <c r="A32" s="7">
        <v>451</v>
      </c>
      <c r="C32" s="5" t="s">
        <v>29</v>
      </c>
      <c r="G32" s="33"/>
      <c r="H32" s="33"/>
      <c r="I32" s="33">
        <v>20397856.600000001</v>
      </c>
      <c r="J32" s="33"/>
      <c r="K32" s="33">
        <v>0</v>
      </c>
      <c r="L32" s="33"/>
      <c r="M32" s="33">
        <f>G32+I32+K32</f>
        <v>20397856.600000001</v>
      </c>
      <c r="P32" s="9"/>
      <c r="Q32" s="12"/>
    </row>
    <row r="33" spans="1:17" ht="15">
      <c r="A33" s="7">
        <v>451</v>
      </c>
      <c r="C33" s="5" t="s">
        <v>30</v>
      </c>
      <c r="G33" s="33"/>
      <c r="H33" s="33"/>
      <c r="I33" s="33">
        <v>456565.46000000002</v>
      </c>
      <c r="J33" s="33"/>
      <c r="K33" s="33">
        <v>0</v>
      </c>
      <c r="L33" s="33"/>
      <c r="M33" s="33">
        <f>G33+I33+K33</f>
        <v>456565.46000000002</v>
      </c>
      <c r="P33" s="9"/>
      <c r="Q33" s="12"/>
    </row>
    <row r="34" spans="1:16" ht="6.75" customHeight="1">
      <c r="A34" s="7"/>
      <c r="G34" s="33"/>
      <c r="H34" s="33"/>
      <c r="I34" s="33"/>
      <c r="J34" s="33"/>
      <c r="K34" s="33"/>
      <c r="L34" s="33"/>
      <c r="M34" s="33"/>
      <c r="P34" s="9"/>
    </row>
    <row r="35" spans="1:17" ht="15">
      <c r="A35" s="7">
        <v>454</v>
      </c>
      <c r="C35" s="5" t="s">
        <v>31</v>
      </c>
      <c r="G35" s="33"/>
      <c r="H35" s="33"/>
      <c r="I35" s="33">
        <v>8281656.0099999998</v>
      </c>
      <c r="J35" s="33"/>
      <c r="K35" s="33">
        <v>0</v>
      </c>
      <c r="L35" s="33"/>
      <c r="M35" s="33">
        <f>G35+I35+K35</f>
        <v>8281656.0099999998</v>
      </c>
      <c r="P35" s="9"/>
      <c r="Q35" s="12"/>
    </row>
    <row r="36" spans="1:17" ht="15">
      <c r="A36" s="7"/>
      <c r="C36" s="5" t="s">
        <v>32</v>
      </c>
      <c r="G36" s="33">
        <v>961339</v>
      </c>
      <c r="H36" s="33"/>
      <c r="I36" s="33">
        <v>1059910.96</v>
      </c>
      <c r="J36" s="33"/>
      <c r="K36" s="33">
        <v>0</v>
      </c>
      <c r="L36" s="33"/>
      <c r="M36" s="33">
        <f>G36+I36+K36</f>
        <v>2021249.96</v>
      </c>
      <c r="P36" s="25"/>
      <c r="Q36" s="12"/>
    </row>
    <row r="37" spans="1:16" ht="15">
      <c r="A37" s="7"/>
      <c r="C37" s="5" t="s">
        <v>33</v>
      </c>
      <c r="G37" s="33"/>
      <c r="H37" s="33"/>
      <c r="I37" s="33"/>
      <c r="J37" s="33"/>
      <c r="K37" s="33"/>
      <c r="L37" s="33"/>
      <c r="M37" s="33"/>
      <c r="P37" s="9"/>
    </row>
    <row r="38" spans="1:16" ht="15">
      <c r="A38" s="7"/>
      <c r="C38" s="5" t="s">
        <v>85</v>
      </c>
      <c r="G38" s="33">
        <v>14538318.33</v>
      </c>
      <c r="H38" s="33"/>
      <c r="I38" s="33">
        <v>16700</v>
      </c>
      <c r="J38" s="33"/>
      <c r="K38" s="33">
        <v>0</v>
      </c>
      <c r="L38" s="33"/>
      <c r="M38" s="33">
        <f t="shared" si="0" ref="M38:M44">G38+I38+K38</f>
        <v>14555018.33</v>
      </c>
      <c r="P38" s="9"/>
    </row>
    <row r="39" spans="1:16" ht="15">
      <c r="A39" s="7"/>
      <c r="C39" s="5" t="s">
        <v>86</v>
      </c>
      <c r="G39" s="33">
        <v>616896.12000000011</v>
      </c>
      <c r="H39" s="33"/>
      <c r="I39" s="33">
        <v>0</v>
      </c>
      <c r="J39" s="33"/>
      <c r="K39" s="33">
        <v>0</v>
      </c>
      <c r="L39" s="33"/>
      <c r="M39" s="33">
        <f t="shared" si="0"/>
        <v>616896.12000000011</v>
      </c>
      <c r="P39" s="12"/>
    </row>
    <row r="40" spans="1:16" ht="15">
      <c r="A40" s="7"/>
      <c r="C40" s="5" t="s">
        <v>34</v>
      </c>
      <c r="G40" s="33">
        <v>305804.40000000002</v>
      </c>
      <c r="H40" s="33"/>
      <c r="I40" s="33">
        <v>0</v>
      </c>
      <c r="J40" s="33"/>
      <c r="K40" s="33">
        <v>0</v>
      </c>
      <c r="L40" s="33"/>
      <c r="M40" s="33">
        <f t="shared" si="0"/>
        <v>305804.40000000002</v>
      </c>
      <c r="P40" s="12"/>
    </row>
    <row r="41" spans="1:16" ht="15">
      <c r="A41" s="7"/>
      <c r="C41" s="5" t="s">
        <v>35</v>
      </c>
      <c r="G41" s="33">
        <v>49531.110000000001</v>
      </c>
      <c r="H41" s="33"/>
      <c r="I41" s="33">
        <v>0</v>
      </c>
      <c r="J41" s="33"/>
      <c r="K41" s="33">
        <v>0</v>
      </c>
      <c r="L41" s="33"/>
      <c r="M41" s="33">
        <f t="shared" si="0"/>
        <v>49531.110000000001</v>
      </c>
      <c r="P41" s="12"/>
    </row>
    <row r="42" spans="1:17" ht="15.75">
      <c r="A42" s="7"/>
      <c r="D42" s="5" t="s">
        <v>36</v>
      </c>
      <c r="G42" s="35">
        <f>SUM(G38:G41)</f>
        <v>15510549.959999999</v>
      </c>
      <c r="I42" s="35">
        <f>SUM(I38:I41)</f>
        <v>16700</v>
      </c>
      <c r="J42" s="10"/>
      <c r="K42" s="35">
        <f>SUM(K38:K41)</f>
        <v>0</v>
      </c>
      <c r="L42" s="8"/>
      <c r="M42" s="35">
        <f t="shared" si="0"/>
        <v>15527249.959999999</v>
      </c>
      <c r="Q42" s="12"/>
    </row>
    <row r="43" spans="1:17" ht="15.75">
      <c r="A43" s="7">
        <v>454</v>
      </c>
      <c r="C43" s="5" t="s">
        <v>37</v>
      </c>
      <c r="G43" s="35">
        <f>G40</f>
        <v>305804.40000000002</v>
      </c>
      <c r="I43" s="35">
        <v>0</v>
      </c>
      <c r="J43" s="10"/>
      <c r="K43" s="35">
        <v>0</v>
      </c>
      <c r="L43" s="8"/>
      <c r="M43" s="35">
        <f t="shared" si="0"/>
        <v>305804.40000000002</v>
      </c>
      <c r="P43" s="19"/>
      <c r="Q43" s="12"/>
    </row>
    <row r="44" spans="1:17" ht="15.75">
      <c r="A44" s="7"/>
      <c r="D44" s="5" t="s">
        <v>38</v>
      </c>
      <c r="G44" s="35">
        <f>G35+G36+G42-G43</f>
        <v>16166084.559999999</v>
      </c>
      <c r="I44" s="35">
        <f>I42+I36+I35</f>
        <v>9358266.9699999988</v>
      </c>
      <c r="J44" s="10"/>
      <c r="K44" s="35">
        <v>0</v>
      </c>
      <c r="L44" s="8"/>
      <c r="M44" s="35">
        <f t="shared" si="0"/>
        <v>25524351.529999997</v>
      </c>
      <c r="P44" s="19"/>
      <c r="Q44" s="19"/>
    </row>
    <row r="45" spans="1:13" ht="6.75" customHeight="1">
      <c r="A45" s="7"/>
      <c r="I45" s="6"/>
      <c r="J45" s="6"/>
      <c r="K45" s="6"/>
      <c r="L45" s="8"/>
      <c r="M45" s="6"/>
    </row>
    <row r="46" spans="1:17" ht="15.75">
      <c r="A46" s="7"/>
      <c r="G46" s="6"/>
      <c r="I46" s="6"/>
      <c r="J46" s="6"/>
      <c r="K46" s="6"/>
      <c r="L46" s="8"/>
      <c r="M46" s="6"/>
      <c r="Q46" s="12"/>
    </row>
    <row r="47" spans="1:13" ht="15.75">
      <c r="A47" s="7"/>
      <c r="G47" s="12"/>
      <c r="I47" s="6"/>
      <c r="J47" s="6"/>
      <c r="K47" s="6"/>
      <c r="L47" s="8"/>
      <c r="M47" s="6"/>
    </row>
    <row r="48" spans="1:13" ht="15.75">
      <c r="A48" s="7">
        <v>456</v>
      </c>
      <c r="C48" s="5" t="s">
        <v>39</v>
      </c>
      <c r="G48" s="13"/>
      <c r="I48" s="6"/>
      <c r="J48" s="6"/>
      <c r="K48" s="6"/>
      <c r="L48" s="8"/>
      <c r="M48" s="6"/>
    </row>
    <row r="49" spans="1:13" ht="15.75">
      <c r="A49" s="7"/>
      <c r="C49" s="5" t="s">
        <v>40</v>
      </c>
      <c r="G49" s="34">
        <v>276972.58999999997</v>
      </c>
      <c r="H49" s="34"/>
      <c r="I49" s="34">
        <v>0</v>
      </c>
      <c r="J49" s="34"/>
      <c r="K49" s="34">
        <v>0</v>
      </c>
      <c r="L49" s="34"/>
      <c r="M49" s="34">
        <f t="shared" si="1" ref="M49:M59">G49+I49+K49</f>
        <v>276972.58999999997</v>
      </c>
    </row>
    <row r="50" spans="1:13" ht="15.75">
      <c r="A50" s="7"/>
      <c r="C50" s="5" t="s">
        <v>41</v>
      </c>
      <c r="G50" s="36">
        <v>52028.950000000652</v>
      </c>
      <c r="H50" s="33"/>
      <c r="I50" s="36">
        <v>176504.89999999999</v>
      </c>
      <c r="J50" s="36"/>
      <c r="K50" s="36">
        <v>0</v>
      </c>
      <c r="L50" s="33"/>
      <c r="M50" s="36">
        <f t="shared" si="1"/>
        <v>228533.85000000065</v>
      </c>
    </row>
    <row r="51" spans="1:13" ht="15.75">
      <c r="A51" s="7"/>
      <c r="C51" s="5" t="s">
        <v>42</v>
      </c>
      <c r="G51" s="36">
        <v>708438.56000000006</v>
      </c>
      <c r="H51" s="33"/>
      <c r="I51" s="36">
        <v>5189025.3199999994</v>
      </c>
      <c r="J51" s="36"/>
      <c r="K51" s="36">
        <v>0</v>
      </c>
      <c r="L51" s="33"/>
      <c r="M51" s="36">
        <f t="shared" si="1"/>
        <v>5897463.879999999</v>
      </c>
    </row>
    <row r="52" spans="1:13" ht="15.75">
      <c r="A52" s="7"/>
      <c r="C52" s="5" t="s">
        <v>43</v>
      </c>
      <c r="G52" s="36">
        <v>885186.68999999994</v>
      </c>
      <c r="H52" s="33"/>
      <c r="I52" s="36">
        <v>0</v>
      </c>
      <c r="J52" s="36"/>
      <c r="K52" s="36">
        <v>176004.75999999998</v>
      </c>
      <c r="L52" s="33"/>
      <c r="M52" s="36">
        <f t="shared" si="1"/>
        <v>1061191.45</v>
      </c>
    </row>
    <row r="53" spans="1:13" ht="15.75">
      <c r="A53" s="7"/>
      <c r="C53" s="5" t="s">
        <v>44</v>
      </c>
      <c r="G53" s="36">
        <v>13296.930000000002</v>
      </c>
      <c r="H53" s="33"/>
      <c r="I53" s="36">
        <v>0</v>
      </c>
      <c r="J53" s="36"/>
      <c r="K53" s="36">
        <v>2810.04</v>
      </c>
      <c r="L53" s="33"/>
      <c r="M53" s="36">
        <f t="shared" si="1"/>
        <v>16106.970000000001</v>
      </c>
    </row>
    <row r="54" spans="1:13" ht="15.75">
      <c r="A54" s="7"/>
      <c r="C54" s="5" t="s">
        <v>45</v>
      </c>
      <c r="G54" s="36">
        <v>296911.68000000005</v>
      </c>
      <c r="H54" s="33"/>
      <c r="I54" s="36">
        <v>0</v>
      </c>
      <c r="J54" s="36"/>
      <c r="K54" s="36">
        <v>58947.090000000004</v>
      </c>
      <c r="L54" s="33"/>
      <c r="M54" s="36">
        <f t="shared" si="1"/>
        <v>355858.77000000008</v>
      </c>
    </row>
    <row r="55" spans="1:13" ht="15.75">
      <c r="A55" s="7"/>
      <c r="C55" s="5" t="s">
        <v>46</v>
      </c>
      <c r="G55" s="36">
        <v>1041200.8799999999</v>
      </c>
      <c r="H55" s="33"/>
      <c r="I55" s="36">
        <v>329941.59999999998</v>
      </c>
      <c r="J55" s="36"/>
      <c r="K55" s="36">
        <v>1564.81</v>
      </c>
      <c r="L55" s="33"/>
      <c r="M55" s="36">
        <f t="shared" si="1"/>
        <v>1372707.29</v>
      </c>
    </row>
    <row r="56" spans="1:13" ht="15.75">
      <c r="A56" s="7"/>
      <c r="C56" s="5" t="s">
        <v>47</v>
      </c>
      <c r="G56" s="36">
        <v>9283183.1999999993</v>
      </c>
      <c r="H56" s="33"/>
      <c r="I56" s="36">
        <v>0</v>
      </c>
      <c r="J56" s="36"/>
      <c r="K56" s="36">
        <v>0</v>
      </c>
      <c r="L56" s="33"/>
      <c r="M56" s="36">
        <f t="shared" si="1"/>
        <v>9283183.1999999993</v>
      </c>
    </row>
    <row r="57" spans="1:13" ht="15.75">
      <c r="A57" s="7"/>
      <c r="C57" s="5" t="s">
        <v>48</v>
      </c>
      <c r="G57" s="36">
        <v>542796.19000000006</v>
      </c>
      <c r="H57" s="33"/>
      <c r="I57" s="36">
        <v>0</v>
      </c>
      <c r="J57" s="36"/>
      <c r="K57" s="36">
        <v>0</v>
      </c>
      <c r="L57" s="33"/>
      <c r="M57" s="36">
        <f t="shared" si="1"/>
        <v>542796.19000000006</v>
      </c>
    </row>
    <row r="58" spans="1:13" ht="15.75">
      <c r="A58" s="7"/>
      <c r="C58" s="5" t="s">
        <v>49</v>
      </c>
      <c r="G58" s="36">
        <v>0</v>
      </c>
      <c r="H58" s="33"/>
      <c r="I58" s="36">
        <v>177840.74999999997</v>
      </c>
      <c r="J58" s="36"/>
      <c r="K58" s="36">
        <v>0</v>
      </c>
      <c r="L58" s="33"/>
      <c r="M58" s="36">
        <f t="shared" si="1"/>
        <v>177840.74999999997</v>
      </c>
    </row>
    <row r="59" spans="1:17" ht="15.75">
      <c r="A59" s="7"/>
      <c r="D59" s="5" t="s">
        <v>50</v>
      </c>
      <c r="G59" s="35">
        <f>SUM(G49:G58)</f>
        <v>13100015.67</v>
      </c>
      <c r="I59" s="35">
        <f>SUM(I49:I58)</f>
        <v>5873312.5699999994</v>
      </c>
      <c r="J59" s="10"/>
      <c r="K59" s="35">
        <f>SUM(K49:K58)</f>
        <v>239326.69999999998</v>
      </c>
      <c r="L59" s="8"/>
      <c r="M59" s="35">
        <f t="shared" si="1"/>
        <v>19212654.939999998</v>
      </c>
      <c r="P59" s="19"/>
      <c r="Q59" s="12"/>
    </row>
    <row r="60" spans="1:17" ht="15.75">
      <c r="A60" s="7">
        <v>456</v>
      </c>
      <c r="C60" s="5" t="s">
        <v>51</v>
      </c>
      <c r="G60" s="35">
        <f>G56</f>
        <v>9283183.1999999993</v>
      </c>
      <c r="I60" s="35">
        <v>0</v>
      </c>
      <c r="J60" s="10"/>
      <c r="K60" s="35">
        <v>0</v>
      </c>
      <c r="L60" s="8"/>
      <c r="M60" s="35">
        <f>SUM(G60:I60)</f>
        <v>9283183.1999999993</v>
      </c>
      <c r="Q60" s="12"/>
    </row>
    <row r="61" spans="1:17" ht="15.75">
      <c r="A61" s="7"/>
      <c r="G61" s="35">
        <f>G59-G60</f>
        <v>3816832.4700000007</v>
      </c>
      <c r="I61" s="35">
        <f>I59-I60</f>
        <v>5873312.5699999994</v>
      </c>
      <c r="J61" s="14"/>
      <c r="K61" s="35">
        <f>K59-K60</f>
        <v>239326.69999999998</v>
      </c>
      <c r="L61" s="8"/>
      <c r="M61" s="35">
        <f>M59-M60</f>
        <v>9929471.7399999984</v>
      </c>
      <c r="P61" s="9"/>
      <c r="Q61" s="12"/>
    </row>
    <row r="62" spans="1:13" ht="6.75" customHeight="1">
      <c r="A62" s="7"/>
      <c r="G62" s="10"/>
      <c r="I62" s="6"/>
      <c r="J62" s="10"/>
      <c r="K62" s="6"/>
      <c r="L62" s="8"/>
      <c r="M62" s="6"/>
    </row>
    <row r="63" spans="1:13" ht="15.75">
      <c r="A63" s="7"/>
      <c r="C63" s="5" t="s">
        <v>52</v>
      </c>
      <c r="G63" s="10"/>
      <c r="H63" s="15"/>
      <c r="I63" s="10"/>
      <c r="J63" s="10"/>
      <c r="K63" s="10"/>
      <c r="L63" s="28"/>
      <c r="M63" s="6"/>
    </row>
    <row r="64" spans="1:13" ht="15.75">
      <c r="A64" s="7"/>
      <c r="C64" s="5" t="s">
        <v>53</v>
      </c>
      <c r="G64" s="34">
        <v>3847141.7499999995</v>
      </c>
      <c r="H64" s="34"/>
      <c r="I64" s="34">
        <v>0</v>
      </c>
      <c r="J64" s="34"/>
      <c r="K64" s="34">
        <v>0</v>
      </c>
      <c r="L64" s="34"/>
      <c r="M64" s="34">
        <f>G64+I64</f>
        <v>3847141.7499999995</v>
      </c>
    </row>
    <row r="65" spans="1:13" ht="15.75">
      <c r="A65" s="7"/>
      <c r="C65" s="5" t="s">
        <v>54</v>
      </c>
      <c r="G65" s="36">
        <v>9315022.3900000006</v>
      </c>
      <c r="H65" s="36"/>
      <c r="I65" s="36">
        <v>390000</v>
      </c>
      <c r="J65" s="36"/>
      <c r="K65" s="36">
        <v>0</v>
      </c>
      <c r="L65" s="36"/>
      <c r="M65" s="36">
        <f>G65+I65</f>
        <v>9705022.3900000006</v>
      </c>
    </row>
    <row r="66" spans="1:17" ht="15.75">
      <c r="A66" s="7"/>
      <c r="D66" s="5" t="s">
        <v>55</v>
      </c>
      <c r="G66" s="35">
        <f>SUM(G64:G65)</f>
        <v>13162164.140000001</v>
      </c>
      <c r="H66" s="15"/>
      <c r="I66" s="35">
        <f>SUM(I64:I65)</f>
        <v>390000</v>
      </c>
      <c r="J66" s="10"/>
      <c r="K66" s="35">
        <f>SUM(K64:K65)</f>
        <v>0</v>
      </c>
      <c r="L66" s="28"/>
      <c r="M66" s="35">
        <f>G66+I66</f>
        <v>13552164.140000001</v>
      </c>
      <c r="Q66" s="12"/>
    </row>
    <row r="67" spans="1:13" ht="3.75" customHeight="1">
      <c r="A67" s="7"/>
      <c r="G67" s="11"/>
      <c r="H67" s="15"/>
      <c r="I67" s="11"/>
      <c r="J67" s="10"/>
      <c r="K67" s="10"/>
      <c r="L67" s="28"/>
      <c r="M67" s="11"/>
    </row>
    <row r="68" spans="1:13" ht="15.75">
      <c r="A68" s="7"/>
      <c r="D68" s="5" t="s">
        <v>56</v>
      </c>
      <c r="G68" s="35">
        <f>G66+G61</f>
        <v>16978996.609999999</v>
      </c>
      <c r="H68" s="15"/>
      <c r="I68" s="35">
        <f>I66+I61</f>
        <v>6263312.5699999994</v>
      </c>
      <c r="J68" s="14"/>
      <c r="K68" s="35">
        <f>K66+K61</f>
        <v>239326.69999999998</v>
      </c>
      <c r="L68" s="28"/>
      <c r="M68" s="35">
        <f>G68+I68+K68</f>
        <v>23481635.879999999</v>
      </c>
    </row>
    <row r="69" spans="9:14" ht="6.75" customHeight="1">
      <c r="I69" s="6"/>
      <c r="J69" s="6"/>
      <c r="K69" s="6"/>
      <c r="M69" s="6"/>
      <c r="N69" s="15"/>
    </row>
    <row r="70" spans="4:15" ht="15.75" thickBot="1">
      <c r="D70" s="5" t="s">
        <v>57</v>
      </c>
      <c r="G70" s="37">
        <f>G31+G32+G33+G44+G68</f>
        <v>33145081.169999998</v>
      </c>
      <c r="I70" s="37">
        <f>I31+I32+I33+I44+I68</f>
        <v>37546707.659999996</v>
      </c>
      <c r="J70" s="16"/>
      <c r="K70" s="37">
        <f>K31+K32+K33+K44+K68</f>
        <v>239326.69999999998</v>
      </c>
      <c r="M70" s="38">
        <f>M31+M32+M33+M44+M68</f>
        <v>70931115.530000001</v>
      </c>
      <c r="O70" s="17"/>
    </row>
    <row r="71" spans="7:15" ht="4.5" customHeight="1" thickTop="1">
      <c r="G71" s="16"/>
      <c r="I71" s="10"/>
      <c r="J71" s="10"/>
      <c r="K71" s="10"/>
      <c r="M71" s="16"/>
      <c r="O71" s="17"/>
    </row>
    <row r="72" spans="9:15" ht="15.75">
      <c r="I72" s="6"/>
      <c r="J72" s="6"/>
      <c r="K72" s="6"/>
      <c r="M72" s="4"/>
      <c r="O72" s="17"/>
    </row>
    <row r="73" spans="5:15" ht="15.75">
      <c r="E73" s="5" t="s">
        <v>76</v>
      </c>
      <c r="G73" s="34">
        <f>+G40+G56</f>
        <v>9588987.5999999996</v>
      </c>
      <c r="H73" s="34"/>
      <c r="I73" s="34"/>
      <c r="J73" s="34"/>
      <c r="K73" s="34"/>
      <c r="L73" s="34"/>
      <c r="M73" s="39">
        <f>SUM(G73:K73)</f>
        <v>9588987.5999999996</v>
      </c>
      <c r="O73" s="17"/>
    </row>
    <row r="74" spans="3:15" ht="16.5" thickBot="1">
      <c r="C74" s="5" t="s">
        <v>81</v>
      </c>
      <c r="G74" s="34"/>
      <c r="H74" s="34"/>
      <c r="I74" s="34"/>
      <c r="J74" s="34"/>
      <c r="K74" s="34"/>
      <c r="L74" s="34"/>
      <c r="M74" s="38">
        <f>M73+M70</f>
        <v>80520103.129999995</v>
      </c>
      <c r="O74" s="17"/>
    </row>
    <row r="75" spans="5:15" ht="18" thickTop="1">
      <c r="E75" s="18"/>
      <c r="G75" s="12"/>
      <c r="I75" s="6"/>
      <c r="J75" s="6"/>
      <c r="K75" s="6"/>
      <c r="M75" s="4"/>
      <c r="O75" s="17"/>
    </row>
    <row r="76" spans="7:15" ht="15.75">
      <c r="G76" s="19"/>
      <c r="I76" s="6"/>
      <c r="J76" s="6"/>
      <c r="K76" s="6"/>
      <c r="M76" s="4"/>
      <c r="O76" s="17"/>
    </row>
    <row r="77" spans="3:13" ht="15">
      <c r="C77" s="29" t="s">
        <v>87</v>
      </c>
      <c r="D77" s="29"/>
      <c r="E77" s="29"/>
      <c r="G77" s="30" t="s">
        <v>58</v>
      </c>
      <c r="H77" s="30"/>
      <c r="I77" s="30" t="s">
        <v>22</v>
      </c>
      <c r="J77" s="30"/>
      <c r="K77" s="30" t="s">
        <v>23</v>
      </c>
      <c r="M77" s="30" t="s">
        <v>59</v>
      </c>
    </row>
    <row r="78" spans="5:16" ht="15.75">
      <c r="E78" s="20" t="s">
        <v>61</v>
      </c>
      <c r="G78" s="34">
        <v>-52028.950000000652</v>
      </c>
      <c r="H78" s="34"/>
      <c r="I78" s="34">
        <v>-176504.89999999999</v>
      </c>
      <c r="J78" s="34"/>
      <c r="K78" s="34"/>
      <c r="L78" s="34"/>
      <c r="M78" s="34">
        <f>G78+I78+K78</f>
        <v>-228533.85000000065</v>
      </c>
      <c r="N78" s="31" t="s">
        <v>60</v>
      </c>
      <c r="P78" s="4"/>
    </row>
    <row r="79" spans="5:14" ht="15.75">
      <c r="E79" s="5" t="s">
        <v>63</v>
      </c>
      <c r="G79" s="36">
        <v>101558.97</v>
      </c>
      <c r="H79" s="36"/>
      <c r="I79" s="36"/>
      <c r="J79" s="36"/>
      <c r="K79" s="36"/>
      <c r="L79" s="36"/>
      <c r="M79" s="36">
        <f>K79+I79+G79</f>
        <v>101558.97</v>
      </c>
      <c r="N79" s="31" t="s">
        <v>62</v>
      </c>
    </row>
    <row r="80" spans="5:14" ht="15.75">
      <c r="E80" s="20" t="s">
        <v>65</v>
      </c>
      <c r="G80" s="36">
        <v>409.25999999999993</v>
      </c>
      <c r="H80" s="36"/>
      <c r="I80" s="36"/>
      <c r="J80" s="36"/>
      <c r="K80" s="36"/>
      <c r="L80" s="36"/>
      <c r="M80" s="36">
        <f>K80+I80+G80</f>
        <v>409.25999999999993</v>
      </c>
      <c r="N80" s="31" t="s">
        <v>62</v>
      </c>
    </row>
    <row r="81" spans="5:14" ht="15.75">
      <c r="E81" s="20" t="s">
        <v>70</v>
      </c>
      <c r="G81" s="36"/>
      <c r="H81" s="36"/>
      <c r="I81" s="36">
        <v>17616778</v>
      </c>
      <c r="J81" s="36"/>
      <c r="K81" s="36"/>
      <c r="L81" s="36"/>
      <c r="M81" s="36">
        <f>+I81</f>
        <v>17616778</v>
      </c>
      <c r="N81" s="31" t="s">
        <v>67</v>
      </c>
    </row>
    <row r="82" spans="5:14" ht="15.75">
      <c r="E82" s="20" t="s">
        <v>71</v>
      </c>
      <c r="G82" s="44"/>
      <c r="H82" s="36"/>
      <c r="I82" s="44">
        <v>2070646.8399999999</v>
      </c>
      <c r="J82" s="36"/>
      <c r="K82" s="44"/>
      <c r="L82" s="36"/>
      <c r="M82" s="36">
        <f>+I82</f>
        <v>2070646.8399999999</v>
      </c>
      <c r="N82" s="31" t="s">
        <v>64</v>
      </c>
    </row>
    <row r="83" spans="5:14" ht="15.75" thickBot="1">
      <c r="E83" s="20" t="s">
        <v>80</v>
      </c>
      <c r="G83" s="21"/>
      <c r="H83" s="21"/>
      <c r="I83" s="21"/>
      <c r="J83" s="21"/>
      <c r="K83" s="21"/>
      <c r="L83" s="21"/>
      <c r="M83" s="38">
        <f>SUM(M78:M82)</f>
        <v>19560859.219999999</v>
      </c>
      <c r="N83" s="31"/>
    </row>
    <row r="84" spans="5:14" ht="15.75" thickTop="1">
      <c r="E84" s="20"/>
      <c r="G84" s="21"/>
      <c r="H84" s="21"/>
      <c r="I84" s="21"/>
      <c r="J84" s="21"/>
      <c r="K84" s="21"/>
      <c r="L84" s="21"/>
      <c r="M84" s="21"/>
      <c r="N84" s="31"/>
    </row>
    <row r="85" spans="3:14" s="40" customFormat="1" ht="15">
      <c r="C85" s="41" t="s">
        <v>79</v>
      </c>
      <c r="D85" s="41"/>
      <c r="E85" s="41"/>
      <c r="G85" s="42">
        <f>G70+G73+SUM(G78:G82)</f>
        <v>42784008.049999997</v>
      </c>
      <c r="H85" s="42"/>
      <c r="I85" s="42">
        <f>I70+I73+SUM(I78:I82)</f>
        <v>57057627.599999994</v>
      </c>
      <c r="J85" s="42"/>
      <c r="K85" s="42">
        <f>K70+K73+SUM(K78:K82)</f>
        <v>239326.69999999998</v>
      </c>
      <c r="L85" s="42"/>
      <c r="M85" s="42">
        <f>M73+M83</f>
        <v>29149846.82</v>
      </c>
      <c r="N85" s="43"/>
    </row>
    <row r="86" spans="5:5" ht="15">
      <c r="E86" s="32" t="s">
        <v>66</v>
      </c>
    </row>
    <row r="87" spans="5:13" ht="15" customHeight="1">
      <c r="E87" s="31" t="s">
        <v>60</v>
      </c>
      <c r="F87" s="47" t="s">
        <v>68</v>
      </c>
      <c r="G87" s="47"/>
      <c r="H87" s="47"/>
      <c r="I87" s="47"/>
      <c r="M87" s="19"/>
    </row>
    <row r="88" spans="5:6" ht="15">
      <c r="E88" s="31" t="s">
        <v>62</v>
      </c>
      <c r="F88" s="5" t="s">
        <v>69</v>
      </c>
    </row>
    <row r="89" spans="5:6" ht="15">
      <c r="E89" s="31" t="s">
        <v>67</v>
      </c>
      <c r="F89" s="5" t="s">
        <v>82</v>
      </c>
    </row>
    <row r="90" spans="5:6" ht="15">
      <c r="E90" s="31" t="s">
        <v>64</v>
      </c>
      <c r="F90" s="5" t="s">
        <v>83</v>
      </c>
    </row>
  </sheetData>
  <mergeCells count="6">
    <mergeCell ref="C2:O2"/>
    <mergeCell ref="C3:O3"/>
    <mergeCell ref="C4:O4"/>
    <mergeCell ref="F87:I87"/>
    <mergeCell ref="C1:O1"/>
    <mergeCell ref="C5:O5"/>
  </mergeCells>
  <pageMargins left="1.5" right="0.5" top="1.25" bottom="0.5" header="1" footer="0.3"/>
  <pageSetup orientation="portrait" scale="46" r:id="rId1"/>
  <headerFooter>
    <oddHeader>&amp;R&amp;"-,Bold"WP/II-E-5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 of other revenues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