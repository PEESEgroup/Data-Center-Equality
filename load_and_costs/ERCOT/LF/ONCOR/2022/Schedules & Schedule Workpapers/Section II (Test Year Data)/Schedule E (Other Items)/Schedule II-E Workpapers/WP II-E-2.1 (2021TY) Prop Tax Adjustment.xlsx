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ection II (Test Year Data)\Schedule E (Other Items)\Schedule II-E Workpapers\"/>
    </mc:Choice>
  </mc:AlternateContent>
  <bookViews>
    <workbookView xWindow="480" yWindow="285" windowWidth="19950" windowHeight="7860" activeTab="0"/>
  </bookViews>
  <sheets>
    <sheet name="Prop Tax Estimate (WP1)" sheetId="1" r:id="rId2"/>
    <sheet name="Book Plant Bals (WP1)" sheetId="2" r:id="rId3"/>
    <sheet name="Ad Valorem Exp by Month (WP2)" sheetId="3" r:id="rId4"/>
  </sheets>
  <externalReferences>
    <externalReference r:id="rId7"/>
  </externalReferences>
  <definedNames>
    <definedName name="_xlnm.Print_Area" localSheetId="1">'Book Plant Bals (WP1)'!$A$1:$F$40</definedName>
  </definedNames>
  <calcPr calcId="152511"/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<sst xmlns="http://schemas.openxmlformats.org/spreadsheetml/2006/main" count="100" uniqueCount="86">
  <si>
    <t>Percentage of Total Taxable Value</t>
  </si>
  <si>
    <t>To Adjust Discount</t>
  </si>
  <si>
    <t>Tax Expense, excl NUP</t>
  </si>
  <si>
    <t>Tax Expense, excl PPA</t>
  </si>
  <si>
    <t>NUP % of total</t>
  </si>
  <si>
    <t>Taxable Value (owned), excl NUP</t>
  </si>
  <si>
    <t>At Market Value</t>
  </si>
  <si>
    <t>Acct 121</t>
  </si>
  <si>
    <t>Non-Utility Plant</t>
  </si>
  <si>
    <t>Total Taxable Value (owned)</t>
  </si>
  <si>
    <t>*Values above do not include non-utility plant</t>
  </si>
  <si>
    <t>Net Tax Expense</t>
  </si>
  <si>
    <t>Discount</t>
  </si>
  <si>
    <t>Tax, before discount</t>
  </si>
  <si>
    <t>Effective Tax Rate</t>
  </si>
  <si>
    <t>Taxable Value (owned)</t>
  </si>
  <si>
    <t>Net Utility Plant</t>
  </si>
  <si>
    <t>Increase</t>
  </si>
  <si>
    <t>Value Factor</t>
  </si>
  <si>
    <t>Source</t>
  </si>
  <si>
    <t>Taxable Value</t>
  </si>
  <si>
    <t>Taxable</t>
  </si>
  <si>
    <t>Net Plant</t>
  </si>
  <si>
    <t>Less:  Non-utility Plant</t>
  </si>
  <si>
    <t>Less:  Prior Period Adjustments</t>
  </si>
  <si>
    <t>Total Ad Valorem Tax Expense (4082602)</t>
  </si>
  <si>
    <t>Total Taxable Value, excl NUP</t>
  </si>
  <si>
    <t>Taxable Value (leased)</t>
  </si>
  <si>
    <t>Less Non-utility plant</t>
  </si>
  <si>
    <t>Book to Taxable Value % (owned)</t>
  </si>
  <si>
    <t>Non-utility Plant (excluded)</t>
  </si>
  <si>
    <t>Net plant subject to ad valorem taxes</t>
  </si>
  <si>
    <t>Gross plant subject to ad valorem taxes</t>
  </si>
  <si>
    <t>Materials &amp; Supplies</t>
  </si>
  <si>
    <t>New CWIP (exclude replacements)</t>
  </si>
  <si>
    <t xml:space="preserve">Utility plant, less accumulated depreciation  </t>
  </si>
  <si>
    <t xml:space="preserve">Less accumulated depreciation  </t>
  </si>
  <si>
    <t>Property, plant and equipment</t>
  </si>
  <si>
    <t>Beginning Balance for</t>
  </si>
  <si>
    <t>Total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</si>
  <si>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</si>
  <si>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</si>
  <si>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</si>
  <si>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</si>
  <si>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</si>
  <si>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</si>
  <si>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</si>
  <si>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</si>
  <si>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</si>
  <si>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</si>
  <si>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</si>
  <si>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</si>
  <si>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(c)</t>
  </si>
  <si>
    <t>(b)</t>
  </si>
  <si>
    <t>(a)</t>
  </si>
  <si>
    <t>FERC Account</t>
  </si>
  <si>
    <t>Expense</t>
  </si>
  <si>
    <t>Month</t>
  </si>
  <si>
    <t>Line No</t>
  </si>
  <si>
    <t>SPONSOR: B. L. CLUTTER</t>
  </si>
  <si>
    <t>AD VALOREM TAX EXPENSE BY MONTH</t>
  </si>
  <si>
    <t>ONCOR ELECTRIC DELIVERY COMPANY LLC</t>
  </si>
  <si>
    <t>ESTIMATED AD VALOREM TAX EXPENSE ON TEST YEAR NET UTILITY PLANT</t>
  </si>
  <si>
    <t xml:space="preserve"> </t>
  </si>
  <si>
    <t>Tax Expense</t>
  </si>
  <si>
    <t>REQUESTED AD VALOREM TAX EXPENSE ON TEST YEAR NET UTILITY PLANT</t>
  </si>
  <si>
    <t>II-B-5,6,11</t>
  </si>
  <si>
    <t>Tax Expense on NUP</t>
  </si>
  <si>
    <t>Ad Valorem Tax Expense (owned)</t>
  </si>
  <si>
    <t>TY2017</t>
  </si>
  <si>
    <t>TY2018</t>
  </si>
  <si>
    <t>TY2019</t>
  </si>
  <si>
    <t>TY2020</t>
  </si>
  <si>
    <t>Less:  TY2019 NTU</t>
  </si>
  <si>
    <t>YE2020</t>
  </si>
  <si>
    <t>V-Tax, TPT</t>
  </si>
  <si>
    <t>TPT</t>
  </si>
  <si>
    <t>2022 RATE CASE</t>
  </si>
  <si>
    <t>TEST YEAR ENDING DECEMBER 31, 2021</t>
  </si>
  <si>
    <t>TY2021</t>
  </si>
  <si>
    <t>YE2021</t>
  </si>
  <si>
    <t>Tax Year 2021</t>
  </si>
  <si>
    <t>Tax Year 2022</t>
  </si>
  <si>
    <t>Discount on 2021 taxes paid</t>
  </si>
  <si>
    <t>Discount on 2022 tax due</t>
  </si>
  <si>
    <t>To Remove NUP from 2021 Taxable Value and Tax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</si>
</sst>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,_);[Red]\(#,##0,\)"/>
    <numFmt numFmtId="166" formatCode="[Blue]#,##0,_);[Red]\(#,##0,\)"/>
    <numFmt numFmtId="167" formatCode="0.0000%"/>
    <numFmt numFmtId="168" formatCode="_(* #,##0.0000_);_(* \(#,##0.0000\);_(* &quot;-&quot;??_);_(@_)"/>
  </numFmts>
  <fonts count="1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color indexed="62"/>
      <name val="Arial"/>
      <family val="2"/>
    </font>
    <font>
      <sz val="10"/>
      <name val="Arial"/>
      <family val="2"/>
    </font>
    <font>
      <sz val="8"/>
      <color indexed="62"/>
      <name val="Arial"/>
      <family val="2"/>
    </font>
    <font>
      <sz val="8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8"/>
      <color indexed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b/>
      <sz val="10"/>
      <name val="MS Sans Serif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45"/>
      </bottom>
    </border>
    <border>
      <left style="thin">
        <color auto="1"/>
      </left>
      <right style="thin">
        <color auto="1"/>
      </right>
      <top/>
      <bottom/>
    </border>
    <border>
      <left/>
      <right/>
      <top/>
      <bottom style="thin">
        <color indexed="45"/>
      </bottom>
    </border>
    <border>
      <left/>
      <right/>
      <top style="medium">
        <color indexed="45"/>
      </top>
      <bottom/>
    </border>
    <border>
      <left/>
      <right/>
      <top/>
      <bottom style="double">
        <color indexed="45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</borders>
  <cellStyleXfs count="4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6" fillId="2" borderId="0" applyFill="0" applyBorder="0" applyProtection="0">
      <alignment horizontal="right"/>
    </xf>
    <xf numFmtId="0" fontId="7" fillId="0" borderId="0" applyNumberFormat="0" applyFill="0" applyBorder="0" applyAlignment="0" applyProtection="0"/>
    <xf numFmtId="0" fontId="7" fillId="0" borderId="0">
      <alignment/>
      <protection/>
    </xf>
    <xf numFmtId="43" fontId="8" fillId="0" borderId="0">
      <alignment/>
      <protection/>
    </xf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6" fontId="12" fillId="0" borderId="0">
      <alignment/>
      <protection/>
    </xf>
    <xf numFmtId="0" fontId="13" fillId="0" borderId="1" applyNumberFormat="0" applyAlignment="0" applyProtection="0"/>
    <xf numFmtId="0" fontId="14" fillId="3" borderId="0" applyNumberFormat="0" applyFont="0" applyBorder="0" applyAlignment="0" applyProtection="0"/>
    <xf numFmtId="0" fontId="9" fillId="4" borderId="2" applyNumberFormat="0" applyFont="0" applyBorder="0" applyProtection="0">
      <alignment/>
    </xf>
    <xf numFmtId="0" fontId="9" fillId="5" borderId="2" applyNumberFormat="0" applyFont="0" applyBorder="0" applyProtection="0">
      <alignment/>
    </xf>
    <xf numFmtId="0" fontId="14" fillId="0" borderId="3" applyNumberFormat="0" applyAlignment="0" applyProtection="0"/>
    <xf numFmtId="0" fontId="14" fillId="0" borderId="4" applyNumberFormat="0" applyAlignment="0" applyProtection="0"/>
    <xf numFmtId="0" fontId="13" fillId="0" borderId="5" applyNumberFormat="0" applyAlignment="0" applyProtection="0"/>
    <xf numFmtId="9" fontId="7" fillId="0" borderId="0" applyFont="0" applyFill="0" applyBorder="0" applyAlignment="0" applyProtection="0"/>
    <xf numFmtId="0" fontId="15" fillId="0" borderId="0" applyNumberFormat="0" applyFont="0" applyFill="0" applyBorder="0" applyProtection="0">
      <alignment/>
    </xf>
    <xf numFmtId="15" fontId="15" fillId="0" borderId="0" applyFont="0" applyFill="0" applyBorder="0" applyAlignment="0" applyProtection="0"/>
    <xf numFmtId="4" fontId="15" fillId="0" borderId="0" applyFont="0" applyFill="0" applyBorder="0" applyAlignment="0" applyProtection="0"/>
    <xf numFmtId="0" fontId="16" fillId="0" borderId="6">
      <alignment horizontal="center"/>
      <protection/>
    </xf>
    <xf numFmtId="3" fontId="15" fillId="0" borderId="0" applyFont="0" applyFill="0" applyBorder="0" applyAlignment="0" applyProtection="0"/>
    <xf numFmtId="0" fontId="15" fillId="6" borderId="0" applyNumberFormat="0" applyFont="0" applyBorder="0" applyAlignment="0" applyProtection="0"/>
  </cellStyleXfs>
  <cellXfs count="68">
    <xf numFmtId="0" fontId="0" fillId="0" borderId="0" xfId="0"/>
    <xf numFmtId="0" fontId="3" fillId="0" borderId="0" xfId="0" applyFont="1"/>
    <xf numFmtId="164" fontId="0" fillId="0" borderId="0" xfId="0" applyNumberFormat="1"/>
    <xf numFmtId="0" fontId="3" fillId="0" borderId="0" xfId="0" applyFont="1" applyAlignment="1">
      <alignment horizontal="center"/>
    </xf>
    <xf numFmtId="0" fontId="0" fillId="0" borderId="7" xfId="0" applyFill="1" applyBorder="1"/>
    <xf numFmtId="0" fontId="3" fillId="0" borderId="8" xfId="0" applyFont="1" applyFill="1" applyBorder="1"/>
    <xf numFmtId="0" fontId="2" fillId="0" borderId="9" xfId="0" applyFont="1" applyFill="1" applyBorder="1"/>
    <xf numFmtId="164" fontId="0" fillId="0" borderId="0" xfId="18" applyNumberFormat="1" applyFont="1"/>
    <xf numFmtId="164" fontId="0" fillId="0" borderId="0" xfId="18" applyNumberFormat="1" applyFont="1" applyFill="1"/>
    <xf numFmtId="0" fontId="2" fillId="0" borderId="7" xfId="0" applyFont="1" applyFill="1" applyBorder="1"/>
    <xf numFmtId="0" fontId="4" fillId="0" borderId="8" xfId="0" applyFont="1" applyFill="1" applyBorder="1"/>
    <xf numFmtId="0" fontId="5" fillId="0" borderId="0" xfId="0" applyFont="1"/>
    <xf numFmtId="10" fontId="0" fillId="0" borderId="0" xfId="15" applyNumberFormat="1" applyFont="1"/>
    <xf numFmtId="9" fontId="0" fillId="0" borderId="0" xfId="15" applyFont="1" applyFill="1" applyAlignment="1">
      <alignment horizontal="center"/>
    </xf>
    <xf numFmtId="0" fontId="0" fillId="0" borderId="10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/>
    <xf numFmtId="43" fontId="0" fillId="0" borderId="0" xfId="0" applyNumberFormat="1"/>
    <xf numFmtId="43" fontId="0" fillId="0" borderId="0" xfId="18" applyFont="1"/>
    <xf numFmtId="10" fontId="2" fillId="0" borderId="0" xfId="15" applyNumberFormat="1" applyFont="1"/>
    <xf numFmtId="164" fontId="0" fillId="0" borderId="10" xfId="18" applyNumberFormat="1" applyFont="1" applyBorder="1"/>
    <xf numFmtId="164" fontId="0" fillId="0" borderId="0" xfId="18" applyNumberFormat="1" applyFont="1" applyFill="1" applyBorder="1"/>
    <xf numFmtId="164" fontId="0" fillId="0" borderId="0" xfId="18" applyNumberFormat="1" applyFont="1" applyBorder="1"/>
    <xf numFmtId="164" fontId="0" fillId="0" borderId="8" xfId="0" applyNumberFormat="1" applyFont="1" applyBorder="1"/>
    <xf numFmtId="0" fontId="0" fillId="0" borderId="0" xfId="0" applyFont="1"/>
    <xf numFmtId="164" fontId="0" fillId="0" borderId="0" xfId="0" applyNumberFormat="1" applyFont="1"/>
    <xf numFmtId="164" fontId="0" fillId="0" borderId="10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Fill="1"/>
    <xf numFmtId="164" fontId="2" fillId="0" borderId="0" xfId="0" applyNumberFormat="1" applyFont="1" applyFill="1"/>
    <xf numFmtId="164" fontId="2" fillId="0" borderId="0" xfId="18" applyNumberFormat="1" applyFont="1" applyFill="1"/>
    <xf numFmtId="0" fontId="7" fillId="0" borderId="0" xfId="22" applyFont="1">
      <alignment/>
      <protection/>
    </xf>
    <xf numFmtId="164" fontId="7" fillId="0" borderId="0" xfId="22" applyNumberFormat="1" applyFont="1">
      <alignment/>
      <protection/>
    </xf>
    <xf numFmtId="0" fontId="7" fillId="0" borderId="0" xfId="22" applyFont="1" applyAlignment="1">
      <alignment horizontal="center"/>
      <protection/>
    </xf>
    <xf numFmtId="164" fontId="7" fillId="0" borderId="0" xfId="25" applyNumberFormat="1" applyFont="1"/>
    <xf numFmtId="0" fontId="7" fillId="0" borderId="0" xfId="22" applyFont="1" applyBorder="1" applyAlignment="1">
      <alignment horizontal="center"/>
      <protection/>
    </xf>
    <xf numFmtId="0" fontId="11" fillId="0" borderId="0" xfId="22" applyFont="1" applyBorder="1" applyAlignment="1">
      <alignment horizontal="center"/>
      <protection/>
    </xf>
    <xf numFmtId="0" fontId="11" fillId="0" borderId="10" xfId="22" applyFont="1" applyBorder="1" applyAlignment="1">
      <alignment horizontal="center"/>
      <protection/>
    </xf>
    <xf numFmtId="0" fontId="11" fillId="0" borderId="0" xfId="22" applyFont="1" applyAlignment="1">
      <alignment/>
      <protection/>
    </xf>
    <xf numFmtId="164" fontId="0" fillId="0" borderId="0" xfId="0" applyNumberFormat="1" applyFill="1" applyBorder="1"/>
    <xf numFmtId="0" fontId="10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41" fontId="0" fillId="0" borderId="0" xfId="19" applyFont="1"/>
    <xf numFmtId="41" fontId="0" fillId="0" borderId="0" xfId="0" applyNumberFormat="1"/>
    <xf numFmtId="9" fontId="0" fillId="0" borderId="0" xfId="15" applyNumberFormat="1" applyFont="1" applyFill="1" applyAlignment="1">
      <alignment horizontal="center"/>
    </xf>
    <xf numFmtId="9" fontId="3" fillId="0" borderId="0" xfId="15" applyFont="1"/>
    <xf numFmtId="41" fontId="0" fillId="0" borderId="0" xfId="19" applyFont="1" applyFill="1"/>
    <xf numFmtId="167" fontId="0" fillId="0" borderId="0" xfId="15" applyNumberFormat="1" applyFont="1"/>
    <xf numFmtId="0" fontId="0" fillId="0" borderId="10" xfId="0" applyFill="1" applyBorder="1" applyAlignment="1">
      <alignment horizontal="center"/>
    </xf>
    <xf numFmtId="167" fontId="0" fillId="0" borderId="0" xfId="15" applyNumberFormat="1" applyFont="1" applyFill="1"/>
    <xf numFmtId="0" fontId="17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164" fontId="0" fillId="0" borderId="0" xfId="0" applyNumberFormat="1" applyFill="1"/>
    <xf numFmtId="164" fontId="0" fillId="0" borderId="10" xfId="0" applyNumberFormat="1" applyFill="1" applyBorder="1"/>
    <xf numFmtId="0" fontId="0" fillId="0" borderId="0" xfId="0" applyFill="1"/>
    <xf numFmtId="164" fontId="0" fillId="0" borderId="0" xfId="0" applyNumberFormat="1" applyFont="1" applyFill="1"/>
    <xf numFmtId="164" fontId="0" fillId="0" borderId="10" xfId="18" applyNumberFormat="1" applyFont="1" applyFill="1" applyBorder="1"/>
    <xf numFmtId="164" fontId="0" fillId="0" borderId="8" xfId="0" applyNumberFormat="1" applyFont="1" applyFill="1" applyBorder="1"/>
    <xf numFmtId="43" fontId="0" fillId="0" borderId="0" xfId="18" applyFont="1" applyFill="1"/>
    <xf numFmtId="10" fontId="2" fillId="0" borderId="0" xfId="15" applyNumberFormat="1" applyFont="1" applyFill="1"/>
    <xf numFmtId="3" fontId="0" fillId="0" borderId="0" xfId="0" applyNumberFormat="1" applyFill="1"/>
    <xf numFmtId="164" fontId="0" fillId="0" borderId="0" xfId="15" applyNumberFormat="1" applyFont="1"/>
    <xf numFmtId="168" fontId="0" fillId="0" borderId="0" xfId="0" applyNumberFormat="1"/>
    <xf numFmtId="0" fontId="11" fillId="0" borderId="0" xfId="22" applyFont="1" applyAlignment="1">
      <alignment horizontal="center"/>
      <protection/>
    </xf>
  </cellXfs>
  <cellStyles count="2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Currency 2" xfId="21"/>
    <cellStyle name="Normal 2" xfId="22"/>
    <cellStyle name="nPlosion" xfId="23"/>
    <cellStyle name="Report" xfId="24"/>
    <cellStyle name="Comma 3" xfId="25"/>
    <cellStyle name="CommaRounded" xfId="26"/>
    <cellStyle name="nvision" xfId="27"/>
    <cellStyle name="PB Table Heading" xfId="28"/>
    <cellStyle name="PB Table Highlight1" xfId="29"/>
    <cellStyle name="PB Table Highlight2" xfId="30"/>
    <cellStyle name="PB Table Highlight3" xfId="31"/>
    <cellStyle name="PB Table Standard Row" xfId="32"/>
    <cellStyle name="PB Table Subtotal Row" xfId="33"/>
    <cellStyle name="PB Table Total Row" xfId="34"/>
    <cellStyle name="Percent 2" xfId="35"/>
    <cellStyle name="PSChar" xfId="36"/>
    <cellStyle name="PSDate" xfId="37"/>
    <cellStyle name="PSDec" xfId="38"/>
    <cellStyle name="PSHeading" xfId="39"/>
    <cellStyle name="PSInt" xfId="40"/>
    <cellStyle name="PSSpacer" xfId="4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alcChain" Target="calcChain.xml" /><Relationship Id="rId4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3" Type="http://schemas.openxmlformats.org/officeDocument/2006/relationships/worksheet" Target="worksheets/sheet2.xml" /><Relationship Id="rId7" Type="http://schemas.openxmlformats.org/officeDocument/2006/relationships/externalLink" Target="externalLinks/externalLink1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ection%20II%20(Test%20Year%20Data)/Schedule%20B%20(Rate%20Base)/Schedule%20II-B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nk Sheet"/>
      <sheetName val="II-B"/>
      <sheetName val="II-B-1"/>
      <sheetName val="II-B-1a"/>
      <sheetName val="II-B-2"/>
      <sheetName val="II-B-3"/>
      <sheetName val="II-B-4"/>
      <sheetName val="II-B-5"/>
      <sheetName val="II-B-6"/>
      <sheetName val="II-B-7"/>
      <sheetName val="II-B-8"/>
      <sheetName val="II-B-9"/>
      <sheetName val="II-B-10"/>
      <sheetName val="II-B-11"/>
      <sheetName val="II-B-12"/>
      <sheetName val="II-B-13"/>
      <sheetName val="II-B-14"/>
      <sheetName val="II-B-14 Attachment 1"/>
      <sheetName val="II-B-15A"/>
      <sheetName val="II-B-15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88">
          <cell r="I88">
            <v>20471787882.4</v>
          </cell>
        </row>
      </sheetData>
      <sheetData sheetId="8">
        <row r="20">
          <cell r="I20">
            <v>23215047.5</v>
          </cell>
        </row>
      </sheetData>
      <sheetData sheetId="9"/>
      <sheetData sheetId="10"/>
      <sheetData sheetId="11"/>
      <sheetData sheetId="12"/>
      <sheetData sheetId="13">
        <row r="17">
          <cell r="I17">
            <v>720667.52</v>
          </cell>
        </row>
        <row r="18">
          <cell r="I18">
            <v>-2266260.54</v>
          </cell>
        </row>
        <row r="19">
          <cell r="I19">
            <v>23452667.34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tabColor rgb="FF92D050"/>
    <pageSetUpPr fitToPage="1"/>
  </sheetPr>
  <dimension ref="A1:L37"/>
  <sheetViews>
    <sheetView tabSelected="1" workbookViewId="0" topLeftCell="A1">
      <selection pane="topLeft" activeCell="A7" sqref="A7"/>
    </sheetView>
  </sheetViews>
  <sheetFormatPr defaultRowHeight="15"/>
  <cols>
    <col min="1" max="1" width="30.2857142857143" customWidth="1"/>
    <col min="2" max="2" width="16.2857142857143" style="1" customWidth="1"/>
    <col min="3" max="4" width="19.1428571428571" bestFit="1" customWidth="1"/>
    <col min="5" max="5" width="3.71428571428571" customWidth="1"/>
    <col min="6" max="6" width="14.1428571428571" bestFit="1" customWidth="1"/>
    <col min="7" max="7" width="13.2857142857143" bestFit="1" customWidth="1"/>
    <col min="8" max="8" width="14.1428571428571" bestFit="1" customWidth="1"/>
    <col min="9" max="9" width="3.71428571428571" customWidth="1"/>
    <col min="10" max="10" width="17.7142857142857" bestFit="1" customWidth="1"/>
    <col min="12" max="12" width="12.5714285714286" bestFit="1" customWidth="1"/>
  </cols>
  <sheetData>
    <row r="1" spans="1:10" ht="15">
      <c r="A1" s="67" t="s">
        <v>77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5">
      <c r="A2" s="67" t="s">
        <v>61</v>
      </c>
      <c r="B2" s="67"/>
      <c r="C2" s="67"/>
      <c r="D2" s="67"/>
      <c r="E2" s="67"/>
      <c r="F2" s="67"/>
      <c r="G2" s="67"/>
      <c r="H2" s="67"/>
      <c r="I2" s="67"/>
      <c r="J2" s="67"/>
    </row>
    <row r="3" spans="1:10" ht="15">
      <c r="A3" s="67" t="s">
        <v>65</v>
      </c>
      <c r="B3" s="67"/>
      <c r="C3" s="67"/>
      <c r="D3" s="67"/>
      <c r="E3" s="67"/>
      <c r="F3" s="67"/>
      <c r="G3" s="67"/>
      <c r="H3" s="67"/>
      <c r="I3" s="67"/>
      <c r="J3" s="67"/>
    </row>
    <row r="4" spans="1:10" ht="15">
      <c r="A4" s="67" t="s">
        <v>78</v>
      </c>
      <c r="B4" s="67"/>
      <c r="C4" s="67"/>
      <c r="D4" s="67"/>
      <c r="E4" s="67"/>
      <c r="F4" s="67"/>
      <c r="G4" s="67"/>
      <c r="H4" s="67"/>
      <c r="I4" s="67"/>
      <c r="J4" s="67"/>
    </row>
    <row r="5" spans="1:10" ht="15">
      <c r="A5" s="67" t="s">
        <v>59</v>
      </c>
      <c r="B5" s="67"/>
      <c r="C5" s="67"/>
      <c r="D5" s="67"/>
      <c r="E5" s="67"/>
      <c r="F5" s="67"/>
      <c r="G5" s="67"/>
      <c r="H5" s="67"/>
      <c r="I5" s="67"/>
      <c r="J5" s="67"/>
    </row>
    <row r="9" spans="3:10" ht="15">
      <c r="C9" s="18" t="s">
        <v>74</v>
      </c>
      <c r="D9" s="18" t="s">
        <v>80</v>
      </c>
      <c r="F9" s="17" t="s">
        <v>22</v>
      </c>
      <c r="G9" s="17" t="s">
        <v>21</v>
      </c>
      <c r="H9" s="17" t="s">
        <v>20</v>
      </c>
      <c r="J9" s="17" t="s">
        <v>64</v>
      </c>
    </row>
    <row r="10" spans="2:10" ht="15">
      <c r="B10" s="16" t="s">
        <v>19</v>
      </c>
      <c r="C10" s="15" t="s">
        <v>81</v>
      </c>
      <c r="D10" s="15" t="s">
        <v>82</v>
      </c>
      <c r="F10" s="14" t="s">
        <v>17</v>
      </c>
      <c r="G10" s="14" t="s">
        <v>18</v>
      </c>
      <c r="H10" s="14" t="s">
        <v>17</v>
      </c>
      <c r="J10" s="52" t="s">
        <v>17</v>
      </c>
    </row>
    <row r="11" spans="1:12" ht="15">
      <c r="A11" t="s">
        <v>16</v>
      </c>
      <c r="B11" s="3" t="s">
        <v>66</v>
      </c>
      <c r="C11" s="2">
        <f>+'Book Plant Bals (WP1)'!F13</f>
        <v>18912466994.210007</v>
      </c>
      <c r="D11" s="56">
        <f>+'[1]II-B-5'!$I$88+'[1]II-B-6'!$I$20+'[1]II-B-11'!$I$17+'[1]II-B-11'!$I$18+'[1]II-B-11'!$I$19+'[1]II-B-11'!$I$19</f>
        <v>20540362671.560005</v>
      </c>
      <c r="F11" s="2">
        <f>+D11-C11</f>
        <v>1627895677.3499985</v>
      </c>
      <c r="G11" s="48">
        <f>+'Book Plant Bals (WP1)'!F24</f>
        <v>0.62709115915369018</v>
      </c>
      <c r="H11" s="7">
        <f>ROUND(F11*G11,2)</f>
        <v>1020838987.29</v>
      </c>
      <c r="L11" s="58"/>
    </row>
    <row r="12" spans="3:4" ht="15">
      <c r="C12" s="66"/>
      <c r="D12" s="66"/>
    </row>
    <row r="13" spans="1:4" ht="15">
      <c r="A13" t="s">
        <v>15</v>
      </c>
      <c r="B13" s="3" t="s">
        <v>75</v>
      </c>
      <c r="C13" s="7">
        <f>+C26</f>
        <v>12065110413.68</v>
      </c>
      <c r="D13" s="7">
        <f>+C13+H11</f>
        <v>13085949400.970001</v>
      </c>
    </row>
    <row r="14" spans="1:4" ht="15">
      <c r="A14" t="s">
        <v>14</v>
      </c>
      <c r="C14" s="12">
        <f>+C15/C13</f>
        <v>0.021715102298022686</v>
      </c>
      <c r="D14" s="12">
        <f>+C14</f>
        <v>0.021715102298022686</v>
      </c>
    </row>
    <row r="15" spans="1:4" ht="15">
      <c r="A15" t="s">
        <v>13</v>
      </c>
      <c r="B15" s="3" t="s">
        <v>75</v>
      </c>
      <c r="C15" s="7">
        <f>+C31+C35</f>
        <v>261995106.87000001</v>
      </c>
      <c r="D15" s="7">
        <f>+ROUND(D13*D14,2)</f>
        <v>284162729.91000003</v>
      </c>
    </row>
    <row r="16" spans="1:4" ht="15">
      <c r="A16" t="s">
        <v>12</v>
      </c>
      <c r="C16" s="2">
        <f>+C35</f>
        <v>443717.57000000001</v>
      </c>
      <c r="D16" s="2">
        <f>+C37</f>
        <v>480845.75</v>
      </c>
    </row>
    <row r="17" spans="1:10" ht="15">
      <c r="A17" t="s">
        <v>11</v>
      </c>
      <c r="C17" s="2">
        <f>+C15-C16</f>
        <v>261551389.30000001</v>
      </c>
      <c r="D17" s="2">
        <f>+D15-D16</f>
        <v>283681884.16000003</v>
      </c>
      <c r="J17" s="2">
        <f>+D17-C17</f>
        <v>22130494.860000014</v>
      </c>
    </row>
    <row r="18" spans="1:4" ht="15">
      <c r="A18" s="11" t="s">
        <v>10</v>
      </c>
      <c r="C18" s="53"/>
      <c r="D18" s="50"/>
    </row>
    <row r="19" spans="2:4" ht="15">
      <c r="B19" s="49"/>
      <c r="C19" s="46"/>
      <c r="D19" s="47"/>
    </row>
    <row r="20" spans="3:7" ht="15">
      <c r="C20" s="12"/>
      <c r="D20" s="12"/>
      <c r="F20" s="20"/>
      <c r="G20" s="20"/>
    </row>
    <row r="22" spans="1:3" ht="15">
      <c r="A22" s="6" t="s">
        <v>85</v>
      </c>
      <c r="B22" s="10"/>
      <c r="C22" s="9"/>
    </row>
    <row r="23" spans="1:3" ht="15">
      <c r="A23" t="s">
        <v>9</v>
      </c>
      <c r="C23" s="8">
        <f>+'Book Plant Bals (WP1)'!F26</f>
        <v>12075526728</v>
      </c>
    </row>
    <row r="24" spans="1:3" ht="15">
      <c r="A24" t="s">
        <v>8</v>
      </c>
      <c r="B24" s="3" t="s">
        <v>7</v>
      </c>
      <c r="C24" s="2">
        <f>+'Book Plant Bals (WP1)'!F22</f>
        <v>16610526.51</v>
      </c>
    </row>
    <row r="25" spans="1:3" ht="15">
      <c r="A25" t="s">
        <v>6</v>
      </c>
      <c r="C25" s="7">
        <f>+ROUND(C24*G11,2)</f>
        <v>10416314.32</v>
      </c>
    </row>
    <row r="26" spans="1:3" ht="15">
      <c r="A26" t="s">
        <v>5</v>
      </c>
      <c r="C26" s="2">
        <f>+C23-C25</f>
        <v>12065110413.68</v>
      </c>
    </row>
    <row r="27" spans="1:3" ht="15">
      <c r="A27" t="s">
        <v>4</v>
      </c>
      <c r="C27" s="51">
        <f>+C25/C23</f>
        <v>0.00086259709862984951</v>
      </c>
    </row>
    <row r="29" spans="1:3" ht="15">
      <c r="A29" t="s">
        <v>3</v>
      </c>
      <c r="C29" s="8">
        <f>+'Book Plant Bals (WP1)'!F33-'Book Plant Bals (WP1)'!F35</f>
        <v>261777197.55000001</v>
      </c>
    </row>
    <row r="30" spans="1:3" ht="15">
      <c r="A30" t="s">
        <v>67</v>
      </c>
      <c r="C30" s="7">
        <f>+ROUND(C27*C29,2)</f>
        <v>225808.25</v>
      </c>
    </row>
    <row r="31" spans="1:3" ht="15">
      <c r="A31" t="s">
        <v>2</v>
      </c>
      <c r="C31" s="7">
        <f>+C29-C30</f>
        <v>261551389.30000001</v>
      </c>
    </row>
    <row r="34" spans="1:3" ht="15">
      <c r="A34" s="6" t="s">
        <v>1</v>
      </c>
      <c r="B34" s="5"/>
      <c r="C34" s="4"/>
    </row>
    <row r="35" spans="1:3" ht="15">
      <c r="A35" t="s">
        <v>83</v>
      </c>
      <c r="B35" s="3" t="s">
        <v>76</v>
      </c>
      <c r="C35" s="64">
        <v>443717.57000000001</v>
      </c>
    </row>
    <row r="36" spans="1:3" ht="15">
      <c r="A36" t="s">
        <v>0</v>
      </c>
      <c r="C36" s="51">
        <f>+C35/C23</f>
        <v>3.6745193811805703E-05</v>
      </c>
    </row>
    <row r="37" spans="1:3" ht="15">
      <c r="A37" t="s">
        <v>84</v>
      </c>
      <c r="C37" s="2">
        <f>ROUND(C36*D13,2)</f>
        <v>480845.75</v>
      </c>
    </row>
  </sheetData>
  <mergeCells count="5">
    <mergeCell ref="A1:J1"/>
    <mergeCell ref="A2:J2"/>
    <mergeCell ref="A3:J3"/>
    <mergeCell ref="A4:J4"/>
    <mergeCell ref="A5:J5"/>
  </mergeCells>
  <printOptions horizontalCentered="1"/>
  <pageMargins left="0.5" right="0.7" top="1.5" bottom="0.75" header="1.25" footer="0.3"/>
  <pageSetup orientation="landscape" scale="82" r:id="rId1"/>
  <headerFooter>
    <oddHeader>&amp;R&amp;"-,Bold"WP/II-E-2.1/1
Page 1 of 2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2">
    <tabColor rgb="FF92D050"/>
    <pageSetUpPr fitToPage="1"/>
  </sheetPr>
  <dimension ref="A1:I51"/>
  <sheetViews>
    <sheetView workbookViewId="0" topLeftCell="A1">
      <selection pane="topLeft" activeCell="A7" sqref="A7"/>
    </sheetView>
  </sheetViews>
  <sheetFormatPr defaultRowHeight="15"/>
  <cols>
    <col min="1" max="1" width="41.1428571428571" bestFit="1" customWidth="1"/>
    <col min="2" max="7" width="18" bestFit="1" customWidth="1"/>
    <col min="8" max="8" width="12" bestFit="1" customWidth="1"/>
    <col min="10" max="10" width="11" customWidth="1"/>
  </cols>
  <sheetData>
    <row r="1" spans="1:9" ht="15">
      <c r="A1" s="67" t="s">
        <v>77</v>
      </c>
      <c r="B1" s="67"/>
      <c r="C1" s="67"/>
      <c r="D1" s="67"/>
      <c r="E1" s="67"/>
      <c r="F1" s="67"/>
      <c r="G1" s="41"/>
      <c r="H1" s="41"/>
      <c r="I1" s="41"/>
    </row>
    <row r="2" spans="1:9" ht="15">
      <c r="A2" s="67" t="s">
        <v>61</v>
      </c>
      <c r="B2" s="67"/>
      <c r="C2" s="67"/>
      <c r="D2" s="67"/>
      <c r="E2" s="67"/>
      <c r="F2" s="67"/>
      <c r="G2" s="41"/>
      <c r="H2" s="41"/>
      <c r="I2" s="41"/>
    </row>
    <row r="3" spans="1:9" ht="15">
      <c r="A3" s="67" t="s">
        <v>62</v>
      </c>
      <c r="B3" s="67"/>
      <c r="C3" s="67"/>
      <c r="D3" s="67"/>
      <c r="E3" s="67"/>
      <c r="F3" s="67"/>
      <c r="G3" s="41"/>
      <c r="H3" s="41"/>
      <c r="I3" s="41"/>
    </row>
    <row r="4" spans="1:9" ht="15">
      <c r="A4" s="67" t="s">
        <v>78</v>
      </c>
      <c r="B4" s="67"/>
      <c r="C4" s="67"/>
      <c r="D4" s="67"/>
      <c r="E4" s="67"/>
      <c r="F4" s="67"/>
      <c r="G4" s="41"/>
      <c r="H4" s="41"/>
      <c r="I4" s="41"/>
    </row>
    <row r="5" spans="1:9" ht="15">
      <c r="A5" s="67" t="s">
        <v>59</v>
      </c>
      <c r="B5" s="67"/>
      <c r="C5" s="67"/>
      <c r="D5" s="67"/>
      <c r="E5" s="67"/>
      <c r="F5" s="67"/>
      <c r="G5" s="41"/>
      <c r="H5" s="41"/>
      <c r="I5" s="41"/>
    </row>
    <row r="6" spans="1:1" ht="15">
      <c r="A6" s="19"/>
    </row>
    <row r="7" spans="1:1" ht="15">
      <c r="A7" s="19"/>
    </row>
    <row r="9" spans="2:7" ht="15">
      <c r="B9" s="54"/>
      <c r="C9" s="54"/>
      <c r="D9" s="54"/>
      <c r="E9" s="54"/>
      <c r="F9" s="54"/>
      <c r="G9" s="43"/>
    </row>
    <row r="10" spans="1:7" ht="15">
      <c r="A10" s="19" t="s">
        <v>38</v>
      </c>
      <c r="B10" s="30" t="s">
        <v>69</v>
      </c>
      <c r="C10" s="30" t="s">
        <v>70</v>
      </c>
      <c r="D10" s="30" t="s">
        <v>71</v>
      </c>
      <c r="E10" s="30" t="s">
        <v>72</v>
      </c>
      <c r="F10" s="55" t="s">
        <v>79</v>
      </c>
      <c r="G10" s="44"/>
    </row>
    <row r="11" spans="1:7" ht="15">
      <c r="A11" t="s">
        <v>37</v>
      </c>
      <c r="B11" s="7">
        <v>19771440193.09</v>
      </c>
      <c r="C11" s="7">
        <v>21045216833.91</v>
      </c>
      <c r="D11" s="7">
        <v>22433378135.639999</v>
      </c>
      <c r="E11" s="2">
        <v>25902971221.30999</v>
      </c>
      <c r="F11" s="56">
        <v>28030790516.430004</v>
      </c>
      <c r="G11" s="42"/>
    </row>
    <row r="12" spans="1:7" ht="15">
      <c r="A12" t="s">
        <v>36</v>
      </c>
      <c r="B12" s="23">
        <v>7328972895.2600002</v>
      </c>
      <c r="C12" s="23">
        <v>7870581721.6500006</v>
      </c>
      <c r="D12" s="23">
        <v>8151022416.0100002</v>
      </c>
      <c r="E12" s="29">
        <v>8736471593.8700008</v>
      </c>
      <c r="F12" s="57">
        <v>9118323522.2199993</v>
      </c>
      <c r="G12" s="42"/>
    </row>
    <row r="13" spans="1:7" ht="15">
      <c r="A13" t="s">
        <v>35</v>
      </c>
      <c r="B13" s="2">
        <f>+B11-B12</f>
        <v>12442467297.83</v>
      </c>
      <c r="C13" s="2">
        <f>+C11-C12</f>
        <v>13174635112.259998</v>
      </c>
      <c r="D13" s="2">
        <f>+D11-D12</f>
        <v>14282355719.629999</v>
      </c>
      <c r="E13" s="2">
        <f>+E11-E12</f>
        <v>17166499627.439989</v>
      </c>
      <c r="F13" s="56">
        <f>+F11-F12</f>
        <v>18912466994.210007</v>
      </c>
      <c r="G13" s="42"/>
    </row>
    <row r="14" spans="2:8" ht="15">
      <c r="B14" s="2"/>
      <c r="C14" s="2"/>
      <c r="D14" s="2"/>
      <c r="E14" s="2"/>
      <c r="F14" s="56"/>
      <c r="G14" s="45"/>
      <c r="H14" s="2"/>
    </row>
    <row r="15" spans="1:7" ht="15">
      <c r="A15" t="s">
        <v>34</v>
      </c>
      <c r="B15" s="7">
        <v>230235023</v>
      </c>
      <c r="C15" s="7">
        <v>118233168</v>
      </c>
      <c r="D15" s="7">
        <v>142340598</v>
      </c>
      <c r="E15" s="7">
        <v>247875266</v>
      </c>
      <c r="F15" s="8">
        <v>199734843</v>
      </c>
      <c r="G15" s="42"/>
    </row>
    <row r="16" spans="1:7" ht="15">
      <c r="A16" t="s">
        <v>33</v>
      </c>
      <c r="B16" s="7">
        <v>89545513.719999999</v>
      </c>
      <c r="C16" s="7">
        <v>90762588.340000004</v>
      </c>
      <c r="D16" s="7">
        <v>115857174.7</v>
      </c>
      <c r="E16" s="2">
        <v>148363995.08000001</v>
      </c>
      <c r="F16" s="56">
        <v>144211766.66999999</v>
      </c>
      <c r="G16" s="42"/>
    </row>
    <row r="17" spans="2:7" ht="15">
      <c r="B17" s="2"/>
      <c r="F17" s="58"/>
      <c r="G17" s="45"/>
    </row>
    <row r="18" spans="1:7" ht="15">
      <c r="A18" s="27" t="s">
        <v>32</v>
      </c>
      <c r="B18" s="28">
        <f>+B11+B15+B16</f>
        <v>20091220729.810001</v>
      </c>
      <c r="C18" s="28">
        <f>+C11+C15+C16</f>
        <v>21254212590.25</v>
      </c>
      <c r="D18" s="28">
        <f>+D11+D15+D16</f>
        <v>22691575908.34</v>
      </c>
      <c r="E18" s="28">
        <f>+E11+E15+E16</f>
        <v>26299210482.389992</v>
      </c>
      <c r="F18" s="59">
        <f>+F11+F15+F16</f>
        <v>28374737126.100002</v>
      </c>
      <c r="G18" s="28"/>
    </row>
    <row r="19" spans="1:7" ht="15">
      <c r="A19" s="31" t="s">
        <v>31</v>
      </c>
      <c r="B19" s="32">
        <f>+B18-B12</f>
        <v>12762247834.550001</v>
      </c>
      <c r="C19" s="32">
        <f>+C18-C12</f>
        <v>13383630868.599999</v>
      </c>
      <c r="D19" s="32">
        <f>+D18-D12</f>
        <v>14540553492.33</v>
      </c>
      <c r="E19" s="32">
        <f>+E18-E12</f>
        <v>17562738888.519989</v>
      </c>
      <c r="F19" s="32">
        <f>+F18-F12</f>
        <v>19256413603.880005</v>
      </c>
      <c r="G19" s="28"/>
    </row>
    <row r="20" spans="6:6" ht="15">
      <c r="F20" s="58"/>
    </row>
    <row r="21" spans="6:6" ht="15">
      <c r="F21" s="58"/>
    </row>
    <row r="22" spans="1:7" ht="15">
      <c r="A22" t="s">
        <v>30</v>
      </c>
      <c r="B22" s="7">
        <v>2492824.46</v>
      </c>
      <c r="C22" s="7">
        <v>2578169.96</v>
      </c>
      <c r="D22" s="7">
        <v>11779349.82</v>
      </c>
      <c r="E22" s="7">
        <v>11779349.82</v>
      </c>
      <c r="F22" s="8">
        <v>16610526.51</v>
      </c>
      <c r="G22" s="7"/>
    </row>
    <row r="23" spans="6:6" ht="15">
      <c r="F23" s="58"/>
    </row>
    <row r="24" spans="1:7" ht="15">
      <c r="A24" t="s">
        <v>29</v>
      </c>
      <c r="B24" s="13">
        <f>+B26/B19</f>
        <v>0.58450192205212137</v>
      </c>
      <c r="C24" s="13">
        <f>+C26/C19</f>
        <v>0.57215144620923131</v>
      </c>
      <c r="D24" s="13">
        <f>+D26/D19</f>
        <v>0.58985477165805178</v>
      </c>
      <c r="E24" s="48">
        <f>+E26/E19</f>
        <v>0.62674043780238553</v>
      </c>
      <c r="F24" s="48">
        <f>+F26/F19</f>
        <v>0.62709115915369018</v>
      </c>
      <c r="G24" s="13"/>
    </row>
    <row r="25" spans="6:6" ht="15">
      <c r="F25" s="58"/>
    </row>
    <row r="26" spans="1:6" ht="15">
      <c r="A26" t="s">
        <v>15</v>
      </c>
      <c r="B26" s="7">
        <v>7459558389</v>
      </c>
      <c r="C26" s="7">
        <v>7657463757</v>
      </c>
      <c r="D26" s="7">
        <v>8576814860</v>
      </c>
      <c r="E26" s="7">
        <v>11007278660</v>
      </c>
      <c r="F26" s="8">
        <v>12075526728</v>
      </c>
    </row>
    <row r="27" spans="1:6" ht="15">
      <c r="A27" t="s">
        <v>28</v>
      </c>
      <c r="B27" s="23">
        <f>+B22*B24</f>
        <v>1457060.6882085416</v>
      </c>
      <c r="C27" s="23">
        <f>+C22*C24</f>
        <v>1475103.6711871959</v>
      </c>
      <c r="D27" s="23">
        <f>+D22*D24</f>
        <v>6948105.6983564133</v>
      </c>
      <c r="E27" s="23">
        <f>+E22*E24</f>
        <v>7382594.8632142516</v>
      </c>
      <c r="F27" s="60">
        <f>+F22*F24</f>
        <v>10416314.323309001</v>
      </c>
    </row>
    <row r="28" spans="1:8" s="27" customFormat="1" ht="15">
      <c r="A28" s="31" t="s">
        <v>5</v>
      </c>
      <c r="B28" s="32">
        <f>+B26-B27</f>
        <v>7458101328.3117914</v>
      </c>
      <c r="C28" s="32">
        <f>+C26-C27</f>
        <v>7655988653.3288126</v>
      </c>
      <c r="D28" s="32">
        <f>+D26-D27</f>
        <v>8569866754.3016434</v>
      </c>
      <c r="E28" s="32">
        <f>+E26-E27</f>
        <v>10999896065.136786</v>
      </c>
      <c r="F28" s="32">
        <f>+F26-F27</f>
        <v>12065110413.676691</v>
      </c>
      <c r="H28" s="27" t="s">
        <v>63</v>
      </c>
    </row>
    <row r="29" spans="1:6" ht="15">
      <c r="A29" s="27" t="s">
        <v>27</v>
      </c>
      <c r="B29" s="7">
        <v>41402158</v>
      </c>
      <c r="C29" s="7">
        <v>70919376</v>
      </c>
      <c r="D29" s="7">
        <v>68764060</v>
      </c>
      <c r="E29" s="7">
        <v>76090318</v>
      </c>
      <c r="F29" s="8">
        <v>85223140</v>
      </c>
    </row>
    <row r="30" spans="1:6" ht="15">
      <c r="A30" s="27" t="s">
        <v>26</v>
      </c>
      <c r="B30" s="26">
        <f>+B28+B29</f>
        <v>7499503486.3117914</v>
      </c>
      <c r="C30" s="26">
        <f>+C28+C29</f>
        <v>7726908029.3288126</v>
      </c>
      <c r="D30" s="26">
        <f>+D28+D29</f>
        <v>8638630814.3016434</v>
      </c>
      <c r="E30" s="26">
        <f>+E28+E29</f>
        <v>11075986383.136786</v>
      </c>
      <c r="F30" s="61">
        <f>+F28+F29</f>
        <v>12150333553.676691</v>
      </c>
    </row>
    <row r="31" spans="6:6" ht="15">
      <c r="F31" s="58"/>
    </row>
    <row r="32" spans="6:6" ht="15">
      <c r="F32" s="58"/>
    </row>
    <row r="33" spans="1:6" ht="15">
      <c r="A33" t="s">
        <v>25</v>
      </c>
      <c r="B33" s="7">
        <v>176424324.58999997</v>
      </c>
      <c r="C33" s="7">
        <v>183158671.11000001</v>
      </c>
      <c r="D33" s="7">
        <v>211627100.17000002</v>
      </c>
      <c r="E33" s="8">
        <v>243059615.25999999</v>
      </c>
      <c r="F33" s="8">
        <v>261783170.5</v>
      </c>
    </row>
    <row r="34" spans="1:6" ht="15">
      <c r="A34" t="s">
        <v>73</v>
      </c>
      <c r="B34" s="7">
        <v>0</v>
      </c>
      <c r="C34" s="7">
        <v>0</v>
      </c>
      <c r="D34" s="7">
        <f>11885841.26+4552175.77</f>
        <v>16438017.029999999</v>
      </c>
      <c r="E34" s="7">
        <v>0</v>
      </c>
      <c r="F34" s="8">
        <v>0</v>
      </c>
    </row>
    <row r="35" spans="1:6" ht="15">
      <c r="A35" t="s">
        <v>24</v>
      </c>
      <c r="B35" s="25">
        <v>36659.919999999998</v>
      </c>
      <c r="C35" s="25">
        <v>99158.970000000001</v>
      </c>
      <c r="D35" s="25">
        <v>-184134.88000000001</v>
      </c>
      <c r="E35" s="24">
        <v>-26359.029999999999</v>
      </c>
      <c r="F35" s="24">
        <v>5972.9499999999971</v>
      </c>
    </row>
    <row r="36" spans="1:6" ht="15">
      <c r="A36" t="s">
        <v>23</v>
      </c>
      <c r="B36" s="23">
        <f>+ROUND((B27/B26)*(B33-B34-B35),2)</f>
        <v>34453.449999999997</v>
      </c>
      <c r="C36" s="23">
        <f>ROUND(+(C27/C26)*(C33-C34-C35),2)</f>
        <v>35263.860000000001</v>
      </c>
      <c r="D36" s="23">
        <f>ROUND(+(D27/D26)*(D33-D34-D35),2)</f>
        <v>158272.48000000001</v>
      </c>
      <c r="E36" s="23">
        <f>+ROUND((E27/E26)*(E33-E34-E35),2)</f>
        <v>163038.04999999999</v>
      </c>
      <c r="F36" s="60">
        <f>ROUND(+(F27/F26)*(F33-F34-F35),2)</f>
        <v>225808.25</v>
      </c>
    </row>
    <row r="37" spans="1:6" ht="15">
      <c r="A37" s="31" t="s">
        <v>68</v>
      </c>
      <c r="B37" s="33">
        <f>+B33-B34-B35-B36</f>
        <v>176353211.22</v>
      </c>
      <c r="C37" s="33">
        <f t="shared" si="0" ref="C37:F37">+C33-C34-C35-C36</f>
        <v>183024248.28</v>
      </c>
      <c r="D37" s="33">
        <f t="shared" si="0"/>
        <v>195214945.54000002</v>
      </c>
      <c r="E37" s="33">
        <f t="shared" si="0"/>
        <v>242922936.23999998</v>
      </c>
      <c r="F37" s="33">
        <f t="shared" si="0"/>
        <v>261551389.30000001</v>
      </c>
    </row>
    <row r="38" spans="2:6" ht="15">
      <c r="B38" s="21"/>
      <c r="C38" s="21"/>
      <c r="D38" s="21"/>
      <c r="E38" s="21"/>
      <c r="F38" s="62"/>
    </row>
    <row r="39" spans="1:6" ht="15">
      <c r="A39" s="19" t="s">
        <v>14</v>
      </c>
      <c r="B39" s="22">
        <f>+B37/B28</f>
        <v>0.023645858839506963</v>
      </c>
      <c r="C39" s="22">
        <f t="shared" si="1" ref="C39:E39">+C37/C28</f>
        <v>0.023906023972543551</v>
      </c>
      <c r="D39" s="22">
        <f t="shared" si="1"/>
        <v>0.022779227628248935</v>
      </c>
      <c r="E39" s="22">
        <f t="shared" si="1"/>
        <v>0.022084111959014149</v>
      </c>
      <c r="F39" s="63">
        <f t="shared" si="2" ref="F39">+F37/F28</f>
        <v>0.021678325380554517</v>
      </c>
    </row>
    <row r="40" spans="2:6" ht="15">
      <c r="B40" s="12"/>
      <c r="C40" s="12"/>
      <c r="D40" s="12"/>
      <c r="E40" s="12"/>
      <c r="F40" s="12"/>
    </row>
    <row r="41" spans="2:6" ht="15">
      <c r="B41" s="12"/>
      <c r="C41" s="65"/>
      <c r="D41" s="65"/>
      <c r="E41" s="65"/>
      <c r="F41" s="65"/>
    </row>
    <row r="42" spans="1:6" ht="15">
      <c r="A42" s="27"/>
      <c r="B42" s="46"/>
      <c r="C42" s="46"/>
      <c r="D42" s="46"/>
      <c r="E42" s="46"/>
      <c r="F42" s="46"/>
    </row>
    <row r="43" spans="2:6" ht="15">
      <c r="B43" s="46"/>
      <c r="C43" s="46"/>
      <c r="D43" s="46"/>
      <c r="E43" s="46"/>
      <c r="F43" s="46"/>
    </row>
    <row r="44" spans="2:6" ht="15">
      <c r="B44" s="12"/>
      <c r="C44" s="12"/>
      <c r="D44" s="12"/>
      <c r="E44" s="12"/>
      <c r="F44" s="12"/>
    </row>
    <row r="45" spans="2:7" ht="15">
      <c r="B45" s="12"/>
      <c r="C45" s="12"/>
      <c r="D45" s="12"/>
      <c r="E45" s="12"/>
      <c r="F45" s="12"/>
      <c r="G45" s="20"/>
    </row>
    <row r="46" spans="5:7" ht="15">
      <c r="E46" s="46"/>
      <c r="F46" s="46"/>
      <c r="G46" s="12"/>
    </row>
    <row r="47" spans="2:6" ht="15">
      <c r="B47" s="12"/>
      <c r="C47" s="12"/>
      <c r="D47" s="12"/>
      <c r="E47" s="12"/>
      <c r="F47" s="12"/>
    </row>
    <row r="48" spans="2:6" ht="15">
      <c r="B48" s="12"/>
      <c r="C48" s="12"/>
      <c r="D48" s="12"/>
      <c r="E48" s="12"/>
      <c r="F48" s="12"/>
    </row>
    <row r="51" spans="5:6" ht="15">
      <c r="E51" s="20"/>
      <c r="F51" s="20"/>
    </row>
  </sheetData>
  <mergeCells count="5">
    <mergeCell ref="A1:F1"/>
    <mergeCell ref="A2:F2"/>
    <mergeCell ref="A3:F3"/>
    <mergeCell ref="A4:F4"/>
    <mergeCell ref="A5:F5"/>
  </mergeCells>
  <printOptions horizontalCentered="1"/>
  <pageMargins left="0.5" right="0.7" top="1.5" bottom="0.75" header="1.25" footer="0.3"/>
  <pageSetup orientation="landscape" scale="77" r:id="rId1"/>
  <headerFooter>
    <oddHeader>&amp;R&amp;"-,Bold"WP/II-E-2.1/1
Page 2 of 2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3">
    <tabColor rgb="FF92D050"/>
    <pageSetUpPr fitToPage="1"/>
  </sheetPr>
  <dimension ref="A1:G26"/>
  <sheetViews>
    <sheetView workbookViewId="0" topLeftCell="A1">
      <selection pane="topLeft" activeCell="A7" sqref="A7"/>
    </sheetView>
  </sheetViews>
  <sheetFormatPr defaultColWidth="9.14428571428571" defaultRowHeight="12.75"/>
  <cols>
    <col min="1" max="1" width="9.14285714285714" style="34"/>
    <col min="2" max="2" width="16.4285714285714" style="34" customWidth="1"/>
    <col min="3" max="4" width="15.5714285714286" style="34" customWidth="1"/>
    <col min="5" max="16384" width="9.14285714285714" style="34"/>
  </cols>
  <sheetData>
    <row r="1" spans="1:7" ht="12.75">
      <c r="A1" s="67" t="s">
        <v>77</v>
      </c>
      <c r="B1" s="67"/>
      <c r="C1" s="67"/>
      <c r="D1" s="67"/>
      <c r="E1" s="41"/>
      <c r="F1" s="41"/>
      <c r="G1" s="41"/>
    </row>
    <row r="2" spans="1:7" ht="12.75">
      <c r="A2" s="67" t="s">
        <v>61</v>
      </c>
      <c r="B2" s="67"/>
      <c r="C2" s="67"/>
      <c r="D2" s="67"/>
      <c r="E2" s="41"/>
      <c r="F2" s="41"/>
      <c r="G2" s="41"/>
    </row>
    <row r="3" spans="1:7" ht="12.75">
      <c r="A3" s="67" t="s">
        <v>60</v>
      </c>
      <c r="B3" s="67"/>
      <c r="C3" s="67"/>
      <c r="D3" s="67"/>
      <c r="E3" s="41"/>
      <c r="F3" s="41"/>
      <c r="G3" s="41"/>
    </row>
    <row r="4" spans="1:7" ht="12.75">
      <c r="A4" s="67" t="s">
        <v>78</v>
      </c>
      <c r="B4" s="67"/>
      <c r="C4" s="67"/>
      <c r="D4" s="67"/>
      <c r="E4" s="41"/>
      <c r="F4" s="41"/>
      <c r="G4" s="41"/>
    </row>
    <row r="5" spans="1:7" ht="12.75">
      <c r="A5" s="67" t="s">
        <v>59</v>
      </c>
      <c r="B5" s="67"/>
      <c r="C5" s="67"/>
      <c r="D5" s="67"/>
      <c r="E5" s="41"/>
      <c r="F5" s="41"/>
      <c r="G5" s="41"/>
    </row>
    <row r="10" spans="1:4" ht="12.75">
      <c r="A10" s="40" t="s">
        <v>58</v>
      </c>
      <c r="B10" s="40" t="s">
        <v>57</v>
      </c>
      <c r="C10" s="40" t="s">
        <v>56</v>
      </c>
      <c r="D10" s="40" t="s">
        <v>55</v>
      </c>
    </row>
    <row r="11" spans="1:4" ht="12.75">
      <c r="A11" s="39"/>
      <c r="B11" s="38" t="s">
        <v>54</v>
      </c>
      <c r="C11" s="38" t="s">
        <v>53</v>
      </c>
      <c r="D11" s="38" t="s">
        <v>52</v>
      </c>
    </row>
    <row r="12" spans="1:4" ht="12.75">
      <c r="A12" s="39"/>
      <c r="B12" s="38"/>
      <c r="C12" s="38"/>
      <c r="D12" s="38"/>
    </row>
    <row r="13" spans="1:4" ht="12.75">
      <c r="A13" s="36">
        <v>1</v>
      </c>
      <c r="B13" s="34" t="s">
        <v>51</v>
      </c>
      <c r="C13" s="37">
        <v>22865175.289999999</v>
      </c>
      <c r="D13" s="36">
        <v>408</v>
      </c>
    </row>
    <row r="14" spans="1:4" ht="12.75">
      <c r="A14" s="36">
        <f t="shared" si="0" ref="A14:A26">+A13+1</f>
        <v>2</v>
      </c>
      <c r="B14" s="34" t="s">
        <v>50</v>
      </c>
      <c r="C14" s="37">
        <v>22863796</v>
      </c>
      <c r="D14" s="36">
        <v>408</v>
      </c>
    </row>
    <row r="15" spans="1:4" ht="12.75">
      <c r="A15" s="36">
        <f t="shared" si="0"/>
        <v>3</v>
      </c>
      <c r="B15" s="34" t="s">
        <v>49</v>
      </c>
      <c r="C15" s="37">
        <v>22795899.380000003</v>
      </c>
      <c r="D15" s="36">
        <v>408</v>
      </c>
    </row>
    <row r="16" spans="1:4" ht="12.75">
      <c r="A16" s="36">
        <f t="shared" si="0"/>
        <v>4</v>
      </c>
      <c r="B16" s="34" t="s">
        <v>48</v>
      </c>
      <c r="C16" s="37">
        <v>22863731.960000001</v>
      </c>
      <c r="D16" s="36">
        <v>408</v>
      </c>
    </row>
    <row r="17" spans="1:4" ht="12.75">
      <c r="A17" s="36">
        <f t="shared" si="0"/>
        <v>5</v>
      </c>
      <c r="B17" s="34" t="s">
        <v>47</v>
      </c>
      <c r="C17" s="37">
        <v>22863882.640000001</v>
      </c>
      <c r="D17" s="36">
        <v>408</v>
      </c>
    </row>
    <row r="18" spans="1:4" ht="12.75">
      <c r="A18" s="36">
        <f t="shared" si="0"/>
        <v>6</v>
      </c>
      <c r="B18" s="34" t="s">
        <v>46</v>
      </c>
      <c r="C18" s="37">
        <v>21863955.780000001</v>
      </c>
      <c r="D18" s="36">
        <v>408</v>
      </c>
    </row>
    <row r="19" spans="1:4" ht="12.75">
      <c r="A19" s="36">
        <f t="shared" si="0"/>
        <v>7</v>
      </c>
      <c r="B19" s="34" t="s">
        <v>45</v>
      </c>
      <c r="C19" s="37">
        <v>21872504.289999999</v>
      </c>
      <c r="D19" s="36">
        <v>408</v>
      </c>
    </row>
    <row r="20" spans="1:4" ht="12.75">
      <c r="A20" s="36">
        <f t="shared" si="0"/>
        <v>8</v>
      </c>
      <c r="B20" s="34" t="s">
        <v>44</v>
      </c>
      <c r="C20" s="37">
        <v>21863907.309999999</v>
      </c>
      <c r="D20" s="36">
        <v>408</v>
      </c>
    </row>
    <row r="21" spans="1:4" ht="12.75">
      <c r="A21" s="36">
        <f t="shared" si="0"/>
        <v>9</v>
      </c>
      <c r="B21" s="34" t="s">
        <v>43</v>
      </c>
      <c r="C21" s="37">
        <v>22232601.140000001</v>
      </c>
      <c r="D21" s="36">
        <v>408</v>
      </c>
    </row>
    <row r="22" spans="1:4" ht="12.75">
      <c r="A22" s="36">
        <f t="shared" si="0"/>
        <v>10</v>
      </c>
      <c r="B22" s="34" t="s">
        <v>42</v>
      </c>
      <c r="C22" s="37">
        <v>22232601.140000001</v>
      </c>
      <c r="D22" s="36">
        <v>408</v>
      </c>
    </row>
    <row r="23" spans="1:4" ht="12.75">
      <c r="A23" s="36">
        <f t="shared" si="0"/>
        <v>11</v>
      </c>
      <c r="B23" s="34" t="s">
        <v>41</v>
      </c>
      <c r="C23" s="37">
        <v>22296089.439999998</v>
      </c>
      <c r="D23" s="36">
        <v>408</v>
      </c>
    </row>
    <row r="24" spans="1:4" ht="12.75">
      <c r="A24" s="36">
        <f t="shared" si="0"/>
        <v>12</v>
      </c>
      <c r="B24" s="34" t="s">
        <v>40</v>
      </c>
      <c r="C24" s="37">
        <v>15169026.129999999</v>
      </c>
      <c r="D24" s="36">
        <v>408</v>
      </c>
    </row>
    <row r="25" spans="1:1" ht="12.75">
      <c r="A25" s="36">
        <f t="shared" si="0"/>
        <v>13</v>
      </c>
    </row>
    <row r="26" spans="1:3" ht="12.75">
      <c r="A26" s="36">
        <f t="shared" si="0"/>
        <v>14</v>
      </c>
      <c r="B26" s="34" t="s">
        <v>39</v>
      </c>
      <c r="C26" s="35">
        <f>SUM(C13:C25)</f>
        <v>261783170.5</v>
      </c>
    </row>
  </sheetData>
  <mergeCells count="5">
    <mergeCell ref="A1:D1"/>
    <mergeCell ref="A2:D2"/>
    <mergeCell ref="A3:D3"/>
    <mergeCell ref="A4:D4"/>
    <mergeCell ref="A5:D5"/>
  </mergeCells>
  <printOptions horizontalCentered="1"/>
  <pageMargins left="0.5" right="0.7" top="1.5" bottom="0.75" header="1.25" footer="0.3"/>
  <pageSetup orientation="landscape" r:id="rId1"/>
  <headerFooter>
    <oddHeader>&amp;R&amp;"-,Bold"WP/II-E-2.1/2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 Tax Estimate (WP1)</vt:lpstr>
      <vt:lpstr>Book Plant Bals (WP1)</vt:lpstr>
      <vt:lpstr>Ad Valorem Exp by Month (WP2)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