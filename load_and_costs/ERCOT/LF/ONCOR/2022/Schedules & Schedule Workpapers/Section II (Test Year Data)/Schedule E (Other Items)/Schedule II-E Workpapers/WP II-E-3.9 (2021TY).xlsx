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2022 Rate Case\Section II (Test Year Data)\Schedule E (Other Items)\Schedule II-E Workpapers\"/>
    </mc:Choice>
  </mc:AlternateContent>
  <bookViews>
    <workbookView xWindow="480" yWindow="140" windowWidth="27800" windowHeight="12330" tabRatio="318" activeTab="0"/>
  </bookViews>
  <sheets>
    <sheet name="WP II-E-3.9" sheetId="1" r:id="rId2"/>
  </sheets>
  <definedNames>
    <definedName name="_xlnm.Print_Area" localSheetId="0">'WP II-E-3.9'!$A$1:$D$33</definedName>
  </definedNames>
  <calcPr calcId="152511"/>
</workbook>
</file>

<file path=xl/calcChain.xml><?xml version="1.0" encoding="utf-8"?>
<calcChain xmlns="http://schemas.openxmlformats.org/spreadsheetml/2006/main">
  <c r="D28" i="1" l="1"/>
</calcChain>
</file>

<file path=xl/sharedStrings.xml><?xml version="1.0" encoding="utf-8"?>
<sst xmlns="http://schemas.openxmlformats.org/spreadsheetml/2006/main" count="13" uniqueCount="13">
  <si>
    <t>Page 1 of 1</t>
  </si>
  <si>
    <t>ONCOR ELECTRIC DELIVERY COMPANY LLC</t>
  </si>
  <si>
    <t>AMORTIZATION OF INVESTMENT TAX CREDITS</t>
  </si>
  <si>
    <t>Ending Balance</t>
  </si>
  <si>
    <t>Restated Amortization:</t>
  </si>
  <si>
    <t>Distribution</t>
  </si>
  <si>
    <t>Transmission</t>
  </si>
  <si>
    <t>Total Company</t>
  </si>
  <si>
    <t>WP/II-E-3.9/1</t>
  </si>
  <si>
    <t>2022 RATE CASE</t>
  </si>
  <si>
    <t>TEST YEAR ENDING DECEMBER 31, 2021</t>
  </si>
  <si>
    <t>Net ITC Balance at 12/31/21</t>
  </si>
  <si>
    <t>SPONSOR: B. L. CLUTTER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</si>
</sst>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6" formatCode="_(* #,##0_);_(* \(#,##0\);_(* &quot;-&quot;??_);_(@_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</border>
  </borders>
  <cellStyleXfs count="22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>
      <alignment/>
      <protection/>
    </xf>
    <xf numFmtId="0" fontId="0" fillId="0" borderId="0">
      <alignment/>
      <protection/>
    </xf>
  </cellStyleXfs>
  <cellXfs count="13">
    <xf numFmtId="0" fontId="0" fillId="0" borderId="0" xfId="0"/>
    <xf numFmtId="0" fontId="2" fillId="0" borderId="0" xfId="20" applyFont="1">
      <alignment/>
      <protection/>
    </xf>
    <xf numFmtId="0" fontId="3" fillId="0" borderId="0" xfId="20" applyFont="1" applyAlignment="1">
      <alignment horizontal="right"/>
      <protection/>
    </xf>
    <xf numFmtId="0" fontId="4" fillId="0" borderId="0" xfId="20" applyFont="1">
      <alignment/>
      <protection/>
    </xf>
    <xf numFmtId="0" fontId="0" fillId="0" borderId="0" xfId="21">
      <alignment/>
      <protection/>
    </xf>
    <xf numFmtId="0" fontId="0" fillId="0" borderId="0" xfId="21" applyBorder="1" applyAlignment="1">
      <alignment horizontal="center"/>
      <protection/>
    </xf>
    <xf numFmtId="0" fontId="0" fillId="0" borderId="0" xfId="21" applyAlignment="1">
      <alignment horizontal="center"/>
      <protection/>
    </xf>
    <xf numFmtId="0" fontId="3" fillId="0" borderId="0" xfId="20" applyFont="1" applyAlignment="1">
      <alignment/>
      <protection/>
    </xf>
    <xf numFmtId="0" fontId="0" fillId="0" borderId="0" xfId="21" applyFont="1">
      <alignment/>
      <protection/>
    </xf>
    <xf numFmtId="0" fontId="0" fillId="0" borderId="1" xfId="21" applyFont="1" applyBorder="1" applyAlignment="1">
      <alignment horizontal="center"/>
      <protection/>
    </xf>
    <xf numFmtId="0" fontId="0" fillId="0" borderId="0" xfId="21" applyFont="1" applyAlignment="1">
      <alignment wrapText="1"/>
      <protection/>
    </xf>
    <xf numFmtId="0" fontId="3" fillId="0" borderId="0" xfId="20" applyFont="1" applyAlignment="1">
      <alignment horizontal="center"/>
      <protection/>
    </xf>
    <xf numFmtId="166" fontId="0" fillId="0" borderId="0" xfId="18" applyNumberFormat="1"/>
  </cellXfs>
  <cellStyles count="8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_TUE WPs for Sched II E-3" xfId="20"/>
    <cellStyle name="Normal 3" xfId="2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N28"/>
  <sheetViews>
    <sheetView tabSelected="1" workbookViewId="0" topLeftCell="A1">
      <selection pane="topLeft" activeCell="A29" sqref="A29"/>
    </sheetView>
  </sheetViews>
  <sheetFormatPr defaultRowHeight="15"/>
  <cols>
    <col min="1" max="1" width="25.1428571428571" customWidth="1"/>
    <col min="2" max="2" width="13.1428571428571" bestFit="1" customWidth="1"/>
    <col min="3" max="4" width="14.5714285714286" bestFit="1" customWidth="1"/>
  </cols>
  <sheetData>
    <row r="1" spans="4:14" s="1" customFormat="1" ht="13">
      <c r="D1" s="2" t="s">
        <v>8</v>
      </c>
      <c r="N1" s="3"/>
    </row>
    <row r="2" spans="4:14" s="1" customFormat="1" ht="13">
      <c r="D2" s="2" t="s">
        <v>0</v>
      </c>
      <c r="N2" s="3"/>
    </row>
    <row r="3" spans="4:14" s="1" customFormat="1" ht="13">
      <c r="D3" s="2"/>
      <c r="N3" s="3"/>
    </row>
    <row r="4" spans="14:14" s="1" customFormat="1" ht="12.5">
      <c r="N4" s="3"/>
    </row>
    <row r="5" spans="1:14" s="1" customFormat="1" ht="13">
      <c r="A5" s="11" t="s">
        <v>9</v>
      </c>
      <c r="B5" s="11"/>
      <c r="C5" s="11"/>
      <c r="D5" s="11"/>
      <c r="E5" s="7"/>
      <c r="F5" s="7"/>
      <c r="G5" s="7"/>
      <c r="H5" s="7"/>
      <c r="I5" s="7"/>
      <c r="J5" s="7"/>
      <c r="K5" s="7"/>
      <c r="L5" s="7"/>
      <c r="N5" s="3"/>
    </row>
    <row r="6" spans="1:14" s="1" customFormat="1" ht="13">
      <c r="A6" s="11" t="s">
        <v>1</v>
      </c>
      <c r="B6" s="11"/>
      <c r="C6" s="11"/>
      <c r="D6" s="11"/>
      <c r="E6" s="7"/>
      <c r="F6" s="7"/>
      <c r="G6" s="7"/>
      <c r="H6" s="7"/>
      <c r="I6" s="7"/>
      <c r="J6" s="7"/>
      <c r="K6" s="7"/>
      <c r="L6" s="7"/>
      <c r="N6" s="3"/>
    </row>
    <row r="7" spans="1:14" s="1" customFormat="1" ht="13">
      <c r="A7" s="11" t="s">
        <v>2</v>
      </c>
      <c r="B7" s="11"/>
      <c r="C7" s="11"/>
      <c r="D7" s="11"/>
      <c r="E7" s="7"/>
      <c r="F7" s="7"/>
      <c r="G7" s="7"/>
      <c r="H7" s="7"/>
      <c r="I7" s="7"/>
      <c r="J7" s="7"/>
      <c r="K7" s="7"/>
      <c r="L7" s="7"/>
      <c r="N7" s="3"/>
    </row>
    <row r="8" spans="1:14" s="1" customFormat="1" ht="13">
      <c r="A8" s="11" t="s">
        <v>10</v>
      </c>
      <c r="B8" s="11"/>
      <c r="C8" s="11"/>
      <c r="D8" s="11"/>
      <c r="E8" s="7"/>
      <c r="F8" s="7"/>
      <c r="G8" s="7"/>
      <c r="H8" s="7"/>
      <c r="I8" s="7"/>
      <c r="J8" s="7"/>
      <c r="K8" s="7"/>
      <c r="L8" s="7"/>
      <c r="N8" s="3"/>
    </row>
    <row r="9" spans="1:14" s="1" customFormat="1" ht="13">
      <c r="A9" s="11" t="s">
        <v>12</v>
      </c>
      <c r="B9" s="11"/>
      <c r="C9" s="11"/>
      <c r="D9" s="11"/>
      <c r="E9" s="7"/>
      <c r="F9" s="7"/>
      <c r="G9" s="7"/>
      <c r="H9" s="7"/>
      <c r="I9" s="7"/>
      <c r="J9" s="7"/>
      <c r="K9" s="7"/>
      <c r="L9" s="7"/>
      <c r="N9" s="3"/>
    </row>
    <row r="12" spans="1:4" ht="14.5">
      <c r="A12" s="4"/>
      <c r="B12" s="9" t="s">
        <v>5</v>
      </c>
      <c r="C12" s="9" t="s">
        <v>6</v>
      </c>
      <c r="D12" s="9" t="s">
        <v>7</v>
      </c>
    </row>
    <row r="13" spans="1:4" ht="14.5">
      <c r="A13" s="4"/>
      <c r="B13" s="5"/>
      <c r="C13" s="5"/>
      <c r="D13" s="5"/>
    </row>
    <row r="14" spans="1:4" ht="14.5">
      <c r="A14" s="10" t="s">
        <v>11</v>
      </c>
      <c r="B14" s="12">
        <v>191147.98999999999</v>
      </c>
      <c r="C14" s="12">
        <v>3578809.5099999998</v>
      </c>
      <c r="D14" s="12">
        <f>SUM(B14:C14)</f>
        <v>3769957.5</v>
      </c>
    </row>
    <row r="15" spans="1:4" ht="14.5">
      <c r="A15" s="4"/>
      <c r="B15" s="12"/>
      <c r="C15" s="12"/>
      <c r="D15" s="12"/>
    </row>
    <row r="16" spans="1:4" ht="14.5">
      <c r="A16" s="8" t="s">
        <v>4</v>
      </c>
      <c r="B16" s="12"/>
      <c r="C16" s="12"/>
      <c r="D16" s="12"/>
    </row>
    <row r="17" spans="1:4" ht="14.5">
      <c r="A17" s="6">
        <v>2022</v>
      </c>
      <c r="B17" s="12">
        <v>191147.98999999999</v>
      </c>
      <c r="C17" s="12">
        <v>580486.72999999998</v>
      </c>
      <c r="D17" s="12">
        <f t="shared" si="0" ref="D17:D26">SUM(B17:C17)</f>
        <v>771634.71999999997</v>
      </c>
    </row>
    <row r="18" spans="1:4" ht="14.5">
      <c r="A18" s="6">
        <v>2023</v>
      </c>
      <c r="B18" s="12">
        <v>0</v>
      </c>
      <c r="C18" s="12">
        <v>580239.97999999998</v>
      </c>
      <c r="D18" s="12">
        <f t="shared" si="0"/>
        <v>580239.97999999998</v>
      </c>
    </row>
    <row r="19" spans="1:4" ht="14.5">
      <c r="A19" s="6">
        <v>2024</v>
      </c>
      <c r="B19" s="12">
        <v>0</v>
      </c>
      <c r="C19" s="12">
        <v>512820.33999999997</v>
      </c>
      <c r="D19" s="12">
        <f t="shared" si="0"/>
        <v>512820.33999999997</v>
      </c>
    </row>
    <row r="20" spans="1:4" ht="14.5">
      <c r="A20" s="6">
        <v>2025</v>
      </c>
      <c r="B20" s="12">
        <v>0</v>
      </c>
      <c r="C20" s="12">
        <v>499343.42999999999</v>
      </c>
      <c r="D20" s="12">
        <f t="shared" si="0"/>
        <v>499343.42999999999</v>
      </c>
    </row>
    <row r="21" spans="1:4" ht="14.5">
      <c r="A21" s="6">
        <v>2026</v>
      </c>
      <c r="B21" s="12">
        <v>0</v>
      </c>
      <c r="C21" s="12">
        <v>404025.75</v>
      </c>
      <c r="D21" s="12">
        <f t="shared" si="0"/>
        <v>404025.75</v>
      </c>
    </row>
    <row r="22" spans="1:4" ht="14.5">
      <c r="A22" s="6">
        <v>2027</v>
      </c>
      <c r="B22" s="12">
        <v>0</v>
      </c>
      <c r="C22" s="12">
        <v>309997.01999999996</v>
      </c>
      <c r="D22" s="12">
        <f t="shared" si="0"/>
        <v>309997.01999999996</v>
      </c>
    </row>
    <row r="23" spans="1:4" ht="14.5">
      <c r="A23" s="6">
        <v>2028</v>
      </c>
      <c r="B23" s="12">
        <v>0</v>
      </c>
      <c r="C23" s="12">
        <v>296824.98999999999</v>
      </c>
      <c r="D23" s="12">
        <f t="shared" si="0"/>
        <v>296824.98999999999</v>
      </c>
    </row>
    <row r="24" spans="1:4" ht="14.5">
      <c r="A24" s="6">
        <v>2029</v>
      </c>
      <c r="B24" s="12">
        <v>0</v>
      </c>
      <c r="C24" s="12">
        <v>205476.87</v>
      </c>
      <c r="D24" s="12">
        <f t="shared" si="0"/>
        <v>205476.87</v>
      </c>
    </row>
    <row r="25" spans="1:4" ht="14.5">
      <c r="A25" s="6">
        <v>2030</v>
      </c>
      <c r="B25" s="12">
        <v>0</v>
      </c>
      <c r="C25" s="12">
        <v>189373.59</v>
      </c>
      <c r="D25" s="12">
        <f t="shared" si="0"/>
        <v>189373.59</v>
      </c>
    </row>
    <row r="26" spans="1:4" ht="14.5">
      <c r="A26" s="6">
        <v>2031</v>
      </c>
      <c r="B26" s="12">
        <v>0</v>
      </c>
      <c r="C26" s="12">
        <v>220.81</v>
      </c>
      <c r="D26" s="12">
        <f t="shared" si="0"/>
        <v>220.81</v>
      </c>
    </row>
    <row r="27" spans="1:4" ht="14.5">
      <c r="A27" s="6"/>
      <c r="B27" s="12"/>
      <c r="C27" s="12"/>
      <c r="D27" s="12"/>
    </row>
    <row r="28" spans="1:4" ht="14.5">
      <c r="A28" s="6" t="s">
        <v>3</v>
      </c>
      <c r="B28" s="12">
        <f>+B14-SUM(B17:B26)</f>
        <v>0</v>
      </c>
      <c r="C28" s="12">
        <f>+C14-SUM(C17:C26)</f>
        <v>0</v>
      </c>
      <c r="D28" s="12">
        <f>+D14-SUM(D17:D26)</f>
        <v>0</v>
      </c>
    </row>
  </sheetData>
  <mergeCells count="5">
    <mergeCell ref="A9:D9"/>
    <mergeCell ref="A5:D5"/>
    <mergeCell ref="A6:D6"/>
    <mergeCell ref="A7:D7"/>
    <mergeCell ref="A8:D8"/>
  </mergeCells>
  <pageMargins left="1.5" right="0.5" top="1" bottom="0.25" header="1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 II-E-3.9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