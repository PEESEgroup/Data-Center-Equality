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0490" windowHeight="7365" activeTab="0"/>
  </bookViews>
  <sheets>
    <sheet name="Adj Summary" sheetId="8" r:id="rId2"/>
  </sheets>
  <definedNames/>
  <calcPr calcId="152511"/>
</workbook>
</file>

<file path=xl/calcChain.xml><?xml version="1.0" encoding="utf-8"?>
<calcChain xmlns="http://schemas.openxmlformats.org/spreadsheetml/2006/main">
  <c r="D12" i="8" l="1"/>
</calcChain>
</file>

<file path=xl/sharedStrings.xml><?xml version="1.0" encoding="utf-8"?>
<sst xmlns="http://schemas.openxmlformats.org/spreadsheetml/2006/main" count="16" uniqueCount="16">
  <si>
    <t>Total</t>
  </si>
  <si>
    <t>(a)</t>
  </si>
  <si>
    <t>(b)</t>
  </si>
  <si>
    <t>(c)</t>
  </si>
  <si>
    <t>(d)</t>
  </si>
  <si>
    <t>(e) = (b) + (c) + (d)</t>
  </si>
  <si>
    <t>(f) = (a) - (e)</t>
  </si>
  <si>
    <t>Known and Measurable Adjustment - Deposits refunded in 2021</t>
  </si>
  <si>
    <t>Recalculation using 2022 interest rate 0.06%</t>
  </si>
  <si>
    <t>Total Known and Measurable Adjustment</t>
  </si>
  <si>
    <t>Test year - 2021 Interest Accrual at interest rate 0.61%</t>
  </si>
  <si>
    <t>Adjusted test year interest on customer deposits</t>
  </si>
  <si>
    <t>Known and Measurable Adjustment - due to the interest rate change</t>
  </si>
  <si>
    <t>Known and Measurable Adjustment - estimate of escrow interest income in 2022</t>
  </si>
  <si>
    <t>DIST</t>
  </si>
  <si>
    <t>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</si>
</sst>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</border>
    <border>
      <left/>
      <right/>
      <top/>
      <bottom style="thin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0" applyNumberFormat="1"/>
    <xf numFmtId="43" fontId="4" fillId="0" borderId="0" xfId="18" applyFont="1" applyFill="1"/>
    <xf numFmtId="0" fontId="0" fillId="0" borderId="0" xfId="0" applyFill="1"/>
    <xf numFmtId="43" fontId="0" fillId="0" borderId="0" xfId="18" applyFont="1" applyFill="1"/>
    <xf numFmtId="43" fontId="0" fillId="0" borderId="0" xfId="0" applyNumberFormat="1" applyFill="1"/>
    <xf numFmtId="39" fontId="0" fillId="0" borderId="0" xfId="0" applyNumberFormat="1" applyBorder="1"/>
    <xf numFmtId="43" fontId="4" fillId="0" borderId="1" xfId="18" applyFont="1" applyFill="1" applyBorder="1"/>
    <xf numFmtId="0" fontId="4" fillId="0" borderId="2" xfId="0" applyFont="1" applyBorder="1" applyAlignment="1">
      <alignment horizontal="center"/>
    </xf>
    <xf numFmtId="39" fontId="0" fillId="0" borderId="2" xfId="0" applyNumberFormat="1" applyFill="1" applyBorder="1"/>
    <xf numFmtId="43" fontId="0" fillId="0" borderId="0" xfId="18" applyFont="1" applyFill="1"/>
    <xf numFmtId="43" fontId="0" fillId="0" borderId="2" xfId="18" applyFont="1" applyFill="1" applyBorder="1"/>
    <xf numFmtId="0" fontId="0" fillId="0" borderId="0" xfId="0" applyFont="1"/>
    <xf numFmtId="0" fontId="0" fillId="0" borderId="0" xfId="0" applyFont="1" applyFill="1"/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Currency 2" xfId="21"/>
    <cellStyle name="Comma 2" xfId="22"/>
    <cellStyle name="Normal 3" xfId="23"/>
    <cellStyle name="Comma 3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2:E17"/>
  <sheetViews>
    <sheetView tabSelected="1" workbookViewId="0" topLeftCell="A1">
      <selection pane="topLeft" activeCell="A17" sqref="A17"/>
    </sheetView>
  </sheetViews>
  <sheetFormatPr defaultRowHeight="15"/>
  <cols>
    <col min="1" max="1" width="69" style="12" bestFit="1" customWidth="1"/>
    <col min="2" max="2" width="14.8571428571429" bestFit="1" customWidth="1"/>
    <col min="3" max="3" width="14.2857142857143" bestFit="1" customWidth="1"/>
    <col min="4" max="4" width="12.2857142857143" bestFit="1" customWidth="1"/>
    <col min="5" max="5" width="26.5714285714286" bestFit="1" customWidth="1"/>
    <col min="6" max="6" width="26.5714285714286" customWidth="1"/>
    <col min="7" max="7" width="43.8571428571429" bestFit="1" customWidth="1"/>
    <col min="8" max="8" width="12.2857142857143" bestFit="1" customWidth="1"/>
  </cols>
  <sheetData>
    <row r="2" spans="2:4" ht="15">
      <c r="B2" s="8" t="s">
        <v>14</v>
      </c>
      <c r="C2" s="8" t="s">
        <v>15</v>
      </c>
      <c r="D2" s="8" t="s">
        <v>0</v>
      </c>
    </row>
    <row r="3" spans="1:5" ht="15">
      <c r="A3" s="12" t="s">
        <v>10</v>
      </c>
      <c r="B3" s="6">
        <v>952.37</v>
      </c>
      <c r="C3" s="6">
        <v>227916.98000000001</v>
      </c>
      <c r="D3" s="6">
        <f>SUM(B3:C3)</f>
        <v>228869.35000000001</v>
      </c>
      <c r="E3" t="s">
        <v>1</v>
      </c>
    </row>
    <row r="4" spans="1:5" s="3" customFormat="1" ht="15">
      <c r="A4" s="13" t="s">
        <v>7</v>
      </c>
      <c r="B4" s="9">
        <v>0</v>
      </c>
      <c r="C4" s="9">
        <v>-74655.729999999996</v>
      </c>
      <c r="D4" s="9">
        <f>SUM(B4:C4)</f>
        <v>-74655.729999999996</v>
      </c>
      <c r="E4" s="3" t="s">
        <v>2</v>
      </c>
    </row>
    <row r="5" spans="1:4" s="3" customFormat="1" ht="15">
      <c r="A5" s="13"/>
      <c r="B5" s="10">
        <f>SUM(B3:B4)</f>
        <v>952.37</v>
      </c>
      <c r="C5" s="10">
        <f>SUM(C3:C4)</f>
        <v>153261.25</v>
      </c>
      <c r="D5" s="10">
        <f>SUM(B5:C5)</f>
        <v>154213.62</v>
      </c>
    </row>
    <row r="6" spans="1:4" s="3" customFormat="1" ht="15">
      <c r="A6" s="13"/>
      <c r="B6" s="10"/>
      <c r="C6" s="10"/>
      <c r="D6" s="10"/>
    </row>
    <row r="7" spans="1:4" s="3" customFormat="1" ht="15">
      <c r="A7" s="13" t="s">
        <v>8</v>
      </c>
      <c r="B7" s="11">
        <v>97.259999999999991</v>
      </c>
      <c r="C7" s="11">
        <v>25726.110000000001</v>
      </c>
      <c r="D7" s="11">
        <f t="shared" si="0" ref="D7:D9">SUM(B7:C7)</f>
        <v>25823.369999999999</v>
      </c>
    </row>
    <row r="8" spans="1:5" s="3" customFormat="1" ht="15">
      <c r="A8" s="13" t="s">
        <v>12</v>
      </c>
      <c r="B8" s="4">
        <f>B7-B5</f>
        <v>-855.11000000000001</v>
      </c>
      <c r="C8" s="4">
        <f>C7-C5</f>
        <v>-127535.14</v>
      </c>
      <c r="D8" s="4">
        <f t="shared" si="0"/>
        <v>-128390.25</v>
      </c>
      <c r="E8" s="3" t="s">
        <v>3</v>
      </c>
    </row>
    <row r="9" spans="1:5" s="3" customFormat="1" ht="15">
      <c r="A9" s="13" t="s">
        <v>13</v>
      </c>
      <c r="B9" s="11">
        <v>0</v>
      </c>
      <c r="C9" s="11">
        <v>-3005.0799999999999</v>
      </c>
      <c r="D9" s="11">
        <f t="shared" si="0"/>
        <v>-3005.0799999999999</v>
      </c>
      <c r="E9" s="3" t="s">
        <v>4</v>
      </c>
    </row>
    <row r="10" spans="1:5" s="3" customFormat="1" ht="15">
      <c r="A10" s="13" t="s">
        <v>9</v>
      </c>
      <c r="B10" s="2">
        <f>B4+B8+B9</f>
        <v>-855.11000000000001</v>
      </c>
      <c r="C10" s="2">
        <f>C4+C8+C9</f>
        <v>-205195.94999999998</v>
      </c>
      <c r="D10" s="2">
        <f>D4+D8+D9</f>
        <v>-206051.05999999997</v>
      </c>
      <c r="E10" s="3" t="s">
        <v>5</v>
      </c>
    </row>
    <row r="11" spans="1:4" s="3" customFormat="1" ht="15">
      <c r="A11" s="13"/>
      <c r="B11" s="4"/>
      <c r="C11" s="4"/>
      <c r="D11" s="4"/>
    </row>
    <row r="12" spans="1:5" s="3" customFormat="1" ht="15.75" thickBot="1">
      <c r="A12" s="13" t="s">
        <v>11</v>
      </c>
      <c r="B12" s="7">
        <f>B3+B10</f>
        <v>97.259999999999991</v>
      </c>
      <c r="C12" s="7">
        <f>C3+C10</f>
        <v>22721.030000000028</v>
      </c>
      <c r="D12" s="7">
        <f>D3+D10</f>
        <v>22818.290000000037</v>
      </c>
      <c r="E12" s="3" t="s">
        <v>6</v>
      </c>
    </row>
    <row r="13" spans="1:4" s="3" customFormat="1" ht="15.75" thickTop="1">
      <c r="A13" s="13"/>
      <c r="B13" s="4"/>
      <c r="C13" s="4"/>
      <c r="D13" s="4"/>
    </row>
    <row r="14" spans="1:1" s="3" customFormat="1" ht="15">
      <c r="A14" s="13"/>
    </row>
    <row r="15" spans="1:3" s="3" customFormat="1" ht="15">
      <c r="A15" s="13"/>
      <c r="C15" s="5"/>
    </row>
    <row r="16" spans="1:5" s="3" customFormat="1" ht="15">
      <c r="A16" s="13"/>
      <c r="C16" s="5"/>
      <c r="E16" s="5"/>
    </row>
    <row r="17" spans="3:3" ht="15">
      <c r="C17" s="1"/>
    </row>
  </sheetData>
  <pageMargins left="0.5" right="0.5" top="2.75" bottom="0.5" header="1" footer="0.3"/>
  <pageSetup fitToHeight="0" orientation="landscape" scale="92" r:id="rId1"/>
  <headerFooter>
    <oddHeader>&amp;C&amp;"-,Bold"
2022 Rate Case
Oncor Electric Delivery Company LLC
Interest on Customer Deposits (Account 4310100)
Test Year Ending December 31, 2021
Sponsor:  W. Alan Ledbetter&amp;R&amp;"-,Bold"WP/II-E-4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 Summary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