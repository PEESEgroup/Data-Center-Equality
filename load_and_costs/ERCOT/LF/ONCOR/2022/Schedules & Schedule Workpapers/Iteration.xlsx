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80" windowWidth="12390" windowHeight="7965" activeTab="1"/>
  </bookViews>
  <sheets>
    <sheet name="Lead Lag" sheetId="1" r:id="rId2"/>
    <sheet name="Wholesale_NTS_RO" sheetId="3" r:id="rId3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'Lead Lag'!$A$1:$T$69</definedName>
    <definedName name="_xlnm.Print_Area" localSheetId="1">Wholesale_NTS_RO!$A$2:$J$83</definedName>
  </definedNames>
  <calcPr calcId="152511"/>
  <fileRecoveryPr autoRecover="0"/>
</workbook>
</file>

<file path=xl/calcChain.xml><?xml version="1.0" encoding="utf-8"?>
<calcChain xmlns="http://schemas.openxmlformats.org/spreadsheetml/2006/main">
  <c r="C69" i="1" l="1"/>
</calcChain>
</file>

<file path=xl/sharedStrings.xml><?xml version="1.0" encoding="utf-8"?>
<sst xmlns="http://schemas.openxmlformats.org/spreadsheetml/2006/main" count="215" uniqueCount="187">
  <si>
    <t>Line</t>
  </si>
  <si>
    <t>Adjusted Test</t>
  </si>
  <si>
    <t>Avg. Daily</t>
  </si>
  <si>
    <t>Revenue</t>
  </si>
  <si>
    <t>Expense</t>
  </si>
  <si>
    <t>Net</t>
  </si>
  <si>
    <t>Working Capital</t>
  </si>
  <si>
    <t>No.</t>
  </si>
  <si>
    <t>Description</t>
  </si>
  <si>
    <t>Year Amount</t>
  </si>
  <si>
    <t>Prepayments</t>
  </si>
  <si>
    <t>Lag Days</t>
  </si>
  <si>
    <t>Lead Days</t>
  </si>
  <si>
    <t>(Lead)/Lag</t>
  </si>
  <si>
    <t>Requirement</t>
  </si>
  <si>
    <t>(a)</t>
  </si>
  <si>
    <t>(b)</t>
  </si>
  <si>
    <t>(c)</t>
  </si>
  <si>
    <t>(d)</t>
  </si>
  <si>
    <t xml:space="preserve">(e) </t>
  </si>
  <si>
    <t>(f)</t>
  </si>
  <si>
    <t>(g)</t>
  </si>
  <si>
    <t>Federal Income Taxes</t>
  </si>
  <si>
    <t>Taxes Other Than Income Taxes</t>
  </si>
  <si>
    <t>Depreciation Expense</t>
  </si>
  <si>
    <t>Return</t>
  </si>
  <si>
    <t>Average Daily Bank Balances</t>
  </si>
  <si>
    <t>Working Funds and Other</t>
  </si>
  <si>
    <t>Current Access Fee</t>
  </si>
  <si>
    <t xml:space="preserve">  Transmission Owners/Load Entities</t>
  </si>
  <si>
    <t>( $ / kW )</t>
  </si>
  <si>
    <t xml:space="preserve">  Austin Energy</t>
  </si>
  <si>
    <t xml:space="preserve">  Brazos Electric Coop</t>
  </si>
  <si>
    <t xml:space="preserve">  Brownsville Public Utilities Board</t>
  </si>
  <si>
    <t xml:space="preserve">  Bryan Texas Utilities</t>
  </si>
  <si>
    <t xml:space="preserve">  Cherokee County Electric Coop</t>
  </si>
  <si>
    <t xml:space="preserve">  College Station, City of</t>
  </si>
  <si>
    <t xml:space="preserve">  Deep East Texas Electric Coop</t>
  </si>
  <si>
    <t xml:space="preserve">  Denton Municipal Electric</t>
  </si>
  <si>
    <t xml:space="preserve">  East Texas Electric Coop</t>
  </si>
  <si>
    <t xml:space="preserve">  Fannin Electric Coop</t>
  </si>
  <si>
    <t xml:space="preserve">  Farmers Electric Coop</t>
  </si>
  <si>
    <t xml:space="preserve">  Floresville Electric Power System</t>
  </si>
  <si>
    <t xml:space="preserve">  Garland Power and Light</t>
  </si>
  <si>
    <t xml:space="preserve">  Grayson-Collin Electric Coop</t>
  </si>
  <si>
    <t xml:space="preserve">  Houston County Electric Coop</t>
  </si>
  <si>
    <t xml:space="preserve">  Lamar County Electric Coop</t>
  </si>
  <si>
    <t xml:space="preserve">  Lower Colorado River Authority</t>
  </si>
  <si>
    <t xml:space="preserve">  Rayburn Country</t>
  </si>
  <si>
    <t xml:space="preserve">  Rio Grande Electric Coop</t>
  </si>
  <si>
    <t xml:space="preserve">  San Antonio City Public Service</t>
  </si>
  <si>
    <t xml:space="preserve">  San Miguel Electric Coop</t>
  </si>
  <si>
    <t xml:space="preserve">  Sharyland Utilities</t>
  </si>
  <si>
    <t xml:space="preserve">  South Texas Electric Coop</t>
  </si>
  <si>
    <t xml:space="preserve">  Southwest Texas Electric Coop</t>
  </si>
  <si>
    <t xml:space="preserve">  Texas Municipal Power Agency</t>
  </si>
  <si>
    <t xml:space="preserve">  Texas-New Mexico Power Company</t>
  </si>
  <si>
    <t xml:space="preserve">  Trinity Valley Electric Coop</t>
  </si>
  <si>
    <t>Transmission Revenue Requirement =</t>
  </si>
  <si>
    <t>/ kW</t>
  </si>
  <si>
    <t>kW</t>
  </si>
  <si>
    <t>Source</t>
  </si>
  <si>
    <t xml:space="preserve">Average  </t>
  </si>
  <si>
    <t>Current ERCOT Wholesale Transmission Access Fees</t>
  </si>
  <si>
    <t xml:space="preserve">  Total ERCOT Transmission Access Fee</t>
  </si>
  <si>
    <t>Operation &amp; Maintenance Expenses</t>
  </si>
  <si>
    <t>Labor</t>
  </si>
  <si>
    <t>Payroll</t>
  </si>
  <si>
    <t>Non-Labor</t>
  </si>
  <si>
    <t>Current</t>
  </si>
  <si>
    <t>Payroll Taxes</t>
  </si>
  <si>
    <t>State Gross Margin Taxes</t>
  </si>
  <si>
    <t>Local Franchise Taxes</t>
  </si>
  <si>
    <t>Ad Valorem Taxes</t>
  </si>
  <si>
    <t>Total O&amp;M</t>
  </si>
  <si>
    <t>Total FIT</t>
  </si>
  <si>
    <t>Total Taxes Other Than Income Taxes</t>
  </si>
  <si>
    <t>Subtotal</t>
  </si>
  <si>
    <t>Total Cash Working Capital Requirement</t>
  </si>
  <si>
    <t>ITERATION</t>
  </si>
  <si>
    <t>Incentive Comp</t>
  </si>
  <si>
    <t xml:space="preserve">  Electric Transmission Texas</t>
  </si>
  <si>
    <t xml:space="preserve">  Oncor Electric Delivery </t>
  </si>
  <si>
    <t>(h)</t>
  </si>
  <si>
    <t>Deferred FIT &amp; ITC</t>
  </si>
  <si>
    <t>Oncor Electric Delivery -- Transmission Revenue Requirement  for Retail Delivery Service=</t>
  </si>
  <si>
    <t xml:space="preserve">  San Bernard Electric Coop</t>
  </si>
  <si>
    <t>Amortized O&amp;M Expenses</t>
  </si>
  <si>
    <t>Other Third-Party O&amp;M</t>
  </si>
  <si>
    <t>Amortization of Rate Case Expenses</t>
  </si>
  <si>
    <t>Amortization of Deferred OPEB</t>
  </si>
  <si>
    <t>Amortization of Deferred Pension</t>
  </si>
  <si>
    <t>Amortization of Insurance Reserve</t>
  </si>
  <si>
    <t>Amortization of</t>
  </si>
  <si>
    <t>TCOS</t>
  </si>
  <si>
    <t>Oncor</t>
  </si>
  <si>
    <t>Non-Oncor</t>
  </si>
  <si>
    <t>Other O&amp;M</t>
  </si>
  <si>
    <t xml:space="preserve">  Golden Spread Electric Coop</t>
  </si>
  <si>
    <t xml:space="preserve">              Pension &amp; Supplemental Retirement Benefits </t>
  </si>
  <si>
    <t xml:space="preserve">              Other Post-Employment Benefits </t>
  </si>
  <si>
    <t xml:space="preserve">  Bandera Electric Coop</t>
  </si>
  <si>
    <t xml:space="preserve">  Centerpoint Energy</t>
  </si>
  <si>
    <t xml:space="preserve">  Cross Texas Transmission LLC</t>
  </si>
  <si>
    <t xml:space="preserve">  Greenville Electric Utility System</t>
  </si>
  <si>
    <t xml:space="preserve">  Lone Star Transmission</t>
  </si>
  <si>
    <t xml:space="preserve">  Lyntegar Electric Coop</t>
  </si>
  <si>
    <t xml:space="preserve">  Wind Energy Transmission Texas LLC</t>
  </si>
  <si>
    <t xml:space="preserve">  Wood County Electric Coop</t>
  </si>
  <si>
    <t>Transmission Expense Riders</t>
  </si>
  <si>
    <t>Annualized Rider</t>
  </si>
  <si>
    <t>Annual Expense</t>
  </si>
  <si>
    <t>Subtotal, Transmission Expense Riders</t>
  </si>
  <si>
    <t>added riders below to this calculation</t>
  </si>
  <si>
    <t>Intra-company Transmision Revenue for TGMT</t>
  </si>
  <si>
    <t>Amortization of Defaulted REPs</t>
  </si>
  <si>
    <t>Amortization of AMS Related Expenses</t>
  </si>
  <si>
    <t xml:space="preserve">  AEP Texas </t>
  </si>
  <si>
    <t xml:space="preserve">  Oncor Electric Delivery NTU</t>
  </si>
  <si>
    <t xml:space="preserve">  Wind Energy Transm - Tax Rate Change </t>
  </si>
  <si>
    <t xml:space="preserve">  Wind Energy Transm - WTS Credit </t>
  </si>
  <si>
    <t xml:space="preserve">  East Texas Electric - WTS Credit Rider</t>
  </si>
  <si>
    <t>uses 2020 4CP</t>
  </si>
  <si>
    <t>TRAN + DC Tie</t>
  </si>
  <si>
    <t>NTU TRAN</t>
  </si>
  <si>
    <t>Intra-company Transmision Revenue (NTU)</t>
  </si>
  <si>
    <t>Affiliate Charges - Sempra</t>
  </si>
  <si>
    <t>Affiliate Charges - Other</t>
  </si>
  <si>
    <t>Wholesale Distribution Substation Service (NTU to Oncor)</t>
  </si>
  <si>
    <t>Factor</t>
  </si>
  <si>
    <t>NTU</t>
  </si>
  <si>
    <t>DC</t>
  </si>
  <si>
    <t>Consol</t>
  </si>
  <si>
    <t>TRAN</t>
  </si>
  <si>
    <t>TIE</t>
  </si>
  <si>
    <t>DIST</t>
  </si>
  <si>
    <t>MET</t>
  </si>
  <si>
    <t>TDCS</t>
  </si>
  <si>
    <t>Total</t>
  </si>
  <si>
    <t>TOMXFP</t>
  </si>
  <si>
    <t>PLTSVC-N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</si>
  <si>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</si>
  <si>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</si>
  <si>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</si>
  <si>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</si>
  <si>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</si>
  <si>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</si>
  <si>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</si>
  <si>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</si>
  <si>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</si>
  <si>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</si>
  <si>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</si>
  <si>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>Does not include ADJ (over/under collection)</t>
  </si>
  <si>
    <t xml:space="preserve">  Lubbock Power &amp; Light</t>
  </si>
  <si>
    <t>Jun 2021</t>
  </si>
  <si>
    <t>Jul 2021</t>
  </si>
  <si>
    <t>Aug 2021</t>
  </si>
  <si>
    <t>Sep 2021</t>
  </si>
  <si>
    <t xml:space="preserve">  Docket No. 52989</t>
  </si>
  <si>
    <t xml:space="preserve">  Rayburn County - WTS Credit Rider</t>
  </si>
  <si>
    <t xml:space="preserve">  Texas New Mexico Power - Rate Case Expense surcharge</t>
  </si>
  <si>
    <t xml:space="preserve">  Brownsville PUB - Rate Case Expense surcharge</t>
  </si>
  <si>
    <t xml:space="preserve">  Lubbock Power &amp; Light -  WTS Credit Rider</t>
  </si>
  <si>
    <t>uses annual 4CP</t>
  </si>
  <si>
    <t>Amortization of WDSS Reg Asset</t>
  </si>
  <si>
    <t>Amortization of NTU Study Cost/Transition to Completion</t>
  </si>
  <si>
    <t>Amortization of Capital Structure Refund</t>
  </si>
  <si>
    <t>Amortization of Docket 48325 Tax Refund</t>
  </si>
  <si>
    <t>Amortization of HB 2483 Mobile Gen &amp; Relocation Costs</t>
  </si>
  <si>
    <t>Amortization of Power Line Safety Act PURA 36066</t>
  </si>
  <si>
    <t>Amortization of COVID19 Incremental Expense</t>
  </si>
  <si>
    <t>Amoritzation of Sharyland Residential Interim Rates</t>
  </si>
  <si>
    <t>Amortization of Non-Standard Metering Service</t>
  </si>
  <si>
    <t>Docket No. 51611 rate</t>
  </si>
  <si>
    <t xml:space="preserve">  Oncor Electric Delivery Average 4-CP Load (as shown below)</t>
  </si>
  <si>
    <t>ERCOT kW</t>
  </si>
  <si>
    <t>Oncor Electric Delivery kW</t>
  </si>
  <si>
    <t>SU billing to Oncor for NTS</t>
  </si>
  <si>
    <t>Oncor's TCOS rate currently in effect, prior to this filing (from Docket No. 53145)</t>
  </si>
  <si>
    <t>Oncor's TCOS rate in effect during the test year (from Docket No. 52352, effective 9/20/2021)</t>
  </si>
  <si>
    <t>Oncor NTU's rate currently in effect, prior to this filing (from Docket No. 48929 &amp; 49519)</t>
  </si>
  <si>
    <t>Present TCOS/WTS revenues prior to this filing</t>
  </si>
  <si>
    <t>Third Party</t>
  </si>
  <si>
    <t>Affiliate</t>
  </si>
  <si>
    <t>SPONSOR: M. TROXLE</t>
  </si>
  <si>
    <t xml:space="preserve">       CALCULATION OF TRANSMISSION REVENUE REQUIREMENT FOR RETAIL DELIVERY SERVICE</t>
  </si>
  <si>
    <t>HB 2483 Mobile generator capital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</si>
</sst>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_);_(* \(#,##0.000\);_(* &quot;-&quot;??_);_(@_)"/>
    <numFmt numFmtId="167" formatCode="&quot;$&quot;#,##0"/>
    <numFmt numFmtId="168" formatCode="#,##0.0"/>
    <numFmt numFmtId="169" formatCode="&quot;$&quot;#,##0.000000000"/>
    <numFmt numFmtId="170" formatCode="0.000000000"/>
    <numFmt numFmtId="171" formatCode="&quot;$&quot;#,##0.00"/>
    <numFmt numFmtId="172" formatCode="#,##0.000"/>
    <numFmt numFmtId="173" formatCode="_(&quot;$&quot;* #,##0.000000000_);_(&quot;$&quot;* \(#,##0.000000000\);_(&quot;$&quot;* &quot;-&quot;?????????_);_(@_)"/>
  </numFmts>
  <fonts count="34">
    <font>
      <sz val="10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u val="single"/>
      <sz val="8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u val="single"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 val="single"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n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/>
      <bottom/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/>
      <bottom style="thin">
        <color auto="1"/>
      </bottom>
    </border>
    <border>
      <left/>
      <right style="medium">
        <color auto="1"/>
      </right>
      <top/>
      <bottom style="thin">
        <color auto="1"/>
      </bottom>
    </border>
    <border>
      <left style="medium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medium">
        <color auto="1"/>
      </right>
      <top style="thin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/>
      <top style="thin">
        <color auto="1"/>
      </top>
      <bottom style="double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/>
      <top/>
      <bottom style="double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</borders>
  <cellStyleXfs count="6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1" applyNumberFormat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1" applyNumberFormat="0" applyAlignment="0" applyProtection="0"/>
    <xf numFmtId="0" fontId="25" fillId="0" borderId="6" applyNumberFormat="0" applyFill="0" applyAlignment="0" applyProtection="0"/>
    <xf numFmtId="0" fontId="26" fillId="22" borderId="0" applyNumberFormat="0" applyBorder="0" applyAlignment="0" applyProtection="0"/>
    <xf numFmtId="0" fontId="14" fillId="23" borderId="7" applyNumberFormat="0" applyFont="0" applyAlignment="0" applyProtection="0"/>
    <xf numFmtId="0" fontId="27" fillId="20" borderId="8" applyNumberFormat="0" applyAlignment="0" applyProtection="0"/>
    <xf numFmtId="0" fontId="2" fillId="0" borderId="0" applyNumberFormat="0" applyFont="0" applyFill="0" applyBorder="0" applyProtection="0">
      <alignment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9">
      <alignment horizontal="center"/>
      <protection/>
    </xf>
    <xf numFmtId="3" fontId="2" fillId="0" borderId="0" applyFont="0" applyFill="0" applyBorder="0" applyAlignment="0" applyProtection="0"/>
    <xf numFmtId="0" fontId="2" fillId="24" borderId="0" applyNumberFormat="0" applyFont="0" applyBorder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 quotePrefix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/>
    <xf numFmtId="165" fontId="0" fillId="0" borderId="0" xfId="16" applyNumberFormat="1" applyFont="1" applyFill="1" applyProtection="1">
      <protection locked="0"/>
    </xf>
    <xf numFmtId="6" fontId="0" fillId="0" borderId="0" xfId="0" applyNumberFormat="1" applyFont="1"/>
    <xf numFmtId="166" fontId="7" fillId="0" borderId="0" xfId="18" applyNumberFormat="1" applyFont="1" applyFill="1"/>
    <xf numFmtId="166" fontId="7" fillId="0" borderId="0" xfId="18" applyNumberFormat="1" applyFont="1"/>
    <xf numFmtId="166" fontId="0" fillId="0" borderId="0" xfId="18" applyNumberFormat="1" applyFont="1" applyAlignment="1">
      <alignment horizontal="center"/>
    </xf>
    <xf numFmtId="164" fontId="7" fillId="0" borderId="0" xfId="18" applyNumberFormat="1" applyFont="1" applyFill="1" applyProtection="1">
      <protection locked="0"/>
    </xf>
    <xf numFmtId="166" fontId="0" fillId="0" borderId="0" xfId="18" applyNumberFormat="1" applyFont="1"/>
    <xf numFmtId="164" fontId="8" fillId="0" borderId="0" xfId="18" applyNumberFormat="1" applyFont="1" applyFill="1" applyProtection="1">
      <protection/>
    </xf>
    <xf numFmtId="164" fontId="0" fillId="0" borderId="0" xfId="18" applyNumberFormat="1" applyFont="1" applyFill="1" applyProtection="1">
      <protection locked="0"/>
    </xf>
    <xf numFmtId="38" fontId="0" fillId="0" borderId="0" xfId="0" applyNumberFormat="1" applyFont="1" applyFill="1"/>
    <xf numFmtId="40" fontId="0" fillId="0" borderId="0" xfId="0" applyNumberFormat="1" applyFont="1" applyFill="1"/>
    <xf numFmtId="7" fontId="0" fillId="0" borderId="0" xfId="0" applyNumberFormat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8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1" xfId="0" applyBorder="1"/>
    <xf numFmtId="168" fontId="0" fillId="0" borderId="11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8" fontId="0" fillId="0" borderId="20" xfId="0" applyNumberFormat="1" applyBorder="1"/>
    <xf numFmtId="0" fontId="0" fillId="0" borderId="21" xfId="0" applyBorder="1"/>
    <xf numFmtId="0" fontId="0" fillId="25" borderId="22" xfId="0" applyFill="1" applyBorder="1"/>
    <xf numFmtId="0" fontId="0" fillId="25" borderId="12" xfId="0" applyFill="1" applyBorder="1"/>
    <xf numFmtId="0" fontId="0" fillId="25" borderId="23" xfId="0" applyFill="1" applyBorder="1"/>
    <xf numFmtId="0" fontId="0" fillId="25" borderId="0" xfId="0" applyFill="1"/>
    <xf numFmtId="0" fontId="0" fillId="25" borderId="24" xfId="0" applyFill="1" applyBorder="1"/>
    <xf numFmtId="0" fontId="0" fillId="4" borderId="14" xfId="0" applyFill="1" applyBorder="1"/>
    <xf numFmtId="0" fontId="0" fillId="4" borderId="15" xfId="0" applyFill="1" applyBorder="1"/>
    <xf numFmtId="168" fontId="0" fillId="4" borderId="15" xfId="0" applyNumberFormat="1" applyFill="1" applyBorder="1"/>
    <xf numFmtId="169" fontId="0" fillId="4" borderId="15" xfId="0" applyNumberFormat="1" applyFill="1" applyBorder="1"/>
    <xf numFmtId="0" fontId="0" fillId="4" borderId="16" xfId="0" applyFill="1" applyBorder="1"/>
    <xf numFmtId="0" fontId="0" fillId="0" borderId="24" xfId="0" applyBorder="1"/>
    <xf numFmtId="0" fontId="0" fillId="25" borderId="0" xfId="0" applyFill="1" applyBorder="1"/>
    <xf numFmtId="0" fontId="0" fillId="25" borderId="13" xfId="0" applyFill="1" applyBorder="1"/>
    <xf numFmtId="169" fontId="0" fillId="0" borderId="25" xfId="0" applyNumberFormat="1" applyBorder="1"/>
    <xf numFmtId="0" fontId="0" fillId="0" borderId="0" xfId="0" applyBorder="1" quotePrefix="1"/>
    <xf numFmtId="0" fontId="0" fillId="25" borderId="26" xfId="0" applyFill="1" applyBorder="1"/>
    <xf numFmtId="0" fontId="0" fillId="25" borderId="9" xfId="0" applyFill="1" applyBorder="1"/>
    <xf numFmtId="0" fontId="0" fillId="25" borderId="27" xfId="0" applyFill="1" applyBorder="1"/>
    <xf numFmtId="0" fontId="0" fillId="0" borderId="26" xfId="0" applyBorder="1"/>
    <xf numFmtId="0" fontId="0" fillId="0" borderId="9" xfId="0" applyBorder="1"/>
    <xf numFmtId="169" fontId="0" fillId="0" borderId="9" xfId="0" applyNumberFormat="1" applyBorder="1"/>
    <xf numFmtId="0" fontId="0" fillId="0" borderId="27" xfId="0" applyBorder="1"/>
    <xf numFmtId="0" fontId="0" fillId="0" borderId="0" xfId="0" applyAlignment="1">
      <alignment/>
    </xf>
    <xf numFmtId="0" fontId="0" fillId="0" borderId="0" xfId="0" quotePrefix="1"/>
    <xf numFmtId="169" fontId="0" fillId="0" borderId="0" xfId="0" applyNumberFormat="1" applyBorder="1"/>
    <xf numFmtId="0" fontId="6" fillId="4" borderId="28" xfId="0" applyFont="1" applyFill="1" applyBorder="1"/>
    <xf numFmtId="167" fontId="6" fillId="4" borderId="28" xfId="0" applyNumberFormat="1" applyFont="1" applyFill="1" applyBorder="1"/>
    <xf numFmtId="0" fontId="0" fillId="4" borderId="28" xfId="0" applyFill="1" applyBorder="1"/>
    <xf numFmtId="0" fontId="0" fillId="4" borderId="29" xfId="0" applyFill="1" applyBorder="1"/>
    <xf numFmtId="0" fontId="4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17" fontId="4" fillId="0" borderId="0" xfId="0" applyNumberFormat="1" applyFont="1" applyAlignment="1" quotePrefix="1">
      <alignment horizontal="right"/>
    </xf>
    <xf numFmtId="168" fontId="4" fillId="0" borderId="0" xfId="0" applyNumberFormat="1" applyFont="1"/>
    <xf numFmtId="0" fontId="4" fillId="0" borderId="0" xfId="0" applyFont="1" applyAlignment="1" quotePrefix="1">
      <alignment horizontal="right"/>
    </xf>
    <xf numFmtId="168" fontId="4" fillId="0" borderId="0" xfId="0" applyNumberFormat="1" applyFont="1" applyBorder="1"/>
    <xf numFmtId="0" fontId="11" fillId="0" borderId="0" xfId="0" applyFont="1" applyAlignment="1">
      <alignment horizontal="right"/>
    </xf>
    <xf numFmtId="168" fontId="11" fillId="0" borderId="0" xfId="0" applyNumberFormat="1" applyFont="1" applyBorder="1"/>
    <xf numFmtId="43" fontId="4" fillId="0" borderId="0" xfId="18" applyFont="1"/>
    <xf numFmtId="0" fontId="6" fillId="0" borderId="0" xfId="0" applyFont="1" applyAlignment="1" quotePrefix="1">
      <alignment horizontal="center"/>
    </xf>
    <xf numFmtId="0" fontId="6" fillId="0" borderId="0" xfId="0" applyFont="1" applyAlignment="1" quotePrefix="1">
      <alignment/>
    </xf>
    <xf numFmtId="0" fontId="6" fillId="0" borderId="0" xfId="0" applyFont="1" applyAlignment="1">
      <alignment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12" fillId="0" borderId="0" xfId="0" applyFont="1"/>
    <xf numFmtId="165" fontId="7" fillId="0" borderId="0" xfId="16" applyNumberFormat="1" applyFont="1" applyFill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43" fontId="6" fillId="0" borderId="0" xfId="0" applyNumberFormat="1" applyFont="1" applyAlignment="1" applyProtection="1">
      <alignment horizontal="left"/>
      <protection locked="0"/>
    </xf>
    <xf numFmtId="0" fontId="13" fillId="0" borderId="0" xfId="0" applyFont="1" applyAlignment="1">
      <alignment horizontal="left" indent="1"/>
    </xf>
    <xf numFmtId="0" fontId="0" fillId="0" borderId="0" xfId="0" applyFont="1" applyAlignment="1">
      <alignment horizontal="left" indent="2"/>
    </xf>
    <xf numFmtId="0" fontId="0" fillId="0" borderId="0" xfId="0" applyFont="1" applyAlignment="1">
      <alignment horizontal="left" indent="4"/>
    </xf>
    <xf numFmtId="164" fontId="0" fillId="0" borderId="0" xfId="18" applyNumberFormat="1" applyFont="1" applyFill="1" applyBorder="1" applyProtection="1">
      <protection locked="0"/>
    </xf>
    <xf numFmtId="164" fontId="7" fillId="0" borderId="0" xfId="18" applyNumberFormat="1" applyFont="1" applyFill="1" applyBorder="1" applyProtection="1">
      <protection locked="0"/>
    </xf>
    <xf numFmtId="38" fontId="8" fillId="0" borderId="0" xfId="0" applyNumberFormat="1" applyFont="1" applyFill="1" applyBorder="1" applyProtection="1">
      <protection locked="0"/>
    </xf>
    <xf numFmtId="165" fontId="0" fillId="0" borderId="0" xfId="16" applyNumberFormat="1" applyFont="1" applyFill="1" applyBorder="1"/>
    <xf numFmtId="38" fontId="0" fillId="0" borderId="0" xfId="0" applyNumberFormat="1" applyFont="1" applyFill="1" applyBorder="1"/>
    <xf numFmtId="164" fontId="0" fillId="0" borderId="0" xfId="18" applyNumberFormat="1" applyFont="1" applyFill="1" applyBorder="1"/>
    <xf numFmtId="164" fontId="0" fillId="0" borderId="11" xfId="18" applyNumberFormat="1" applyFont="1" applyFill="1" applyBorder="1"/>
    <xf numFmtId="164" fontId="0" fillId="0" borderId="0" xfId="0" applyNumberFormat="1" applyFont="1" applyFill="1"/>
    <xf numFmtId="164" fontId="0" fillId="0" borderId="0" xfId="0" applyNumberFormat="1" applyFon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 indent="2"/>
    </xf>
    <xf numFmtId="164" fontId="0" fillId="0" borderId="11" xfId="18" applyNumberFormat="1" applyFont="1" applyFill="1" applyBorder="1" applyProtection="1">
      <protection locked="0"/>
    </xf>
    <xf numFmtId="164" fontId="0" fillId="0" borderId="0" xfId="18" applyNumberFormat="1" applyFont="1" applyFill="1"/>
    <xf numFmtId="166" fontId="0" fillId="0" borderId="0" xfId="18" applyNumberFormat="1" applyFont="1" applyFill="1" applyAlignment="1">
      <alignment horizontal="center"/>
    </xf>
    <xf numFmtId="0" fontId="0" fillId="0" borderId="0" xfId="0" applyFont="1"/>
    <xf numFmtId="0" fontId="9" fillId="4" borderId="15" xfId="0" applyFont="1" applyFill="1" applyBorder="1" applyAlignment="1">
      <alignment horizontal="left"/>
    </xf>
    <xf numFmtId="43" fontId="0" fillId="0" borderId="0" xfId="18" applyFont="1"/>
    <xf numFmtId="43" fontId="0" fillId="0" borderId="0" xfId="0" applyNumberFormat="1" applyFont="1"/>
    <xf numFmtId="0" fontId="0" fillId="0" borderId="15" xfId="0" applyFont="1" applyBorder="1"/>
    <xf numFmtId="0" fontId="0" fillId="0" borderId="11" xfId="0" applyFont="1" applyBorder="1"/>
    <xf numFmtId="0" fontId="9" fillId="0" borderId="20" xfId="0" applyFont="1" applyBorder="1"/>
    <xf numFmtId="0" fontId="9" fillId="0" borderId="15" xfId="0" applyFont="1" applyBorder="1"/>
    <xf numFmtId="0" fontId="9" fillId="0" borderId="11" xfId="0" applyFont="1" applyBorder="1"/>
    <xf numFmtId="43" fontId="0" fillId="0" borderId="0" xfId="0" applyNumberFormat="1" applyFont="1" applyFill="1"/>
    <xf numFmtId="0" fontId="6" fillId="0" borderId="2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23" xfId="0" applyFont="1" applyBorder="1"/>
    <xf numFmtId="0" fontId="6" fillId="0" borderId="24" xfId="0" applyFont="1" applyBorder="1" applyAlignment="1">
      <alignment horizontal="left"/>
    </xf>
    <xf numFmtId="0" fontId="6" fillId="0" borderId="13" xfId="0" applyFont="1" applyBorder="1"/>
    <xf numFmtId="43" fontId="0" fillId="0" borderId="0" xfId="18" applyNumberFormat="1" applyFont="1" applyFill="1"/>
    <xf numFmtId="43" fontId="0" fillId="0" borderId="0" xfId="18" applyNumberFormat="1" applyFont="1" applyFill="1" applyAlignment="1">
      <alignment horizontal="center"/>
    </xf>
    <xf numFmtId="43" fontId="7" fillId="0" borderId="0" xfId="18" applyNumberFormat="1" applyFont="1" applyFill="1"/>
    <xf numFmtId="43" fontId="8" fillId="0" borderId="0" xfId="18" applyNumberFormat="1" applyFont="1" applyFill="1" applyAlignment="1" applyProtection="1">
      <alignment horizontal="center"/>
      <protection locked="0"/>
    </xf>
    <xf numFmtId="166" fontId="0" fillId="0" borderId="0" xfId="18" applyNumberFormat="1" applyFont="1" applyFill="1"/>
    <xf numFmtId="164" fontId="7" fillId="0" borderId="0" xfId="18" applyNumberFormat="1" applyFont="1" applyFill="1" applyBorder="1"/>
    <xf numFmtId="0" fontId="0" fillId="0" borderId="0" xfId="0" applyFill="1" applyBorder="1"/>
    <xf numFmtId="8" fontId="0" fillId="0" borderId="0" xfId="0" applyNumberFormat="1" applyFont="1" applyFill="1"/>
    <xf numFmtId="9" fontId="0" fillId="0" borderId="0" xfId="0" applyNumberFormat="1" applyFont="1" applyFill="1" applyBorder="1"/>
    <xf numFmtId="164" fontId="0" fillId="0" borderId="30" xfId="0" applyNumberFormat="1" applyFont="1" applyFill="1" applyBorder="1"/>
    <xf numFmtId="10" fontId="0" fillId="0" borderId="0" xfId="15" applyNumberFormat="1" applyFont="1"/>
    <xf numFmtId="0" fontId="0" fillId="0" borderId="0" xfId="0" applyFont="1" applyAlignment="1">
      <alignment horizontal="left" indent="6"/>
    </xf>
    <xf numFmtId="170" fontId="0" fillId="0" borderId="15" xfId="0" applyNumberFormat="1" applyFont="1" applyBorder="1"/>
    <xf numFmtId="17" fontId="4" fillId="0" borderId="0" xfId="0" applyNumberFormat="1" applyFont="1" applyFill="1" applyAlignment="1" quotePrefix="1">
      <alignment horizontal="right"/>
    </xf>
    <xf numFmtId="168" fontId="4" fillId="0" borderId="0" xfId="0" applyNumberFormat="1" applyFont="1" applyFill="1"/>
    <xf numFmtId="0" fontId="0" fillId="0" borderId="0" xfId="0" applyFill="1"/>
    <xf numFmtId="170" fontId="4" fillId="0" borderId="0" xfId="0" applyNumberFormat="1" applyFont="1" applyFill="1" quotePrefix="1"/>
    <xf numFmtId="170" fontId="4" fillId="0" borderId="0" xfId="0" applyNumberFormat="1" applyFont="1" quotePrefix="1"/>
    <xf numFmtId="0" fontId="0" fillId="0" borderId="0" xfId="0" applyFont="1"/>
    <xf numFmtId="168" fontId="0" fillId="0" borderId="0" xfId="0" applyNumberFormat="1" applyBorder="1"/>
    <xf numFmtId="0" fontId="9" fillId="0" borderId="0" xfId="0" applyFont="1" applyBorder="1"/>
    <xf numFmtId="0" fontId="31" fillId="0" borderId="0" xfId="0" applyFont="1" applyBorder="1"/>
    <xf numFmtId="0" fontId="13" fillId="0" borderId="0" xfId="0" applyFont="1"/>
    <xf numFmtId="10" fontId="0" fillId="0" borderId="0" xfId="15" applyNumberFormat="1" applyFont="1"/>
    <xf numFmtId="0" fontId="6" fillId="0" borderId="31" xfId="0" applyFont="1" applyBorder="1"/>
    <xf numFmtId="0" fontId="6" fillId="0" borderId="15" xfId="0" applyFont="1" applyBorder="1"/>
    <xf numFmtId="39" fontId="6" fillId="0" borderId="32" xfId="0" applyNumberFormat="1" applyFont="1" applyBorder="1"/>
    <xf numFmtId="171" fontId="0" fillId="0" borderId="0" xfId="0" applyNumberFormat="1"/>
    <xf numFmtId="172" fontId="4" fillId="0" borderId="0" xfId="0" applyNumberFormat="1" applyFont="1" applyFill="1"/>
    <xf numFmtId="172" fontId="4" fillId="0" borderId="0" xfId="0" applyNumberFormat="1" applyFont="1"/>
    <xf numFmtId="172" fontId="11" fillId="0" borderId="25" xfId="0" applyNumberFormat="1" applyFont="1" applyBorder="1"/>
    <xf numFmtId="172" fontId="0" fillId="0" borderId="0" xfId="0" applyNumberFormat="1"/>
    <xf numFmtId="167" fontId="0" fillId="0" borderId="0" xfId="0" applyNumberFormat="1" applyFont="1"/>
    <xf numFmtId="0" fontId="0" fillId="0" borderId="0" xfId="0" applyFont="1" applyAlignment="1">
      <alignment horizontal="right"/>
    </xf>
    <xf numFmtId="44" fontId="0" fillId="0" borderId="0" xfId="0" applyNumberFormat="1"/>
    <xf numFmtId="0" fontId="0" fillId="0" borderId="0" xfId="0" applyFont="1" applyAlignment="1">
      <alignment horizontal="left" indent="4"/>
    </xf>
    <xf numFmtId="39" fontId="0" fillId="26" borderId="15" xfId="0" applyNumberFormat="1" applyFont="1" applyFill="1" applyBorder="1"/>
    <xf numFmtId="41" fontId="6" fillId="0" borderId="0" xfId="0" applyNumberFormat="1" applyFont="1" applyBorder="1"/>
    <xf numFmtId="0" fontId="0" fillId="0" borderId="0" xfId="0" applyFont="1" applyBorder="1"/>
    <xf numFmtId="170" fontId="0" fillId="0" borderId="0" xfId="0" applyNumberFormat="1"/>
    <xf numFmtId="44" fontId="6" fillId="0" borderId="25" xfId="0" applyNumberFormat="1" applyFont="1" applyBorder="1"/>
    <xf numFmtId="43" fontId="0" fillId="0" borderId="0" xfId="0" applyNumberFormat="1"/>
    <xf numFmtId="0" fontId="0" fillId="27" borderId="17" xfId="0" applyFill="1" applyBorder="1"/>
    <xf numFmtId="0" fontId="0" fillId="27" borderId="11" xfId="0" applyFill="1" applyBorder="1"/>
    <xf numFmtId="168" fontId="0" fillId="27" borderId="11" xfId="0" applyNumberFormat="1" applyFill="1" applyBorder="1"/>
    <xf numFmtId="170" fontId="0" fillId="27" borderId="15" xfId="0" applyNumberFormat="1" applyFont="1" applyFill="1" applyBorder="1"/>
    <xf numFmtId="0" fontId="9" fillId="27" borderId="11" xfId="0" applyFont="1" applyFill="1" applyBorder="1"/>
    <xf numFmtId="0" fontId="0" fillId="27" borderId="18" xfId="0" applyFill="1" applyBorder="1"/>
    <xf numFmtId="0" fontId="0" fillId="0" borderId="0" xfId="0" applyFont="1" applyAlignment="1">
      <alignment horizontal="left" indent="2"/>
    </xf>
    <xf numFmtId="41" fontId="0" fillId="0" borderId="0" xfId="0" applyNumberFormat="1" applyFont="1"/>
    <xf numFmtId="41" fontId="6" fillId="0" borderId="0" xfId="0" applyNumberFormat="1" applyFont="1"/>
    <xf numFmtId="41" fontId="0" fillId="0" borderId="0" xfId="0" applyNumberFormat="1" applyFont="1"/>
    <xf numFmtId="0" fontId="0" fillId="0" borderId="0" xfId="0" applyFont="1" applyFill="1" applyBorder="1" applyAlignment="1">
      <alignment horizontal="center"/>
    </xf>
    <xf numFmtId="164" fontId="32" fillId="0" borderId="0" xfId="18" applyNumberFormat="1" applyFont="1" applyFill="1" applyBorder="1" applyProtection="1">
      <protection locked="0"/>
    </xf>
    <xf numFmtId="0" fontId="33" fillId="26" borderId="0" xfId="0" applyFont="1" applyFill="1"/>
    <xf numFmtId="0" fontId="0" fillId="0" borderId="19" xfId="0" applyFont="1" applyBorder="1"/>
    <xf numFmtId="164" fontId="7" fillId="0" borderId="20" xfId="18" applyNumberFormat="1" applyFont="1" applyFill="1" applyBorder="1"/>
    <xf numFmtId="173" fontId="0" fillId="0" borderId="0" xfId="16" applyNumberFormat="1" applyFont="1"/>
    <xf numFmtId="173" fontId="0" fillId="0" borderId="0" xfId="0" applyNumberFormat="1" applyFont="1"/>
    <xf numFmtId="39" fontId="6" fillId="0" borderId="0" xfId="0" applyNumberFormat="1" applyFont="1" applyBorder="1"/>
    <xf numFmtId="43" fontId="0" fillId="28" borderId="0" xfId="18" applyNumberFormat="1" applyFont="1" applyFill="1"/>
    <xf numFmtId="44" fontId="0" fillId="0" borderId="0" xfId="16" applyFont="1"/>
    <xf numFmtId="170" fontId="4" fillId="0" borderId="0" xfId="0" applyNumberFormat="1" applyFont="1"/>
    <xf numFmtId="164" fontId="0" fillId="0" borderId="0" xfId="18" applyNumberFormat="1" applyFont="1" applyFill="1" applyProtection="1">
      <protection locked="0"/>
    </xf>
    <xf numFmtId="164" fontId="0" fillId="0" borderId="0" xfId="18" applyNumberFormat="1" applyFont="1" applyFill="1" applyBorder="1" applyProtection="1">
      <protection locked="0"/>
    </xf>
    <xf numFmtId="44" fontId="0" fillId="0" borderId="11" xfId="0" applyNumberFormat="1" applyBorder="1"/>
    <xf numFmtId="0" fontId="13" fillId="0" borderId="0" xfId="0" applyFont="1" applyBorder="1" applyAlignment="1">
      <alignment horizontal="right"/>
    </xf>
    <xf numFmtId="0" fontId="0" fillId="0" borderId="11" xfId="0" applyFont="1" applyBorder="1" applyAlignment="1">
      <alignment horizontal="center"/>
    </xf>
    <xf numFmtId="0" fontId="0" fillId="0" borderId="0" xfId="0" applyFont="1" applyFill="1" applyAlignment="1">
      <alignment horizontal="left" indent="2"/>
    </xf>
    <xf numFmtId="0" fontId="0" fillId="0" borderId="0" xfId="0" applyFont="1" applyFill="1"/>
    <xf numFmtId="41" fontId="0" fillId="0" borderId="0" xfId="0" applyNumberFormat="1" applyFont="1" applyFill="1"/>
    <xf numFmtId="41" fontId="6" fillId="0" borderId="0" xfId="0" applyNumberFormat="1" applyFont="1" applyFill="1"/>
    <xf numFmtId="0" fontId="0" fillId="0" borderId="0" xfId="0" applyFont="1" applyFill="1" applyAlignment="1">
      <alignment horizontal="left" indent="4"/>
    </xf>
    <xf numFmtId="0" fontId="0" fillId="0" borderId="14" xfId="0" applyFont="1" applyBorder="1"/>
    <xf numFmtId="0" fontId="5" fillId="0" borderId="0" xfId="0" applyFont="1" applyAlignment="1">
      <alignment horizontal="center"/>
    </xf>
    <xf numFmtId="43" fontId="6" fillId="0" borderId="0" xfId="0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4" borderId="33" xfId="0" applyFont="1" applyFill="1" applyBorder="1" applyAlignment="1">
      <alignment wrapText="1"/>
    </xf>
    <xf numFmtId="0" fontId="0" fillId="0" borderId="28" xfId="0" applyBorder="1" applyAlignment="1">
      <alignment wrapText="1"/>
    </xf>
  </cellXfs>
  <cellStyles count="5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 builtinId="30"/>
    <cellStyle name="20% - Accent2" xfId="21" builtinId="34"/>
    <cellStyle name="20% - Accent3" xfId="22" builtinId="38"/>
    <cellStyle name="20% - Accent4" xfId="23" builtinId="42"/>
    <cellStyle name="20% - Accent5" xfId="24" builtinId="46"/>
    <cellStyle name="20% - Accent6" xfId="25" builtinId="50"/>
    <cellStyle name="40% - Accent1" xfId="26" builtinId="31"/>
    <cellStyle name="40% - Accent2" xfId="27" builtinId="35"/>
    <cellStyle name="40% - Accent3" xfId="28" builtinId="39"/>
    <cellStyle name="40% - Accent4" xfId="29" builtinId="43"/>
    <cellStyle name="40% - Accent5" xfId="30" builtinId="47"/>
    <cellStyle name="40% - Accent6" xfId="31" builtinId="51"/>
    <cellStyle name="60% - Accent1" xfId="32" builtinId="32"/>
    <cellStyle name="60% - Accent2" xfId="33" builtinId="36"/>
    <cellStyle name="60% - Accent3" xfId="34" builtinId="40"/>
    <cellStyle name="60% - Accent4" xfId="35" builtinId="44"/>
    <cellStyle name="60% - Accent5" xfId="36" builtinId="48"/>
    <cellStyle name="60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Bad" xfId="44" builtinId="27"/>
    <cellStyle name="Calculation" xfId="45" builtinId="22"/>
    <cellStyle name="Check Cell" xfId="46" builtinId="23"/>
    <cellStyle name="Explanatory Text" xfId="47" builtinId="53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Input" xfId="53" builtinId="20"/>
    <cellStyle name="Linked Cell" xfId="54" builtinId="24"/>
    <cellStyle name="Neutral" xfId="55" builtinId="28"/>
    <cellStyle name="Note" xfId="56" builtinId="10"/>
    <cellStyle name="Output" xfId="57" builtinId="21"/>
    <cellStyle name="PSChar" xfId="58"/>
    <cellStyle name="PSDate" xfId="59"/>
    <cellStyle name="PSDec" xfId="60"/>
    <cellStyle name="PSHeading" xfId="61"/>
    <cellStyle name="PSInt" xfId="62"/>
    <cellStyle name="PSSpacer" xfId="63"/>
    <cellStyle name="Title" xfId="64" builtinId="15"/>
    <cellStyle name="Total" xfId="65" builtinId="25"/>
    <cellStyle name="Warning Text" xfId="66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3.xml" /><Relationship Id="rId4" Type="http://schemas.openxmlformats.org/officeDocument/2006/relationships/styles" Target="styles.xml" /><Relationship Id="rId9" Type="http://schemas.openxmlformats.org/officeDocument/2006/relationships/externalLink" Target="externalLinks/externalLink4.xml" /><Relationship Id="rId6" Type="http://schemas.openxmlformats.org/officeDocument/2006/relationships/externalLink" Target="externalLinks/externalLink1.xml" /><Relationship Id="rId10" Type="http://schemas.openxmlformats.org/officeDocument/2006/relationships/externalLink" Target="externalLinks/externalLink5.xml" /><Relationship Id="rId12" Type="http://schemas.openxmlformats.org/officeDocument/2006/relationships/calcChain" Target="calcChain.xml" /><Relationship Id="rId11" Type="http://schemas.openxmlformats.org/officeDocument/2006/relationships/externalLink" Target="externalLinks/externalLink6.xml" /><Relationship Id="rId3" Type="http://schemas.openxmlformats.org/officeDocument/2006/relationships/worksheet" Target="worksheets/sheet2.xml" /><Relationship Id="rId7" Type="http://schemas.openxmlformats.org/officeDocument/2006/relationships/externalLink" Target="externalLinks/externalLink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10</xdr:col>
      <xdr:colOff>152400</xdr:colOff>
      <xdr:row>58</xdr:row>
      <xdr:rowOff>152400</xdr:rowOff>
    </xdr:from>
    <xdr:to>
      <xdr:col>12</xdr:col>
      <xdr:colOff>457200</xdr:colOff>
      <xdr:row>58</xdr:row>
      <xdr:rowOff>228600</xdr:rowOff>
    </xdr:to>
    <xdr:cxnSp macro="">
      <xdr:nvCxnSpPr>
        <xdr:cNvPr id="3" name="Straight Arrow Connector 2"/>
        <xdr:cNvCxnSpPr/>
      </xdr:nvCxnSpPr>
      <xdr:spPr>
        <a:xfrm flipH="1" flipV="1">
          <a:off x="5981700" y="9515475"/>
          <a:ext cx="2333625" cy="76200"/>
        </a:xfrm>
        <a:prstGeom prst="straightConnector1"/>
        <a:ln>
          <a:solidFill>
            <a:schemeClr val="accent1">
              <a:shade val="95000"/>
              <a:satMod val="10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Section%20II%20(Test%20Year%20Data)/Schedule%20D%20(O%20&amp;%20M%20Expense)/Schedule%20II-D.xlsm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Section%20II%20(Test%20Year%20Data)/Schedule%20F%20(Functionalization%20Factors)/Schedule%20II-F.xlsm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Section%20II%20(Test%20Year%20Data)/Schedule%20D%20(O%20&amp;%20M%20Expense)/Schedule%20II-D%20Workpapers/WP_II-D%20Adjustment%20Summary.xlsm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Section%20II%20(Test%20Year%20Data)/Schedule%20E%20(Other%20Items)/Schedule%20II-E.xlsm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Section%20I%20(Summary)/Schedule%20I-A.xlsm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Headings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I-D-1"/>
      <sheetName val="II-D-1a"/>
      <sheetName val="II-D-1.1"/>
      <sheetName val="II-D-2"/>
      <sheetName val="II-D-2a"/>
      <sheetName val="II-D-2.1"/>
      <sheetName val="II-D-2.2.1"/>
      <sheetName val="II-D-2.2.2"/>
      <sheetName val="II-D-2.2.3"/>
      <sheetName val="II-D-2.2a"/>
      <sheetName val="II-D-2.3"/>
      <sheetName val="II-D-2.4"/>
      <sheetName val="II-D-2.4a"/>
      <sheetName val="II-D-2.5"/>
      <sheetName val="II-D-2.6"/>
      <sheetName val="II-D-2.6a"/>
      <sheetName val="II-D-2.6b"/>
      <sheetName val="II-D-2.6c"/>
      <sheetName val="II-D-2.7 Conf."/>
      <sheetName val="II-D-2.8"/>
      <sheetName val="II-D-2.9"/>
      <sheetName val="II-D-2.9a"/>
      <sheetName val="II-D-2.9b"/>
      <sheetName val="II-D-2.9c"/>
      <sheetName val="II-D-2.9 Attachment 1"/>
      <sheetName val="II-D-3"/>
      <sheetName val="II-D-3.1"/>
      <sheetName val="II-D-3.2"/>
      <sheetName val="II-D-3.3"/>
      <sheetName val="II-D-3.4"/>
      <sheetName val="II-D-3.5"/>
      <sheetName val="II-D-3.6"/>
      <sheetName val="II-D-3.7.1"/>
      <sheetName val="II-D-3.7.2"/>
      <sheetName val="II-D-3.7.3"/>
      <sheetName val="II-D-3.7.3A"/>
      <sheetName val="II-D-3.7.4"/>
      <sheetName val="II-D-3.7.4a"/>
      <sheetName val="II-D-3.7.5"/>
      <sheetName val="II-D-3.8.1"/>
      <sheetName val="II-D-3.8.2"/>
      <sheetName val="II-D-3.8.3"/>
      <sheetName val="II-D-3.9.1"/>
      <sheetName val="II-D-3.9.2"/>
      <sheetName val="II-D-3.9.3"/>
      <sheetName val="II-D-3.10"/>
      <sheetName val="II-D-3.10 Attachment 1"/>
      <sheetName val="II-D-4"/>
    </sheetNames>
    <sheetDataSet>
      <sheetData sheetId="0">
        <row r="80">
          <cell r="I80">
            <v>299779685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0">
          <cell r="D40">
            <v>42446295.000685</v>
          </cell>
        </row>
      </sheetData>
      <sheetData sheetId="43"/>
      <sheetData sheetId="44"/>
      <sheetData sheetId="45">
        <row r="31">
          <cell r="D31">
            <v>29852986</v>
          </cell>
        </row>
      </sheetData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I-F Alloc_Data"/>
      <sheetName val="II-F Alloc_Factor"/>
    </sheetNames>
    <sheetDataSet>
      <sheetData sheetId="0"/>
      <sheetData sheetId="1"/>
      <sheetData sheetId="2">
        <row r="18">
          <cell r="E18">
            <v>0.0868495718725891</v>
          </cell>
          <cell r="F18">
            <v>0</v>
          </cell>
          <cell r="G18">
            <v>0</v>
          </cell>
          <cell r="I18">
            <v>0.830537335284187</v>
          </cell>
          <cell r="J18">
            <v>0</v>
          </cell>
          <cell r="L18">
            <v>0.0456171738719941</v>
          </cell>
        </row>
        <row r="19">
          <cell r="E19">
            <v>0.430566640499313</v>
          </cell>
          <cell r="F19">
            <v>0.0670372692012896</v>
          </cell>
          <cell r="G19">
            <v>0.000549309313618402</v>
          </cell>
          <cell r="I19">
            <v>0.466942841373803</v>
          </cell>
          <cell r="J19">
            <v>0.00548201458329094</v>
          </cell>
          <cell r="L19">
            <v>0.0158801437686384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Labor Summary"/>
      <sheetName val="Template"/>
      <sheetName val="Adj. #1"/>
      <sheetName val="Adj. #2"/>
      <sheetName val="Adj. #3"/>
      <sheetName val="Adj. #4"/>
      <sheetName val="Adj. #5"/>
      <sheetName val="Adj. #6"/>
      <sheetName val="Adj. #7"/>
      <sheetName val="Adj. #8"/>
      <sheetName val="Adj. #9"/>
      <sheetName val="Adj. #10"/>
      <sheetName val="Adj. #11"/>
      <sheetName val="Adj. #12"/>
      <sheetName val="Adj. #13"/>
      <sheetName val="Adj. #14"/>
      <sheetName val="Adj. #15"/>
      <sheetName val="Adj. #16"/>
      <sheetName val="Adj. #17"/>
      <sheetName val="Adj. #18"/>
      <sheetName val="Adj. #19"/>
      <sheetName val="Adj. #20"/>
      <sheetName val="Adj. #21"/>
      <sheetName val="Adj. #22"/>
      <sheetName val="Adj. #23"/>
      <sheetName val="Adj. #24"/>
      <sheetName val="Adj. #25"/>
      <sheetName val="Adj. #26"/>
      <sheetName val="Adj. #27"/>
      <sheetName val="Adj. #28"/>
      <sheetName val="Adj. #29"/>
      <sheetName val="Adj. #30"/>
      <sheetName val="Adj. #31"/>
      <sheetName val="Adj. #32"/>
      <sheetName val="Adj. #33"/>
      <sheetName val="Adj. #34"/>
      <sheetName val="Adj. #35"/>
      <sheetName val="Adj. #36"/>
      <sheetName val="Adj. #37"/>
      <sheetName val="Adj. #38"/>
      <sheetName val="Adj. #39"/>
      <sheetName val="Adj. #40"/>
      <sheetName val="Adj. #41"/>
      <sheetName val="Adj. #42"/>
      <sheetName val="Adj. #43"/>
      <sheetName val="Adj. #44"/>
      <sheetName val="Adj. #45"/>
      <sheetName val="Adj. #46"/>
      <sheetName val="Adj. #47"/>
      <sheetName val="Adj. #48"/>
      <sheetName val="Adj. #49"/>
      <sheetName val="Adj. #50"/>
      <sheetName val="Adj. #51"/>
      <sheetName val="Adj. #52"/>
      <sheetName val="Adj. #53"/>
      <sheetName val="Adj. #54"/>
      <sheetName val="Adj. #55"/>
      <sheetName val="Adj. #56"/>
      <sheetName val="Adj. #57"/>
      <sheetName val="Adj. #58"/>
      <sheetName val="Adj. #59"/>
      <sheetName val="Adj. #60"/>
      <sheetName val="Adj. #61"/>
      <sheetName val="Adj. #62"/>
      <sheetName val="Adj. #63"/>
      <sheetName val="Adj. #64"/>
      <sheetName val="Adj. #65"/>
      <sheetName val="Adj. #66"/>
      <sheetName val="Adj. #67"/>
      <sheetName val="Adj. #68"/>
      <sheetName val="Adj. #69"/>
      <sheetName val="Adj. #70"/>
    </sheetNames>
    <sheetDataSet>
      <sheetData sheetId="0">
        <row r="87">
          <cell r="D87">
            <v>-20086519.12</v>
          </cell>
        </row>
        <row r="88">
          <cell r="D88">
            <v>-21056212.6</v>
          </cell>
        </row>
        <row r="108">
          <cell r="D108">
            <v>1646625.69</v>
          </cell>
        </row>
        <row r="112">
          <cell r="D112">
            <v>2583392.26</v>
          </cell>
        </row>
        <row r="122">
          <cell r="D122">
            <v>16328.9</v>
          </cell>
        </row>
        <row r="123">
          <cell r="D123">
            <v>473660.66</v>
          </cell>
        </row>
        <row r="124">
          <cell r="D124">
            <v>5217.6</v>
          </cell>
        </row>
        <row r="125">
          <cell r="D125">
            <v>1502680.04</v>
          </cell>
        </row>
        <row r="126">
          <cell r="D126">
            <v>6923725.26</v>
          </cell>
        </row>
        <row r="134">
          <cell r="D134">
            <v>125472.6</v>
          </cell>
        </row>
        <row r="139">
          <cell r="D139">
            <v>13295686.23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I-E-1"/>
      <sheetName val="II-E-2"/>
      <sheetName val="II-E-2.1"/>
      <sheetName val="II-E-3 Attachment"/>
      <sheetName val="II-E-3"/>
      <sheetName val="II-E-3.1"/>
      <sheetName val="II-E-3.2a"/>
      <sheetName val="II-E-3.2b"/>
      <sheetName val="II-E-3.3"/>
      <sheetName val="II-E-3.4"/>
      <sheetName val="II-E-3.5"/>
      <sheetName val="II-E-3.5a"/>
      <sheetName val="II-E-3.6"/>
      <sheetName val="II-E-3.7"/>
      <sheetName val="II-E-3.8"/>
      <sheetName val="II-E-3.9"/>
      <sheetName val="II-E-3.10"/>
      <sheetName val="II-E-3.11"/>
      <sheetName val="II-E-3.12"/>
      <sheetName val="II-E-3.13"/>
      <sheetName val="II-E-3.14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"/>
      <sheetName val="II-E-3.24"/>
      <sheetName val="II-E-4"/>
      <sheetName val="II-E-4.1"/>
      <sheetName val="II-E-4.1.1"/>
      <sheetName val="II-E-4.2"/>
      <sheetName val="II-E-4.3"/>
      <sheetName val="II-E-4.4"/>
      <sheetName val="II-E-4.5"/>
      <sheetName val="II-E-4.6"/>
      <sheetName val="II-E-5"/>
    </sheetNames>
    <sheetDataSet>
      <sheetData sheetId="0">
        <row r="49">
          <cell r="F49">
            <v>17325713.12</v>
          </cell>
        </row>
        <row r="50">
          <cell r="F50">
            <v>216872.96</v>
          </cell>
        </row>
        <row r="51">
          <cell r="F51">
            <v>298079.6</v>
          </cell>
        </row>
        <row r="53">
          <cell r="F53">
            <v>283681884.16</v>
          </cell>
        </row>
      </sheetData>
      <sheetData sheetId="1">
        <row r="78">
          <cell r="W78">
            <v>924809854.600305</v>
          </cell>
        </row>
      </sheetData>
      <sheetData sheetId="2">
        <row r="30">
          <cell r="I30">
            <v>27740678.56</v>
          </cell>
        </row>
        <row r="31">
          <cell r="I31">
            <v>283082877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4">
          <cell r="E104">
            <v>95424803.36</v>
          </cell>
        </row>
        <row r="115">
          <cell r="E115">
            <v>71447595.51</v>
          </cell>
        </row>
        <row r="117">
          <cell r="E117">
            <v>-771634.72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1">
          <cell r="I31">
            <v>449449.64</v>
          </cell>
        </row>
      </sheetData>
      <sheetData sheetId="34">
        <row r="32">
          <cell r="K32">
            <v>15053413.87</v>
          </cell>
        </row>
        <row r="34">
          <cell r="K34">
            <v>11840.15</v>
          </cell>
        </row>
        <row r="35">
          <cell r="K35">
            <v>1671750.798</v>
          </cell>
        </row>
        <row r="36">
          <cell r="K36">
            <v>104973.81</v>
          </cell>
        </row>
        <row r="37">
          <cell r="K37">
            <v>42874826.54</v>
          </cell>
        </row>
        <row r="38">
          <cell r="K38">
            <v>75217726.18</v>
          </cell>
        </row>
        <row r="39">
          <cell r="K39">
            <v>730702.9</v>
          </cell>
        </row>
        <row r="40">
          <cell r="K40">
            <v>1782613.47</v>
          </cell>
        </row>
        <row r="41">
          <cell r="K41">
            <v>-2896737.68</v>
          </cell>
        </row>
        <row r="42">
          <cell r="K42">
            <v>34595566.09</v>
          </cell>
        </row>
        <row r="43">
          <cell r="K43">
            <v>-3488031.24</v>
          </cell>
        </row>
        <row r="44">
          <cell r="K44">
            <v>3763181.95</v>
          </cell>
        </row>
        <row r="45">
          <cell r="K45">
            <v>-7857828.74</v>
          </cell>
        </row>
        <row r="46">
          <cell r="K46">
            <v>6445.41199999999</v>
          </cell>
        </row>
        <row r="47">
          <cell r="K47">
            <v>5654.172</v>
          </cell>
        </row>
        <row r="48">
          <cell r="K48">
            <v>3916.35368419552</v>
          </cell>
        </row>
        <row r="56">
          <cell r="K56">
            <v>520569.48</v>
          </cell>
        </row>
      </sheetData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-A"/>
      <sheetName val="I-A-1"/>
      <sheetName val="I-A-2"/>
    </sheetNames>
    <sheetDataSet>
      <sheetData sheetId="0">
        <row r="4">
          <cell r="D4">
            <v>2794288343.19</v>
          </cell>
        </row>
        <row r="8">
          <cell r="D8">
            <v>1326522950.50264</v>
          </cell>
        </row>
        <row r="9">
          <cell r="D9">
            <v>5824068017.84294</v>
          </cell>
        </row>
        <row r="15">
          <cell r="E15">
            <v>1270806419.60153</v>
          </cell>
          <cell r="F15">
            <v>173023039.77111</v>
          </cell>
          <cell r="G15">
            <v>1346894.105655</v>
          </cell>
        </row>
      </sheetData>
      <sheetData sheetId="1"/>
      <sheetData sheetId="2">
        <row r="23">
          <cell r="F23">
            <v>5824068017.84294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Schedule Sponsors"/>
    </sheetNames>
    <sheetDataSet>
      <sheetData sheetId="0">
        <row r="2">
          <cell r="A2" t="str">
            <v>ONCOR ELECTRIC DELIVERY COMPANY LLC</v>
          </cell>
        </row>
        <row r="4">
          <cell r="A4" t="str">
            <v>TEST YEAR ENDING DECEMBER 31, 2021</v>
          </cell>
        </row>
        <row r="9">
          <cell r="A9" t="str">
            <v>2022 RATE CASE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U73"/>
  <sheetViews>
    <sheetView zoomScale="85" zoomScaleNormal="85" workbookViewId="0" topLeftCell="A1">
      <pane xSplit="2" ySplit="11" topLeftCell="C55" activePane="bottomRight" state="frozen"/>
      <selection pane="topLeft" activeCell="A1" sqref="A1"/>
      <selection pane="bottomLeft" activeCell="A12" sqref="A12"/>
      <selection pane="topRight" activeCell="C1" sqref="C1"/>
      <selection pane="bottomRight" activeCell="C14" sqref="C14:T67"/>
    </sheetView>
  </sheetViews>
  <sheetFormatPr defaultColWidth="9.14428571428571" defaultRowHeight="12.75"/>
  <cols>
    <col min="1" max="1" width="5.71428571428571" style="1" customWidth="1"/>
    <col min="2" max="2" width="56.4285714285714" style="1" bestFit="1" customWidth="1"/>
    <col min="3" max="3" width="14" style="15" bestFit="1" customWidth="1"/>
    <col min="4" max="4" width="17.2857142857143" style="1" customWidth="1"/>
    <col min="5" max="5" width="13.2857142857143" style="1" customWidth="1"/>
    <col min="6" max="7" width="12.4285714285714" style="1" customWidth="1"/>
    <col min="8" max="8" width="13" style="14" customWidth="1"/>
    <col min="9" max="9" width="16.8571428571429" style="1" customWidth="1"/>
    <col min="10" max="10" width="13.4285714285714" style="1" bestFit="1" customWidth="1"/>
    <col min="11" max="11" width="14" style="1" bestFit="1" customWidth="1"/>
    <col min="12" max="12" width="11.8571428571429" style="1" bestFit="1" customWidth="1"/>
    <col min="13" max="13" width="9.14285714285714" style="1"/>
    <col min="14" max="15" width="11.8571428571429" style="1" bestFit="1" customWidth="1"/>
    <col min="16" max="16" width="9.71428571428571" style="1" bestFit="1" customWidth="1"/>
    <col min="17" max="17" width="11.8571428571429" style="1" bestFit="1" customWidth="1"/>
    <col min="18" max="18" width="10.8571428571429" style="1" bestFit="1" customWidth="1"/>
    <col min="19" max="19" width="13.5714285714286" style="1" bestFit="1" customWidth="1"/>
    <col min="20" max="20" width="12.8571428571429" style="1" bestFit="1" customWidth="1"/>
    <col min="21" max="16384" width="9.14285714285714" style="1"/>
  </cols>
  <sheetData>
    <row r="1" spans="1:9" ht="12.75">
      <c r="A1" s="199"/>
      <c r="B1" s="200"/>
      <c r="C1" s="200"/>
      <c r="D1" s="200"/>
      <c r="E1" s="200"/>
      <c r="F1" s="200"/>
      <c r="G1" s="200"/>
      <c r="H1" s="200"/>
      <c r="I1" s="200"/>
    </row>
    <row r="2" spans="1:9" ht="12.75">
      <c r="A2" s="90"/>
      <c r="B2" s="89"/>
      <c r="C2" s="89"/>
      <c r="D2" s="89"/>
      <c r="E2" s="89"/>
      <c r="F2" s="89"/>
      <c r="G2" s="89"/>
      <c r="H2" s="89"/>
      <c r="I2" s="89"/>
    </row>
    <row r="3" spans="1:9" ht="12.75">
      <c r="A3" s="201" t="s">
        <v>79</v>
      </c>
      <c r="B3" s="201"/>
      <c r="C3" s="201"/>
      <c r="D3" s="201"/>
      <c r="E3" s="201"/>
      <c r="F3" s="201"/>
      <c r="G3" s="201"/>
      <c r="H3" s="201"/>
      <c r="I3" s="201"/>
    </row>
    <row r="4" spans="1:9" ht="12.75">
      <c r="A4" s="202"/>
      <c r="B4" s="201"/>
      <c r="C4" s="201"/>
      <c r="D4" s="201"/>
      <c r="E4" s="201"/>
      <c r="F4" s="201"/>
      <c r="G4" s="201"/>
      <c r="H4" s="201"/>
      <c r="I4" s="201"/>
    </row>
    <row r="5" spans="1:9" ht="12.75">
      <c r="A5" s="198"/>
      <c r="B5" s="198"/>
      <c r="C5" s="198"/>
      <c r="D5" s="198"/>
      <c r="E5" s="198"/>
      <c r="F5" s="198"/>
      <c r="G5" s="198"/>
      <c r="H5" s="198"/>
      <c r="I5" s="198"/>
    </row>
    <row r="6" spans="1:9" ht="12.75">
      <c r="A6" s="2"/>
      <c r="B6" s="2"/>
      <c r="C6" s="3"/>
      <c r="D6" s="2"/>
      <c r="E6" s="2"/>
      <c r="F6" s="2"/>
      <c r="G6" s="2"/>
      <c r="H6" s="2"/>
      <c r="I6" s="2"/>
    </row>
    <row r="7" spans="1:20" ht="12.75">
      <c r="A7" s="4"/>
      <c r="C7" s="5"/>
      <c r="D7" s="4"/>
      <c r="E7" s="4"/>
      <c r="F7" s="4"/>
      <c r="G7" s="4"/>
      <c r="H7" s="6"/>
      <c r="I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2.75">
      <c r="A8" s="7" t="s">
        <v>0</v>
      </c>
      <c r="B8" s="8"/>
      <c r="C8" s="9" t="s">
        <v>1</v>
      </c>
      <c r="D8" s="7" t="s">
        <v>93</v>
      </c>
      <c r="E8" s="7" t="s">
        <v>2</v>
      </c>
      <c r="F8" s="7" t="s">
        <v>3</v>
      </c>
      <c r="G8" s="7" t="s">
        <v>4</v>
      </c>
      <c r="H8" s="7" t="s">
        <v>5</v>
      </c>
      <c r="I8" s="7" t="s">
        <v>6</v>
      </c>
      <c r="K8" s="7"/>
      <c r="L8" s="7" t="s">
        <v>130</v>
      </c>
      <c r="M8" s="7" t="s">
        <v>131</v>
      </c>
      <c r="N8" s="7" t="s">
        <v>132</v>
      </c>
      <c r="O8" s="7"/>
      <c r="P8" s="7" t="s">
        <v>130</v>
      </c>
      <c r="Q8" s="7" t="s">
        <v>132</v>
      </c>
      <c r="R8" s="7"/>
      <c r="S8" s="7"/>
      <c r="T8" s="7"/>
    </row>
    <row r="9" spans="1:20" ht="12.75">
      <c r="A9" s="10" t="s">
        <v>7</v>
      </c>
      <c r="B9" s="10" t="s">
        <v>8</v>
      </c>
      <c r="C9" s="11" t="s">
        <v>9</v>
      </c>
      <c r="D9" s="10" t="s">
        <v>10</v>
      </c>
      <c r="E9" s="10" t="s">
        <v>4</v>
      </c>
      <c r="F9" s="10" t="s">
        <v>11</v>
      </c>
      <c r="G9" s="10" t="s">
        <v>12</v>
      </c>
      <c r="H9" s="10" t="s">
        <v>13</v>
      </c>
      <c r="I9" s="10" t="s">
        <v>14</v>
      </c>
      <c r="J9" s="10" t="s">
        <v>129</v>
      </c>
      <c r="K9" s="10" t="s">
        <v>133</v>
      </c>
      <c r="L9" s="10" t="s">
        <v>133</v>
      </c>
      <c r="M9" s="10" t="s">
        <v>134</v>
      </c>
      <c r="N9" s="10" t="s">
        <v>133</v>
      </c>
      <c r="O9" s="10" t="s">
        <v>135</v>
      </c>
      <c r="P9" s="10" t="s">
        <v>135</v>
      </c>
      <c r="Q9" s="10" t="s">
        <v>135</v>
      </c>
      <c r="R9" s="10" t="s">
        <v>136</v>
      </c>
      <c r="S9" s="10" t="s">
        <v>137</v>
      </c>
      <c r="T9" s="10" t="s">
        <v>138</v>
      </c>
    </row>
    <row r="10" spans="1:20" ht="12.75">
      <c r="A10" s="6"/>
      <c r="B10" s="6" t="s">
        <v>15</v>
      </c>
      <c r="C10" s="12" t="s">
        <v>16</v>
      </c>
      <c r="D10" s="6" t="s">
        <v>17</v>
      </c>
      <c r="E10" s="13" t="s">
        <v>18</v>
      </c>
      <c r="F10" s="13" t="s">
        <v>19</v>
      </c>
      <c r="G10" s="6" t="s">
        <v>20</v>
      </c>
      <c r="H10" s="6" t="s">
        <v>21</v>
      </c>
      <c r="I10" s="6" t="s">
        <v>83</v>
      </c>
      <c r="J10" s="176" t="s">
        <v>141</v>
      </c>
      <c r="K10" s="176" t="s">
        <v>142</v>
      </c>
      <c r="L10" s="176" t="s">
        <v>143</v>
      </c>
      <c r="M10" s="176" t="s">
        <v>144</v>
      </c>
      <c r="N10" s="176" t="s">
        <v>145</v>
      </c>
      <c r="O10" s="176" t="s">
        <v>146</v>
      </c>
      <c r="P10" s="176" t="s">
        <v>147</v>
      </c>
      <c r="Q10" s="176" t="s">
        <v>148</v>
      </c>
      <c r="R10" s="176" t="s">
        <v>149</v>
      </c>
      <c r="S10" s="176" t="s">
        <v>150</v>
      </c>
      <c r="T10" s="176" t="s">
        <v>151</v>
      </c>
    </row>
    <row r="11" spans="1:1" ht="12.75">
      <c r="A11" s="14"/>
    </row>
    <row r="12" spans="1:9" ht="12.75">
      <c r="A12" s="14">
        <v>1</v>
      </c>
      <c r="B12" s="1" t="s">
        <v>65</v>
      </c>
      <c r="C12" s="16"/>
      <c r="D12" s="88"/>
      <c r="E12" s="17"/>
      <c r="F12" s="18"/>
      <c r="G12" s="19"/>
      <c r="H12" s="20"/>
      <c r="I12" s="17"/>
    </row>
    <row r="13" spans="1:8" ht="12.75">
      <c r="A13" s="14">
        <v>2</v>
      </c>
      <c r="B13" s="91" t="s">
        <v>66</v>
      </c>
      <c r="C13" s="21"/>
      <c r="D13" s="21"/>
      <c r="F13" s="22"/>
      <c r="G13" s="22"/>
      <c r="H13" s="22"/>
    </row>
    <row r="14" spans="1:21" ht="12.75">
      <c r="A14" s="14">
        <v>3</v>
      </c>
      <c r="B14" s="92" t="s">
        <v>67</v>
      </c>
      <c r="C14" s="23">
        <f>+'[1]Link Sheet'!$I$80-C15</f>
        <v>272201094.74000001</v>
      </c>
      <c r="D14" s="23"/>
      <c r="E14" s="106">
        <f>(C14-D14)/365.25</f>
        <v>745245.98149212869</v>
      </c>
      <c r="F14" s="124">
        <v>52.899999999999999</v>
      </c>
      <c r="G14" s="124">
        <v>-12.109999999999999</v>
      </c>
      <c r="H14" s="125">
        <f>F14+G14</f>
        <v>40.789999999999999</v>
      </c>
      <c r="I14" s="99">
        <f>ROUND(E14*H14,0)</f>
        <v>30398584</v>
      </c>
      <c r="J14" s="142" t="s">
        <v>139</v>
      </c>
      <c r="K14" s="173">
        <f>ROUND(+$I14*'[2]II-F Alloc_Factor'!$E$18,2)+ROUND($I14*'[2]II-F Alloc_Factor'!$G$18,2)</f>
        <v>2640104.0099999998</v>
      </c>
      <c r="L14" s="173">
        <f>ROUND(+$I14*'[2]II-F Alloc_Factor'!F$18,2)</f>
        <v>0</v>
      </c>
      <c r="M14" s="173">
        <v>0</v>
      </c>
      <c r="N14" s="173">
        <f>SUM(K14:M14)</f>
        <v>2640104.0099999998</v>
      </c>
      <c r="O14" s="173">
        <f>ROUND(+$I14*'[2]II-F Alloc_Factor'!I$18,2)</f>
        <v>25247158.949999999</v>
      </c>
      <c r="P14" s="173">
        <f>ROUND(+$I14*'[2]II-F Alloc_Factor'!J$18,2)</f>
        <v>0</v>
      </c>
      <c r="Q14" s="173">
        <f>SUM(O14:P14)</f>
        <v>25247158.949999999</v>
      </c>
      <c r="R14" s="173">
        <f>ROUND(+$I14*'[2]II-F Alloc_Factor'!L$18,2)</f>
        <v>1386697.49</v>
      </c>
      <c r="S14" s="102">
        <f>+I14-N14-Q14-R14</f>
        <v>1124623.5500000028</v>
      </c>
      <c r="T14" s="174">
        <f>+S14+R14+Q14+N14</f>
        <v>30398584</v>
      </c>
      <c r="U14" s="1" t="b">
        <f>+I14=T14</f>
        <v>1</v>
      </c>
    </row>
    <row r="15" spans="1:21" ht="12.75">
      <c r="A15" s="14">
        <v>4</v>
      </c>
      <c r="B15" s="92" t="s">
        <v>80</v>
      </c>
      <c r="C15" s="187">
        <f>24995198+'[3]Total Summary'!$D$112</f>
        <v>27578590.259999998</v>
      </c>
      <c r="D15" s="24"/>
      <c r="E15" s="106">
        <f>(C15-D15)/365.25</f>
        <v>75506.065051334692</v>
      </c>
      <c r="F15" s="124">
        <f>+$F$14</f>
        <v>52.899999999999999</v>
      </c>
      <c r="G15" s="184">
        <v>-249.34999999999999</v>
      </c>
      <c r="H15" s="125">
        <f>F15+G15</f>
        <v>-196.44999999999999</v>
      </c>
      <c r="I15" s="99">
        <f>ROUND(E15*H15,0)</f>
        <v>-14833166</v>
      </c>
      <c r="J15" s="142" t="s">
        <v>139</v>
      </c>
      <c r="K15" s="173">
        <f>ROUND(+$I15*'[2]II-F Alloc_Factor'!$E$18,2)+ROUND($I15*'[2]II-F Alloc_Factor'!$G$18,2)</f>
        <v>-1288254.1200000001</v>
      </c>
      <c r="L15" s="173">
        <f>ROUND(+$I15*'[2]II-F Alloc_Factor'!F$18,2)</f>
        <v>0</v>
      </c>
      <c r="M15" s="173">
        <v>0</v>
      </c>
      <c r="N15" s="173">
        <f>SUM(K15:M15)</f>
        <v>-1288254.1200000001</v>
      </c>
      <c r="O15" s="173">
        <f>ROUND(+$I15*'[2]II-F Alloc_Factor'!I$18,2)</f>
        <v>-12319498.16</v>
      </c>
      <c r="P15" s="173">
        <f>ROUND(+$I15*'[2]II-F Alloc_Factor'!J$18,2)</f>
        <v>0</v>
      </c>
      <c r="Q15" s="173">
        <f>SUM(O15:P15)</f>
        <v>-12319498.16</v>
      </c>
      <c r="R15" s="173">
        <f>ROUND(+$I15*'[2]II-F Alloc_Factor'!L$18,2)</f>
        <v>-676647.10999999999</v>
      </c>
      <c r="S15" s="102">
        <f>+I15-N15-Q15-R15</f>
        <v>-548766.60999999882</v>
      </c>
      <c r="T15" s="174">
        <f>+S15+R15+Q15+N15</f>
        <v>-14833166</v>
      </c>
      <c r="U15" s="1" t="b">
        <f>+I15=T15</f>
        <v>1</v>
      </c>
    </row>
    <row r="16" spans="1:9" ht="12.75">
      <c r="A16" s="14">
        <v>5</v>
      </c>
      <c r="B16" s="91" t="s">
        <v>68</v>
      </c>
      <c r="C16" s="188"/>
      <c r="D16" s="94"/>
      <c r="E16" s="106"/>
      <c r="F16" s="124"/>
      <c r="G16" s="126"/>
      <c r="H16" s="125"/>
      <c r="I16" s="99"/>
    </row>
    <row r="17" spans="1:21" s="15" customFormat="1" ht="12.75">
      <c r="A17" s="103">
        <v>6</v>
      </c>
      <c r="B17" s="192" t="s">
        <v>126</v>
      </c>
      <c r="C17" s="188">
        <v>115750</v>
      </c>
      <c r="D17" s="94"/>
      <c r="E17" s="106">
        <f>(C17-D17)/365.25</f>
        <v>316.90622861054072</v>
      </c>
      <c r="F17" s="124">
        <f>+$F$14</f>
        <v>52.899999999999999</v>
      </c>
      <c r="G17" s="124">
        <v>-44.960000000000001</v>
      </c>
      <c r="H17" s="125">
        <f>F17+G17</f>
        <v>7.9399999999999977</v>
      </c>
      <c r="I17" s="99">
        <f>ROUND(E17*H17,0)</f>
        <v>2516</v>
      </c>
      <c r="J17" s="193" t="s">
        <v>139</v>
      </c>
      <c r="K17" s="194">
        <f>ROUND(+$I17*'[2]II-F Alloc_Factor'!$E$18,2)+ROUND($I17*'[2]II-F Alloc_Factor'!$G$18,2)</f>
        <v>218.50999999999999</v>
      </c>
      <c r="L17" s="194">
        <f>ROUND(+$I17*'[2]II-F Alloc_Factor'!F$18,2)</f>
        <v>0</v>
      </c>
      <c r="M17" s="194">
        <v>0</v>
      </c>
      <c r="N17" s="194">
        <f>SUM(K17:M17)</f>
        <v>218.50999999999999</v>
      </c>
      <c r="O17" s="194">
        <f>ROUND(+$I17*'[2]II-F Alloc_Factor'!I$18,2)</f>
        <v>2089.6300000000001</v>
      </c>
      <c r="P17" s="194">
        <f>ROUND(+$I17*'[2]II-F Alloc_Factor'!J$18,2)</f>
        <v>0</v>
      </c>
      <c r="Q17" s="194">
        <f>SUM(O17:P17)</f>
        <v>2089.6300000000001</v>
      </c>
      <c r="R17" s="194">
        <f>ROUND(+$I17*'[2]II-F Alloc_Factor'!L$18,2)</f>
        <v>114.77</v>
      </c>
      <c r="S17" s="101">
        <f>+I17-N17-Q17-R17</f>
        <v>93.089999999999677</v>
      </c>
      <c r="T17" s="195">
        <f>+S17+R17+Q17+N17</f>
        <v>2516</v>
      </c>
      <c r="U17" s="15" t="b">
        <f>+I17=T17</f>
        <v>1</v>
      </c>
    </row>
    <row r="18" spans="1:21" s="15" customFormat="1" ht="12.75">
      <c r="A18" s="103">
        <v>7</v>
      </c>
      <c r="B18" s="192" t="s">
        <v>127</v>
      </c>
      <c r="C18" s="188">
        <v>3506574</v>
      </c>
      <c r="D18" s="94">
        <v>1108749.01</v>
      </c>
      <c r="E18" s="106">
        <f>(C18-D18)/365.25</f>
        <v>6564.8870362765238</v>
      </c>
      <c r="F18" s="124">
        <f>+$F$14</f>
        <v>52.899999999999999</v>
      </c>
      <c r="G18" s="124">
        <v>-46.93</v>
      </c>
      <c r="H18" s="125">
        <f>F18+G18</f>
        <v>5.9699999999999989</v>
      </c>
      <c r="I18" s="99">
        <f>ROUND(E18*H18,0)</f>
        <v>39192</v>
      </c>
      <c r="J18" s="193" t="s">
        <v>139</v>
      </c>
      <c r="K18" s="194">
        <f>ROUND(+$I18*'[2]II-F Alloc_Factor'!$E$18,2)+ROUND($I18*'[2]II-F Alloc_Factor'!$G$18,2)</f>
        <v>3403.8099999999999</v>
      </c>
      <c r="L18" s="194">
        <f>ROUND(+$I18*'[2]II-F Alloc_Factor'!F$18,2)</f>
        <v>0</v>
      </c>
      <c r="M18" s="194">
        <v>0</v>
      </c>
      <c r="N18" s="194">
        <f>SUM(K18:M18)</f>
        <v>3403.8099999999999</v>
      </c>
      <c r="O18" s="194">
        <f>ROUND(+$I18*'[2]II-F Alloc_Factor'!I$18,2)</f>
        <v>32550.419999999998</v>
      </c>
      <c r="P18" s="194">
        <f>ROUND(+$I18*'[2]II-F Alloc_Factor'!J$18,2)</f>
        <v>0</v>
      </c>
      <c r="Q18" s="194">
        <f>SUM(O18:P18)</f>
        <v>32550.419999999998</v>
      </c>
      <c r="R18" s="194">
        <f>ROUND(+$I18*'[2]II-F Alloc_Factor'!L$18,2)</f>
        <v>1787.8299999999999</v>
      </c>
      <c r="S18" s="101">
        <f>+I18-N18-Q18-R18</f>
        <v>1449.9400000000042</v>
      </c>
      <c r="T18" s="195">
        <f>+S18+R18+Q18+N18</f>
        <v>39192</v>
      </c>
      <c r="U18" s="15" t="b">
        <f>+I18=T18</f>
        <v>1</v>
      </c>
    </row>
    <row r="19" spans="1:9" ht="12.75">
      <c r="A19" s="14">
        <v>8</v>
      </c>
      <c r="B19" s="92" t="s">
        <v>94</v>
      </c>
      <c r="C19" s="188"/>
      <c r="D19" s="94"/>
      <c r="E19" s="106"/>
      <c r="F19" s="124"/>
      <c r="G19" s="124"/>
      <c r="H19" s="125"/>
      <c r="I19" s="99"/>
    </row>
    <row r="20" spans="1:9" ht="12.75">
      <c r="A20" s="14">
        <v>9</v>
      </c>
      <c r="B20" s="93" t="s">
        <v>95</v>
      </c>
      <c r="C20" s="188">
        <f>+Wholesale_NTS_RO!N60+Wholesale_NTS_RO!N61</f>
        <v>517244509.04000002</v>
      </c>
      <c r="D20" s="94"/>
      <c r="E20" s="106">
        <f>(C20-D20)/365.25</f>
        <v>1416138.2862149214</v>
      </c>
      <c r="F20" s="124">
        <v>0</v>
      </c>
      <c r="G20" s="124">
        <v>0</v>
      </c>
      <c r="H20" s="125">
        <f>F20+G20</f>
        <v>0</v>
      </c>
      <c r="I20" s="99">
        <f>ROUND(E20*H20,0)</f>
        <v>0</v>
      </c>
    </row>
    <row r="21" spans="1:21" ht="12.75">
      <c r="A21" s="14">
        <v>10</v>
      </c>
      <c r="B21" s="93" t="s">
        <v>96</v>
      </c>
      <c r="C21" s="188">
        <f>+Wholesale_NTS_RO!H59-C20</f>
        <v>1135277512.4041209</v>
      </c>
      <c r="D21" s="94"/>
      <c r="E21" s="106">
        <f>(C21-D21)/365.25</f>
        <v>3108220.4309489965</v>
      </c>
      <c r="F21" s="124">
        <f>+F17</f>
        <v>52.899999999999999</v>
      </c>
      <c r="G21" s="124">
        <v>-50.219999999999999</v>
      </c>
      <c r="H21" s="125">
        <f>F21+G21</f>
        <v>2.6799999999999997</v>
      </c>
      <c r="I21" s="99">
        <f>ROUND(E21*H21,0)</f>
        <v>8330031</v>
      </c>
      <c r="J21" s="142" t="s">
        <v>139</v>
      </c>
      <c r="K21" s="173">
        <f>ROUND(+$I21*'[2]II-F Alloc_Factor'!$E$18,2)+ROUND($I21*'[2]II-F Alloc_Factor'!$G$18,2)</f>
        <v>723459.63</v>
      </c>
      <c r="L21" s="173">
        <f>ROUND(+$I21*'[2]II-F Alloc_Factor'!F$18,2)</f>
        <v>0</v>
      </c>
      <c r="M21" s="173">
        <v>0</v>
      </c>
      <c r="N21" s="173">
        <f>SUM(K21:M21)</f>
        <v>723459.63</v>
      </c>
      <c r="O21" s="173">
        <f>ROUND(+$I21*'[2]II-F Alloc_Factor'!I$18,2)</f>
        <v>6918401.75</v>
      </c>
      <c r="P21" s="173">
        <f>ROUND(+$I21*'[2]II-F Alloc_Factor'!J$18,2)</f>
        <v>0</v>
      </c>
      <c r="Q21" s="173">
        <f>SUM(O21:P21)</f>
        <v>6918401.75</v>
      </c>
      <c r="R21" s="173">
        <f>ROUND(+$I21*'[2]II-F Alloc_Factor'!L$18,2)</f>
        <v>379992.46999999997</v>
      </c>
      <c r="S21" s="102">
        <f>+I21-N21-Q21-R21</f>
        <v>308177.15000000014</v>
      </c>
      <c r="T21" s="174">
        <f>+S21+R21+Q21+N21</f>
        <v>8330031</v>
      </c>
      <c r="U21" s="1" t="b">
        <f>+I21=T21</f>
        <v>1</v>
      </c>
    </row>
    <row r="22" spans="1:9" ht="12.75">
      <c r="A22" s="14">
        <v>11</v>
      </c>
      <c r="B22" s="172" t="s">
        <v>128</v>
      </c>
      <c r="C22" s="188">
        <f>+'[3]Total Summary'!$D$139</f>
        <v>13295686.23</v>
      </c>
      <c r="D22" s="94"/>
      <c r="E22" s="106">
        <f t="shared" si="0" ref="E22">(C22-D22)/365.25</f>
        <v>36401.60501026694</v>
      </c>
      <c r="F22" s="124">
        <v>0</v>
      </c>
      <c r="G22" s="124">
        <v>0</v>
      </c>
      <c r="H22" s="125">
        <f t="shared" si="1" ref="H22">F22+G22</f>
        <v>0</v>
      </c>
      <c r="I22" s="99">
        <f>ROUND(E22*H22,0)</f>
        <v>0</v>
      </c>
    </row>
    <row r="23" spans="1:9" ht="12.75">
      <c r="A23" s="14">
        <v>12</v>
      </c>
      <c r="B23" s="92" t="s">
        <v>87</v>
      </c>
      <c r="C23" s="188"/>
      <c r="D23" s="94"/>
      <c r="E23" s="106"/>
      <c r="F23" s="124"/>
      <c r="G23" s="124"/>
      <c r="H23" s="125"/>
      <c r="I23" s="99"/>
    </row>
    <row r="24" spans="1:9" ht="12.75">
      <c r="A24" s="14">
        <v>13</v>
      </c>
      <c r="B24" s="93" t="s">
        <v>89</v>
      </c>
      <c r="C24" s="188">
        <f>+'[3]Total Summary'!$D$108</f>
        <v>1646625.6899999999</v>
      </c>
      <c r="D24" s="94"/>
      <c r="E24" s="106">
        <f t="shared" si="2" ref="E24:E38">(C24-D24)/365.25</f>
        <v>4508.2154414784391</v>
      </c>
      <c r="F24" s="124">
        <v>0</v>
      </c>
      <c r="G24" s="124">
        <v>0</v>
      </c>
      <c r="H24" s="125">
        <f t="shared" si="3" ref="H24:H43">F24+G24</f>
        <v>0</v>
      </c>
      <c r="I24" s="99">
        <f t="shared" si="4" ref="I24:I38">ROUND(E24*H24,0)</f>
        <v>0</v>
      </c>
    </row>
    <row r="25" spans="1:9" ht="12.75">
      <c r="A25" s="14">
        <v>14</v>
      </c>
      <c r="B25" s="93" t="s">
        <v>90</v>
      </c>
      <c r="C25" s="188">
        <f>+'[4]II-E-4.1.1'!$K$45+'[4]II-E-4.1.1'!$K$44</f>
        <v>-4094646.79</v>
      </c>
      <c r="D25" s="94"/>
      <c r="E25" s="106">
        <f t="shared" si="2"/>
        <v>-11210.531937029433</v>
      </c>
      <c r="F25" s="124">
        <v>0</v>
      </c>
      <c r="G25" s="124">
        <v>0</v>
      </c>
      <c r="H25" s="125">
        <f t="shared" si="3"/>
        <v>0</v>
      </c>
      <c r="I25" s="99">
        <f t="shared" si="4"/>
        <v>0</v>
      </c>
    </row>
    <row r="26" spans="1:9" ht="12.75">
      <c r="A26" s="14">
        <v>15</v>
      </c>
      <c r="B26" s="93" t="s">
        <v>91</v>
      </c>
      <c r="C26" s="188">
        <f>+'[4]II-E-4.1.1'!$K$42+'[4]II-E-4.1.1'!$K$43</f>
        <v>31107534.850000001</v>
      </c>
      <c r="D26" s="94"/>
      <c r="E26" s="106">
        <f t="shared" si="2"/>
        <v>85167.788774811779</v>
      </c>
      <c r="F26" s="124">
        <v>0</v>
      </c>
      <c r="G26" s="124">
        <v>0</v>
      </c>
      <c r="H26" s="125">
        <f t="shared" si="3"/>
        <v>0</v>
      </c>
      <c r="I26" s="99">
        <f t="shared" si="4"/>
        <v>0</v>
      </c>
    </row>
    <row r="27" spans="1:9" ht="12.75">
      <c r="A27" s="14">
        <v>16</v>
      </c>
      <c r="B27" s="159" t="s">
        <v>115</v>
      </c>
      <c r="C27" s="188">
        <f>+'[4]II-E-4.1.1'!$K$35</f>
        <v>1671750.798</v>
      </c>
      <c r="D27" s="94"/>
      <c r="E27" s="106">
        <f t="shared" si="2"/>
        <v>4577.004238193018</v>
      </c>
      <c r="F27" s="124">
        <v>0</v>
      </c>
      <c r="G27" s="124">
        <v>0</v>
      </c>
      <c r="H27" s="125">
        <f t="shared" si="5" ref="H27">F27+G27</f>
        <v>0</v>
      </c>
      <c r="I27" s="99">
        <f t="shared" si="4"/>
        <v>0</v>
      </c>
    </row>
    <row r="28" spans="1:9" ht="12.75">
      <c r="A28" s="14">
        <v>17</v>
      </c>
      <c r="B28" s="159" t="s">
        <v>116</v>
      </c>
      <c r="C28" s="188">
        <f>+'[4]II-E-4.1.1'!$K$34+'[4]II-E-4.1.1'!$K$36+'[4]II-E-4.1.1'!$K$46+'[4]II-E-4.1.1'!$K$47+'[4]II-E-4.1.1'!$K$48</f>
        <v>132829.89768419549</v>
      </c>
      <c r="D28" s="94"/>
      <c r="E28" s="106">
        <f t="shared" si="2"/>
        <v>363.66843992935111</v>
      </c>
      <c r="F28" s="124">
        <v>0</v>
      </c>
      <c r="G28" s="124">
        <v>0</v>
      </c>
      <c r="H28" s="125">
        <f t="shared" si="6" ref="H28">F28+G28</f>
        <v>0</v>
      </c>
      <c r="I28" s="99">
        <f t="shared" si="4"/>
        <v>0</v>
      </c>
    </row>
    <row r="29" spans="1:9" ht="12.75">
      <c r="A29" s="14">
        <v>18</v>
      </c>
      <c r="B29" s="159" t="s">
        <v>164</v>
      </c>
      <c r="C29" s="188">
        <f>+'[4]II-E-4.1.1'!$K$32</f>
        <v>15053413.869999999</v>
      </c>
      <c r="D29" s="94"/>
      <c r="E29" s="106">
        <f t="shared" si="7" ref="E29:E35">(C29-D29)/365.25</f>
        <v>41214.001013004789</v>
      </c>
      <c r="F29" s="124">
        <v>0</v>
      </c>
      <c r="G29" s="124">
        <v>0</v>
      </c>
      <c r="H29" s="125">
        <f t="shared" si="8" ref="H29:H35">F29+G29</f>
        <v>0</v>
      </c>
      <c r="I29" s="99">
        <f t="shared" si="9" ref="I29:I35">ROUND(E29*H29,0)</f>
        <v>0</v>
      </c>
    </row>
    <row r="30" spans="1:9" ht="12.75">
      <c r="A30" s="14">
        <v>19</v>
      </c>
      <c r="B30" s="159" t="s">
        <v>165</v>
      </c>
      <c r="C30" s="188">
        <f>+'[4]II-E-4.1.1'!$K$56</f>
        <v>520569.47999999998</v>
      </c>
      <c r="D30" s="94"/>
      <c r="E30" s="106">
        <f t="shared" si="7"/>
        <v>1425.2415605749486</v>
      </c>
      <c r="F30" s="124">
        <v>0</v>
      </c>
      <c r="G30" s="124">
        <v>0</v>
      </c>
      <c r="H30" s="125">
        <f t="shared" si="8"/>
        <v>0</v>
      </c>
      <c r="I30" s="99">
        <f t="shared" si="9"/>
        <v>0</v>
      </c>
    </row>
    <row r="31" spans="1:9" ht="12.75">
      <c r="A31" s="14">
        <v>20</v>
      </c>
      <c r="B31" s="159" t="s">
        <v>166</v>
      </c>
      <c r="C31" s="188">
        <f>+'[3]Total Summary'!$D$122</f>
        <v>16328.9</v>
      </c>
      <c r="D31" s="94"/>
      <c r="E31" s="106">
        <f t="shared" si="7"/>
        <v>44.706091718001367</v>
      </c>
      <c r="F31" s="124">
        <v>0</v>
      </c>
      <c r="G31" s="124">
        <v>0</v>
      </c>
      <c r="H31" s="125">
        <f t="shared" si="8"/>
        <v>0</v>
      </c>
      <c r="I31" s="99">
        <f t="shared" si="9"/>
        <v>0</v>
      </c>
    </row>
    <row r="32" spans="1:9" ht="12.75">
      <c r="A32" s="14">
        <v>21</v>
      </c>
      <c r="B32" s="159" t="s">
        <v>167</v>
      </c>
      <c r="C32" s="188">
        <f>+'[3]Total Summary'!$D$123</f>
        <v>473660.65999999997</v>
      </c>
      <c r="D32" s="94"/>
      <c r="E32" s="106">
        <f t="shared" si="7"/>
        <v>1296.8122108145105</v>
      </c>
      <c r="F32" s="124">
        <v>0</v>
      </c>
      <c r="G32" s="124">
        <v>0</v>
      </c>
      <c r="H32" s="125">
        <f t="shared" si="8"/>
        <v>0</v>
      </c>
      <c r="I32" s="99">
        <f t="shared" si="9"/>
        <v>0</v>
      </c>
    </row>
    <row r="33" spans="1:9" ht="12.75">
      <c r="A33" s="14">
        <v>22</v>
      </c>
      <c r="B33" s="159" t="s">
        <v>168</v>
      </c>
      <c r="C33" s="188">
        <f>+'[3]Total Summary'!$D$124</f>
        <v>5217.6000000000004</v>
      </c>
      <c r="D33" s="94"/>
      <c r="E33" s="106">
        <f t="shared" si="7"/>
        <v>14.285010266940454</v>
      </c>
      <c r="F33" s="124">
        <v>0</v>
      </c>
      <c r="G33" s="124">
        <v>0</v>
      </c>
      <c r="H33" s="125">
        <f t="shared" si="8"/>
        <v>0</v>
      </c>
      <c r="I33" s="99">
        <f t="shared" si="9"/>
        <v>0</v>
      </c>
    </row>
    <row r="34" spans="1:9" ht="12.75">
      <c r="A34" s="14">
        <v>23</v>
      </c>
      <c r="B34" s="159" t="s">
        <v>169</v>
      </c>
      <c r="C34" s="188">
        <f>+'[3]Total Summary'!$D$125</f>
        <v>1502680.04</v>
      </c>
      <c r="D34" s="94"/>
      <c r="E34" s="106">
        <f t="shared" si="7"/>
        <v>4114.1137303216974</v>
      </c>
      <c r="F34" s="124">
        <v>0</v>
      </c>
      <c r="G34" s="124">
        <v>0</v>
      </c>
      <c r="H34" s="125">
        <f t="shared" si="8"/>
        <v>0</v>
      </c>
      <c r="I34" s="99">
        <f t="shared" si="9"/>
        <v>0</v>
      </c>
    </row>
    <row r="35" spans="1:9" ht="12.75">
      <c r="A35" s="14">
        <v>24</v>
      </c>
      <c r="B35" s="159" t="s">
        <v>170</v>
      </c>
      <c r="C35" s="188">
        <f>+'[3]Total Summary'!$D$126</f>
        <v>6923725.2599999998</v>
      </c>
      <c r="D35" s="94"/>
      <c r="E35" s="106">
        <f t="shared" si="7"/>
        <v>18956.126652977411</v>
      </c>
      <c r="F35" s="124">
        <v>0</v>
      </c>
      <c r="G35" s="124">
        <v>0</v>
      </c>
      <c r="H35" s="125">
        <f t="shared" si="8"/>
        <v>0</v>
      </c>
      <c r="I35" s="99">
        <f t="shared" si="9"/>
        <v>0</v>
      </c>
    </row>
    <row r="36" spans="1:9" ht="12.75">
      <c r="A36" s="14">
        <v>25</v>
      </c>
      <c r="B36" s="159" t="s">
        <v>171</v>
      </c>
      <c r="C36" s="188">
        <f>+'[3]Total Summary'!$D$134</f>
        <v>125472.60000000001</v>
      </c>
      <c r="D36" s="94"/>
      <c r="E36" s="106">
        <f t="shared" si="10" ref="E36:E37">(C36-D36)/365.25</f>
        <v>343.52525667351131</v>
      </c>
      <c r="F36" s="124">
        <v>0</v>
      </c>
      <c r="G36" s="124">
        <v>0</v>
      </c>
      <c r="H36" s="125">
        <f t="shared" si="11" ref="H36:H37">F36+G36</f>
        <v>0</v>
      </c>
      <c r="I36" s="99">
        <f t="shared" si="12" ref="I36:I37">ROUND(E36*H36,0)</f>
        <v>0</v>
      </c>
    </row>
    <row r="37" spans="1:9" ht="12.75">
      <c r="A37" s="14">
        <v>26</v>
      </c>
      <c r="B37" s="159" t="s">
        <v>172</v>
      </c>
      <c r="C37" s="188">
        <v>0</v>
      </c>
      <c r="D37" s="94"/>
      <c r="E37" s="106">
        <f t="shared" si="10"/>
        <v>0</v>
      </c>
      <c r="F37" s="124">
        <v>0</v>
      </c>
      <c r="G37" s="124">
        <v>0</v>
      </c>
      <c r="H37" s="125">
        <f t="shared" si="11"/>
        <v>0</v>
      </c>
      <c r="I37" s="99">
        <f t="shared" si="12"/>
        <v>0</v>
      </c>
    </row>
    <row r="38" spans="1:9" ht="12.75">
      <c r="A38" s="14">
        <v>27</v>
      </c>
      <c r="B38" s="93" t="s">
        <v>92</v>
      </c>
      <c r="C38" s="188">
        <f>+'[4]II-E-4.1.1'!$K$37+'[4]II-E-4.1.1'!$K$38+'[4]II-E-4.1.1'!$K$39+'[4]II-E-4.1.1'!$K$40+'[4]II-E-4.1.1'!$K$41</f>
        <v>117709131.41</v>
      </c>
      <c r="D38" s="94"/>
      <c r="E38" s="106">
        <f t="shared" si="2"/>
        <v>322270.03808350442</v>
      </c>
      <c r="F38" s="124">
        <v>0</v>
      </c>
      <c r="G38" s="124">
        <v>0</v>
      </c>
      <c r="H38" s="125">
        <f t="shared" si="3"/>
        <v>0</v>
      </c>
      <c r="I38" s="99">
        <f t="shared" si="4"/>
        <v>0</v>
      </c>
    </row>
    <row r="39" spans="1:9" ht="12.75">
      <c r="A39" s="14">
        <v>28</v>
      </c>
      <c r="B39" s="92" t="s">
        <v>186</v>
      </c>
      <c r="C39" s="188">
        <f>+'[4]II-E-4.1'!$I$30+'[4]II-E-4.1'!$I$31+'[4]II-E-4.1'!$I$35</f>
        <v>449449.64000000001</v>
      </c>
      <c r="D39" s="94"/>
      <c r="E39" s="106">
        <f t="shared" si="13" ref="E39">(C39-D39)/365.25</f>
        <v>1230.5260506502395</v>
      </c>
      <c r="F39" s="124">
        <v>0</v>
      </c>
      <c r="G39" s="124">
        <v>0</v>
      </c>
      <c r="H39" s="125">
        <f t="shared" si="14" ref="H39">F39+G39</f>
        <v>0</v>
      </c>
      <c r="I39" s="99">
        <f t="shared" si="15" ref="I39">ROUND(E39*H39,0)</f>
        <v>0</v>
      </c>
    </row>
    <row r="40" spans="1:9" ht="12.75">
      <c r="A40" s="14">
        <v>29</v>
      </c>
      <c r="B40" s="92" t="s">
        <v>88</v>
      </c>
      <c r="C40" s="188"/>
      <c r="D40" s="94"/>
      <c r="E40" s="106"/>
      <c r="F40" s="124"/>
      <c r="G40" s="124"/>
      <c r="H40" s="125"/>
      <c r="I40" s="99"/>
    </row>
    <row r="41" spans="1:21" ht="12.75">
      <c r="A41" s="14">
        <v>30</v>
      </c>
      <c r="B41" s="1" t="s">
        <v>99</v>
      </c>
      <c r="C41" s="94">
        <f>+'[1]II-D-3.8.3'!$D$40+'[3]Total Summary'!$D$87</f>
        <v>22359775.880684998</v>
      </c>
      <c r="D41" s="94"/>
      <c r="E41" s="106">
        <f>(C41-D41)/365.25</f>
        <v>61217.729995030793</v>
      </c>
      <c r="F41" s="124">
        <f>+$F$14</f>
        <v>52.899999999999999</v>
      </c>
      <c r="G41" s="124">
        <v>-53.509999999999998</v>
      </c>
      <c r="H41" s="125">
        <f t="shared" si="3"/>
        <v>-0.60999999999999943</v>
      </c>
      <c r="I41" s="99">
        <f>ROUND(E41*H41,0)</f>
        <v>-37343</v>
      </c>
      <c r="J41" s="142" t="s">
        <v>139</v>
      </c>
      <c r="K41" s="173">
        <f>ROUND(+$I41*'[2]II-F Alloc_Factor'!$E$18,2)+ROUND($I41*'[2]II-F Alloc_Factor'!$G$18,2)</f>
        <v>-3243.2199999999998</v>
      </c>
      <c r="L41" s="173">
        <f>ROUND(+$I41*'[2]II-F Alloc_Factor'!F$18,2)</f>
        <v>0</v>
      </c>
      <c r="M41" s="173">
        <v>0</v>
      </c>
      <c r="N41" s="173">
        <f>SUM(K41:M41)</f>
        <v>-3243.2199999999998</v>
      </c>
      <c r="O41" s="173">
        <f>ROUND(+$I41*'[2]II-F Alloc_Factor'!I$18,2)</f>
        <v>-31014.759999999998</v>
      </c>
      <c r="P41" s="173">
        <f>ROUND(+$I41*'[2]II-F Alloc_Factor'!J$18,2)</f>
        <v>0</v>
      </c>
      <c r="Q41" s="173">
        <f>SUM(O41:P41)</f>
        <v>-31014.759999999998</v>
      </c>
      <c r="R41" s="173">
        <f>ROUND(+$I41*'[2]II-F Alloc_Factor'!L$18,2)</f>
        <v>-1703.48</v>
      </c>
      <c r="S41" s="102">
        <f>+I41-N41-Q41-R41</f>
        <v>-1381.5400000000004</v>
      </c>
      <c r="T41" s="174">
        <f>+S41+R41+Q41+N41</f>
        <v>-37343</v>
      </c>
      <c r="U41" s="1" t="b">
        <f>+I41=T41</f>
        <v>1</v>
      </c>
    </row>
    <row r="42" spans="1:21" ht="12.75">
      <c r="A42" s="14">
        <v>31</v>
      </c>
      <c r="B42" s="1" t="s">
        <v>100</v>
      </c>
      <c r="C42" s="94">
        <f>+'[1]II-D-3.9.3'!$D$31+'[3]Total Summary'!$D$88</f>
        <v>8796773.3999999985</v>
      </c>
      <c r="D42" s="94"/>
      <c r="E42" s="106">
        <f>(C42-D42)/365.25</f>
        <v>24084.252977412725</v>
      </c>
      <c r="F42" s="124">
        <f>+$F$14</f>
        <v>52.899999999999999</v>
      </c>
      <c r="G42" s="124">
        <v>10.710000000000001</v>
      </c>
      <c r="H42" s="125">
        <f t="shared" si="3"/>
        <v>63.609999999999999</v>
      </c>
      <c r="I42" s="99">
        <f>ROUND(E42*H42,0)</f>
        <v>1531999</v>
      </c>
      <c r="J42" s="142" t="s">
        <v>139</v>
      </c>
      <c r="K42" s="173">
        <f>ROUND(+$I42*'[2]II-F Alloc_Factor'!$E$18,2)+ROUND($I42*'[2]II-F Alloc_Factor'!$G$18,2)</f>
        <v>133053.45999999999</v>
      </c>
      <c r="L42" s="173">
        <f>ROUND(+$I42*'[2]II-F Alloc_Factor'!F$18,2)</f>
        <v>0</v>
      </c>
      <c r="M42" s="173">
        <v>0</v>
      </c>
      <c r="N42" s="173">
        <f>SUM(K42:M42)</f>
        <v>133053.45999999999</v>
      </c>
      <c r="O42" s="173">
        <f>ROUND(+$I42*'[2]II-F Alloc_Factor'!I$18,2)</f>
        <v>1272382.3700000001</v>
      </c>
      <c r="P42" s="173">
        <f>ROUND(+$I42*'[2]II-F Alloc_Factor'!J$18,2)</f>
        <v>0</v>
      </c>
      <c r="Q42" s="173">
        <f>SUM(O42:P42)</f>
        <v>1272382.3700000001</v>
      </c>
      <c r="R42" s="173">
        <f>ROUND(+$I42*'[2]II-F Alloc_Factor'!L$18,2)</f>
        <v>69885.460000000006</v>
      </c>
      <c r="S42" s="102">
        <f>+I42-N42-Q42-R42</f>
        <v>56677.709999999919</v>
      </c>
      <c r="T42" s="174">
        <f>+S42+R42+Q42+N42</f>
        <v>1531999</v>
      </c>
      <c r="U42" s="1" t="b">
        <f>+I42=T42</f>
        <v>1</v>
      </c>
    </row>
    <row r="43" spans="1:21" s="15" customFormat="1" ht="12.75">
      <c r="A43" s="103">
        <v>32</v>
      </c>
      <c r="B43" s="196" t="s">
        <v>97</v>
      </c>
      <c r="C43" s="105">
        <f>+'[5]Link Sheet'!$D$4-SUM(C14:C42)</f>
        <v>620668333.32950974</v>
      </c>
      <c r="D43" s="94">
        <f>46999126.77-1108749.01</f>
        <v>45890377.760000005</v>
      </c>
      <c r="E43" s="106">
        <f>(C43-D43)/365.25</f>
        <v>1573656.2780821621</v>
      </c>
      <c r="F43" s="124">
        <f>+$F$14</f>
        <v>52.899999999999999</v>
      </c>
      <c r="G43" s="124">
        <v>-46.93</v>
      </c>
      <c r="H43" s="125">
        <f t="shared" si="3"/>
        <v>5.9699999999999989</v>
      </c>
      <c r="I43" s="99">
        <f>ROUND(E43*H43,0)</f>
        <v>9394728</v>
      </c>
      <c r="J43" s="193" t="s">
        <v>139</v>
      </c>
      <c r="K43" s="194">
        <f>ROUND(+$I43*'[2]II-F Alloc_Factor'!$E$18,2)+ROUND($I43*'[2]II-F Alloc_Factor'!$G$18,2)</f>
        <v>815928.09999999998</v>
      </c>
      <c r="L43" s="194">
        <f>ROUND(+$I43*'[2]II-F Alloc_Factor'!F$18,2)</f>
        <v>0</v>
      </c>
      <c r="M43" s="194">
        <v>0</v>
      </c>
      <c r="N43" s="194">
        <f>SUM(K43:M43)</f>
        <v>815928.09999999998</v>
      </c>
      <c r="O43" s="194">
        <f>ROUND(+$I43*'[2]II-F Alloc_Factor'!I$18,2)</f>
        <v>7802672.3600000003</v>
      </c>
      <c r="P43" s="194">
        <f>ROUND(+$I43*'[2]II-F Alloc_Factor'!J$18,2)</f>
        <v>0</v>
      </c>
      <c r="Q43" s="194">
        <f>SUM(O43:P43)</f>
        <v>7802672.3600000003</v>
      </c>
      <c r="R43" s="194">
        <f>ROUND(+$I43*'[2]II-F Alloc_Factor'!L$18,2)</f>
        <v>428560.94</v>
      </c>
      <c r="S43" s="101">
        <f>+I43-N43-Q43-R43</f>
        <v>347566.60000000003</v>
      </c>
      <c r="T43" s="195">
        <f>+S43+R43+Q43+N43</f>
        <v>9394728</v>
      </c>
      <c r="U43" s="15" t="b">
        <f>+I43=T43</f>
        <v>1</v>
      </c>
    </row>
    <row r="44" spans="1:11" ht="12.75">
      <c r="A44" s="14">
        <v>33</v>
      </c>
      <c r="B44" s="135" t="s">
        <v>74</v>
      </c>
      <c r="C44" s="94">
        <f>SUM(C14:C43)</f>
        <v>2794288343.1900001</v>
      </c>
      <c r="D44" s="177"/>
      <c r="E44" s="106"/>
      <c r="F44" s="124"/>
      <c r="G44" s="124"/>
      <c r="H44" s="127"/>
      <c r="I44" s="99"/>
      <c r="K44" s="102"/>
    </row>
    <row r="45" spans="1:9" ht="12.75">
      <c r="A45" s="14">
        <v>34</v>
      </c>
      <c r="C45" s="94"/>
      <c r="D45" s="95"/>
      <c r="E45" s="106"/>
      <c r="F45" s="124"/>
      <c r="G45" s="124"/>
      <c r="H45" s="125"/>
      <c r="I45" s="99"/>
    </row>
    <row r="46" spans="1:9" ht="12.75">
      <c r="A46" s="14">
        <v>35</v>
      </c>
      <c r="B46" s="1" t="s">
        <v>22</v>
      </c>
      <c r="C46" s="94"/>
      <c r="D46" s="94"/>
      <c r="E46" s="106"/>
      <c r="F46" s="124"/>
      <c r="G46" s="117"/>
      <c r="H46" s="127"/>
      <c r="I46" s="99"/>
    </row>
    <row r="47" spans="1:21" ht="12.75">
      <c r="A47" s="14">
        <v>36</v>
      </c>
      <c r="B47" s="92" t="s">
        <v>69</v>
      </c>
      <c r="C47" s="94">
        <f>+'[4]II-E-3.15'!$E$104</f>
        <v>95424803.359999999</v>
      </c>
      <c r="D47" s="94"/>
      <c r="E47" s="106">
        <f>(C47-D47)/365.25</f>
        <v>261258.87299110199</v>
      </c>
      <c r="F47" s="124">
        <f>+$F$14</f>
        <v>52.899999999999999</v>
      </c>
      <c r="G47" s="124">
        <v>-36.25</v>
      </c>
      <c r="H47" s="125">
        <f>F47+G47</f>
        <v>16.649999999999999</v>
      </c>
      <c r="I47" s="99">
        <f>ROUND(E47*H47,0)</f>
        <v>4349960</v>
      </c>
      <c r="J47" s="142" t="s">
        <v>139</v>
      </c>
      <c r="K47" s="173">
        <f>ROUND(+$I47*'[2]II-F Alloc_Factor'!$E$18,2)+ROUND($I47*'[2]II-F Alloc_Factor'!$G$18,2)</f>
        <v>377792.15999999997</v>
      </c>
      <c r="L47" s="173">
        <f>ROUND(+$I47*'[2]II-F Alloc_Factor'!F$18,2)</f>
        <v>0</v>
      </c>
      <c r="M47" s="173">
        <v>0</v>
      </c>
      <c r="N47" s="173">
        <f>SUM(K47:M47)</f>
        <v>377792.15999999997</v>
      </c>
      <c r="O47" s="173">
        <f>ROUND(+$I47*'[2]II-F Alloc_Factor'!I$18,2)</f>
        <v>3612804.1899999999</v>
      </c>
      <c r="P47" s="173">
        <f>ROUND(+$I47*'[2]II-F Alloc_Factor'!J$18,2)</f>
        <v>0</v>
      </c>
      <c r="Q47" s="173">
        <f>SUM(O47:P47)</f>
        <v>3612804.1899999999</v>
      </c>
      <c r="R47" s="173">
        <f>ROUND(+$I47*'[2]II-F Alloc_Factor'!L$18,2)</f>
        <v>198432.88000000001</v>
      </c>
      <c r="S47" s="102">
        <f>+I47-N47-Q47-R47</f>
        <v>160930.7699999999</v>
      </c>
      <c r="T47" s="174">
        <f>+S47+R47+Q47+N47</f>
        <v>4349960</v>
      </c>
      <c r="U47" s="1" t="b">
        <f>+I47=T47</f>
        <v>1</v>
      </c>
    </row>
    <row r="48" spans="1:9" s="15" customFormat="1" ht="12.75">
      <c r="A48" s="14">
        <v>37</v>
      </c>
      <c r="B48" s="104" t="s">
        <v>84</v>
      </c>
      <c r="C48" s="105">
        <f>+'[4]II-E-3.15'!$E$115+'[4]II-E-3.15'!$E$117</f>
        <v>70675960.790000007</v>
      </c>
      <c r="D48" s="94"/>
      <c r="E48" s="106">
        <f>(C48-D48)/365.25</f>
        <v>193500.23488021904</v>
      </c>
      <c r="F48" s="117">
        <v>0</v>
      </c>
      <c r="G48" s="15">
        <v>0</v>
      </c>
      <c r="H48" s="107">
        <f>F48+G48</f>
        <v>0</v>
      </c>
      <c r="I48" s="99">
        <f>ROUND(E48*H48,0)</f>
        <v>0</v>
      </c>
    </row>
    <row r="49" spans="1:11" ht="12.75">
      <c r="A49" s="14">
        <v>38</v>
      </c>
      <c r="B49" s="93" t="s">
        <v>75</v>
      </c>
      <c r="C49" s="94">
        <f>SUM(C47:C48)</f>
        <v>166100764.15000001</v>
      </c>
      <c r="D49" s="177"/>
      <c r="E49" s="106"/>
      <c r="F49" s="124"/>
      <c r="G49" s="128"/>
      <c r="H49" s="107"/>
      <c r="I49" s="5"/>
      <c r="K49" s="102"/>
    </row>
    <row r="50" spans="1:9" ht="12.75">
      <c r="A50" s="14">
        <v>39</v>
      </c>
      <c r="C50" s="94"/>
      <c r="D50" s="94"/>
      <c r="E50" s="106"/>
      <c r="F50" s="124"/>
      <c r="G50" s="128"/>
      <c r="H50" s="107"/>
      <c r="I50" s="99"/>
    </row>
    <row r="51" spans="1:9" ht="12.75">
      <c r="A51" s="14">
        <v>40</v>
      </c>
      <c r="B51" s="1" t="s">
        <v>23</v>
      </c>
      <c r="C51" s="96"/>
      <c r="D51" s="96"/>
      <c r="E51" s="26"/>
      <c r="F51" s="117"/>
      <c r="G51" s="15"/>
      <c r="H51" s="103"/>
      <c r="I51" s="5"/>
    </row>
    <row r="52" spans="1:21" ht="12.75">
      <c r="A52" s="14">
        <v>41</v>
      </c>
      <c r="B52" s="92" t="s">
        <v>70</v>
      </c>
      <c r="C52" s="99">
        <f>+'[4]Link Sheet'!$F$49+'[4]Link Sheet'!$F$50+'[4]Link Sheet'!$F$51</f>
        <v>17840665.680000003</v>
      </c>
      <c r="D52" s="97"/>
      <c r="E52" s="106">
        <f>(C52-D52)/365.25</f>
        <v>48845.080574948675</v>
      </c>
      <c r="F52" s="124">
        <f>+$F$14</f>
        <v>52.899999999999999</v>
      </c>
      <c r="G52" s="124">
        <v>-11.66</v>
      </c>
      <c r="H52" s="125">
        <f>F52+G52</f>
        <v>41.239999999999995</v>
      </c>
      <c r="I52" s="99">
        <f>ROUND(E52*H52,0)</f>
        <v>2014371</v>
      </c>
      <c r="J52" s="142" t="s">
        <v>139</v>
      </c>
      <c r="K52" s="173">
        <f>ROUND(+$I52*'[2]II-F Alloc_Factor'!$E$18,2)+ROUND($I52*'[2]II-F Alloc_Factor'!$G$18,2)</f>
        <v>174947.26000000001</v>
      </c>
      <c r="L52" s="173">
        <f>ROUND(+$I52*'[2]II-F Alloc_Factor'!F$18,2)</f>
        <v>0</v>
      </c>
      <c r="M52" s="173">
        <v>0</v>
      </c>
      <c r="N52" s="173">
        <f>SUM(K52:M52)</f>
        <v>174947.26000000001</v>
      </c>
      <c r="O52" s="173">
        <f>ROUND(+$I52*'[2]II-F Alloc_Factor'!I$18,2)</f>
        <v>1673010.3200000001</v>
      </c>
      <c r="P52" s="173">
        <f>ROUND(+$I52*'[2]II-F Alloc_Factor'!J$18,2)</f>
        <v>0</v>
      </c>
      <c r="Q52" s="173">
        <f>SUM(O52:P52)</f>
        <v>1673010.3200000001</v>
      </c>
      <c r="R52" s="173">
        <f>ROUND(+$I52*'[2]II-F Alloc_Factor'!L$18,2)</f>
        <v>91889.910000000003</v>
      </c>
      <c r="S52" s="102">
        <f>+I52-N52-Q52-R52</f>
        <v>74523.509999999922</v>
      </c>
      <c r="T52" s="174">
        <f>+S52+R52+Q52+N52</f>
        <v>2014371</v>
      </c>
      <c r="U52" s="1" t="b">
        <f>+I52=T52</f>
        <v>1</v>
      </c>
    </row>
    <row r="53" spans="1:21" ht="12.75">
      <c r="A53" s="14">
        <v>42</v>
      </c>
      <c r="B53" s="92" t="s">
        <v>71</v>
      </c>
      <c r="C53" s="99">
        <f>+'[4]II-E-2'!$I$30</f>
        <v>27740678.559999999</v>
      </c>
      <c r="D53" s="98"/>
      <c r="E53" s="106">
        <f>(C53-D53)/365.25</f>
        <v>75949.838631074599</v>
      </c>
      <c r="F53" s="124">
        <f>+$F$14</f>
        <v>52.899999999999999</v>
      </c>
      <c r="G53" s="124">
        <v>47.170000000000002</v>
      </c>
      <c r="H53" s="125">
        <f>F53+G53</f>
        <v>100.06999999999999</v>
      </c>
      <c r="I53" s="99">
        <f>ROUND(E53*H53,0)</f>
        <v>7600300</v>
      </c>
      <c r="J53" s="142" t="s">
        <v>139</v>
      </c>
      <c r="K53" s="173">
        <f>ROUND(+$I53*'[2]II-F Alloc_Factor'!$E$18,2)+ROUND($I53*'[2]II-F Alloc_Factor'!$G$18,2)</f>
        <v>660082.80000000005</v>
      </c>
      <c r="L53" s="173">
        <f>ROUND(+$I53*'[2]II-F Alloc_Factor'!F$18,2)</f>
        <v>0</v>
      </c>
      <c r="M53" s="173">
        <v>0</v>
      </c>
      <c r="N53" s="173">
        <f>SUM(K53:M53)</f>
        <v>660082.80000000005</v>
      </c>
      <c r="O53" s="173">
        <f>ROUND(+$I53*'[2]II-F Alloc_Factor'!I$18,2)</f>
        <v>6312332.9100000001</v>
      </c>
      <c r="P53" s="173">
        <f>ROUND(+$I53*'[2]II-F Alloc_Factor'!J$18,2)</f>
        <v>0</v>
      </c>
      <c r="Q53" s="173">
        <f>SUM(O53:P53)</f>
        <v>6312332.9100000001</v>
      </c>
      <c r="R53" s="173">
        <f>ROUND(+$I53*'[2]II-F Alloc_Factor'!L$18,2)</f>
        <v>346704.21000000002</v>
      </c>
      <c r="S53" s="102">
        <f>+I53-N53-Q53-R53</f>
        <v>281180.08000000002</v>
      </c>
      <c r="T53" s="174">
        <f>+S53+R53+Q53+N53</f>
        <v>7600300</v>
      </c>
      <c r="U53" s="1" t="b">
        <f>+I53=T53</f>
        <v>1</v>
      </c>
    </row>
    <row r="54" spans="1:21" ht="12.75">
      <c r="A54" s="14">
        <v>43</v>
      </c>
      <c r="B54" s="92" t="s">
        <v>72</v>
      </c>
      <c r="C54" s="99">
        <f>+'[4]II-E-2'!$I$31</f>
        <v>283082877</v>
      </c>
      <c r="D54" s="99">
        <v>204512084</v>
      </c>
      <c r="E54" s="106">
        <f>(C54-D54)/365.25</f>
        <v>215115.1074606434</v>
      </c>
      <c r="F54" s="124">
        <f>+$F$14</f>
        <v>52.899999999999999</v>
      </c>
      <c r="G54" s="124">
        <v>-54.990000000000002</v>
      </c>
      <c r="H54" s="125">
        <f>F54+G54</f>
        <v>-2.0900000000000034</v>
      </c>
      <c r="I54" s="99">
        <f>ROUND(E54*H54,0)</f>
        <v>-449591</v>
      </c>
      <c r="J54" s="142" t="s">
        <v>139</v>
      </c>
      <c r="K54" s="173">
        <f>ROUND(+$I54*'[2]II-F Alloc_Factor'!$E$18,2)+ROUND($I54*'[2]II-F Alloc_Factor'!$G$18,2)</f>
        <v>-39046.790000000001</v>
      </c>
      <c r="L54" s="173">
        <f>ROUND(+$I54*'[2]II-F Alloc_Factor'!F$18,2)</f>
        <v>0</v>
      </c>
      <c r="M54" s="173">
        <v>0</v>
      </c>
      <c r="N54" s="173">
        <f>SUM(K54:M54)</f>
        <v>-39046.790000000001</v>
      </c>
      <c r="O54" s="173">
        <f>ROUND(+$I54*'[2]II-F Alloc_Factor'!I$18,2)</f>
        <v>-373402.10999999999</v>
      </c>
      <c r="P54" s="173">
        <f>ROUND(+$I54*'[2]II-F Alloc_Factor'!J$18,2)</f>
        <v>0</v>
      </c>
      <c r="Q54" s="173">
        <f>SUM(O54:P54)</f>
        <v>-373402.10999999999</v>
      </c>
      <c r="R54" s="173">
        <f>ROUND(+$I54*'[2]II-F Alloc_Factor'!L$18,2)</f>
        <v>-20509.07</v>
      </c>
      <c r="S54" s="102">
        <f>+I54-N54-Q54-R54</f>
        <v>-16633.030000000035</v>
      </c>
      <c r="T54" s="174">
        <f>+S54+R54+Q54+N54</f>
        <v>-449591</v>
      </c>
      <c r="U54" s="1" t="b">
        <f>+I54=T54</f>
        <v>1</v>
      </c>
    </row>
    <row r="55" spans="1:21" ht="12.75">
      <c r="A55" s="14">
        <v>44</v>
      </c>
      <c r="B55" s="92" t="s">
        <v>73</v>
      </c>
      <c r="C55" s="100">
        <f>+'[4]Link Sheet'!$F$53</f>
        <v>283681884.16000003</v>
      </c>
      <c r="D55" s="5"/>
      <c r="E55" s="106">
        <f>(C55-D55)/365.25</f>
        <v>776678.6698425737</v>
      </c>
      <c r="F55" s="124">
        <f>+$F$14</f>
        <v>52.899999999999999</v>
      </c>
      <c r="G55" s="124">
        <v>-209.90000000000001</v>
      </c>
      <c r="H55" s="125">
        <f>F55+G55</f>
        <v>-157</v>
      </c>
      <c r="I55" s="99">
        <f>ROUND(E55*H55,0)</f>
        <v>-121938551</v>
      </c>
      <c r="J55" s="1" t="s">
        <v>140</v>
      </c>
      <c r="K55" s="173">
        <f>ROUND(+$I55*'[2]II-F Alloc_Factor'!$E$19,2)+ROUND($I55*'[2]II-F Alloc_Factor'!$G$19,2)</f>
        <v>-52569654.229999997</v>
      </c>
      <c r="L55" s="173">
        <f>ROUND(+$I55*'[2]II-F Alloc_Factor'!F$19,2)</f>
        <v>-8174427.4699999997</v>
      </c>
      <c r="M55" s="175">
        <v>0</v>
      </c>
      <c r="N55" s="173">
        <f>SUM(K55:M55)</f>
        <v>-60744081.699999996</v>
      </c>
      <c r="O55" s="173">
        <f>ROUND(+$I55*'[2]II-F Alloc_Factor'!I$19,2)</f>
        <v>-56938333.479999997</v>
      </c>
      <c r="P55" s="173">
        <f>ROUND(+$I55*'[2]II-F Alloc_Factor'!J$19,2)</f>
        <v>-668468.91000000003</v>
      </c>
      <c r="Q55" s="173">
        <f>SUM(O55:P55)</f>
        <v>-57606802.389999993</v>
      </c>
      <c r="R55" s="173">
        <f>ROUND(+$I55*'[2]II-F Alloc_Factor'!L$19,2)</f>
        <v>-1936401.72</v>
      </c>
      <c r="S55" s="102">
        <f>+I55-N55-Q55-R55</f>
        <v>-1651265.1900000114</v>
      </c>
      <c r="T55" s="174">
        <f>+S55+R55+Q55+N55</f>
        <v>-121938551</v>
      </c>
      <c r="U55" s="1" t="b">
        <f>+I55=T55</f>
        <v>1</v>
      </c>
    </row>
    <row r="56" spans="1:11" ht="12.75">
      <c r="A56" s="14">
        <v>45</v>
      </c>
      <c r="B56" s="92" t="s">
        <v>76</v>
      </c>
      <c r="C56" s="99">
        <f>SUM(C52:C55)</f>
        <v>612346105.4000001</v>
      </c>
      <c r="D56" s="177"/>
      <c r="E56" s="26"/>
      <c r="F56" s="117"/>
      <c r="G56" s="25"/>
      <c r="H56" s="103"/>
      <c r="I56" s="129"/>
      <c r="K56" s="102"/>
    </row>
    <row r="57" spans="1:9" ht="12.75">
      <c r="A57" s="14">
        <v>46</v>
      </c>
      <c r="C57" s="26"/>
      <c r="D57" s="26"/>
      <c r="E57" s="26"/>
      <c r="F57" s="117"/>
      <c r="G57" s="15"/>
      <c r="H57" s="103"/>
      <c r="I57" s="5"/>
    </row>
    <row r="58" spans="1:11" ht="12.75">
      <c r="A58" s="14">
        <v>47</v>
      </c>
      <c r="B58" s="1" t="s">
        <v>24</v>
      </c>
      <c r="C58" s="99">
        <f>+'[4]II-E-1'!$W$78</f>
        <v>924809854.60030484</v>
      </c>
      <c r="D58" s="177"/>
      <c r="E58" s="106">
        <f>(C58-D58)/365.25</f>
        <v>2531991.3883649688</v>
      </c>
      <c r="F58" s="117">
        <v>0</v>
      </c>
      <c r="G58" s="117">
        <v>0</v>
      </c>
      <c r="H58" s="117">
        <f>F58+G58</f>
        <v>0</v>
      </c>
      <c r="I58" s="99">
        <f>ROUND(E58*H58,0)</f>
        <v>0</v>
      </c>
      <c r="K58" s="102"/>
    </row>
    <row r="59" spans="1:9" ht="12.75">
      <c r="A59" s="14">
        <v>48</v>
      </c>
      <c r="C59" s="25"/>
      <c r="D59" s="177"/>
      <c r="E59" s="15"/>
      <c r="F59" s="117"/>
      <c r="G59" s="117"/>
      <c r="H59" s="117"/>
      <c r="I59" s="130"/>
    </row>
    <row r="60" spans="1:11" ht="12.75">
      <c r="A60" s="14">
        <v>49</v>
      </c>
      <c r="B60" s="1" t="s">
        <v>25</v>
      </c>
      <c r="C60" s="100">
        <f>+'[5]Link Sheet'!$D$8</f>
        <v>1326522950.5026386</v>
      </c>
      <c r="D60" s="177"/>
      <c r="E60" s="106">
        <f>(C60-D60)/365.25</f>
        <v>3631821.9041824467</v>
      </c>
      <c r="F60" s="117">
        <v>0</v>
      </c>
      <c r="G60" s="117">
        <v>0</v>
      </c>
      <c r="H60" s="117">
        <f>F60+G60</f>
        <v>0</v>
      </c>
      <c r="I60" s="99">
        <f>ROUND(E60*H60,0)</f>
        <v>0</v>
      </c>
      <c r="K60" s="102"/>
    </row>
    <row r="61" spans="1:9" ht="12.75">
      <c r="A61" s="14">
        <v>50</v>
      </c>
      <c r="D61" s="177"/>
      <c r="E61" s="15"/>
      <c r="F61" s="15"/>
      <c r="G61" s="131"/>
      <c r="H61" s="103"/>
      <c r="I61" s="180"/>
    </row>
    <row r="62" spans="1:21" ht="12.75">
      <c r="A62" s="14">
        <v>51</v>
      </c>
      <c r="B62" s="1" t="s">
        <v>77</v>
      </c>
      <c r="C62" s="101">
        <f>+C60+C58+C56+C49+C44</f>
        <v>5824068017.8429432</v>
      </c>
      <c r="D62" s="177"/>
      <c r="E62" s="15"/>
      <c r="F62" s="15"/>
      <c r="G62" s="131"/>
      <c r="H62" s="103"/>
      <c r="I62" s="99">
        <f>SUM(I14:I60)</f>
        <v>-73596970</v>
      </c>
      <c r="K62" s="99">
        <f>SUM(K14:K60)</f>
        <v>-48371208.619999997</v>
      </c>
      <c r="L62" s="99">
        <f t="shared" si="16" ref="L62:R62">SUM(L14:L60)</f>
        <v>-8174427.4699999997</v>
      </c>
      <c r="M62" s="99">
        <f t="shared" si="16"/>
        <v>0</v>
      </c>
      <c r="N62" s="99">
        <f t="shared" si="16"/>
        <v>-56545636.089999996</v>
      </c>
      <c r="O62" s="99">
        <f t="shared" si="16"/>
        <v>-16788845.609999992</v>
      </c>
      <c r="P62" s="99">
        <f t="shared" si="16"/>
        <v>-668468.91000000003</v>
      </c>
      <c r="Q62" s="99">
        <f t="shared" si="16"/>
        <v>-17457314.519999988</v>
      </c>
      <c r="R62" s="99">
        <f t="shared" si="16"/>
        <v>268804.58000000031</v>
      </c>
      <c r="S62" s="99">
        <f>+I62-N62-Q62-R62</f>
        <v>137176.0299999842</v>
      </c>
      <c r="T62" s="174">
        <f>+S62+R62+Q62+N62</f>
        <v>-73596970</v>
      </c>
      <c r="U62" s="1" t="b">
        <f>+I62=T62</f>
        <v>1</v>
      </c>
    </row>
    <row r="63" spans="1:9" ht="12.75">
      <c r="A63" s="14">
        <v>52</v>
      </c>
      <c r="C63" s="15" t="b">
        <f>ROUND(C62/100,0)=ROUND('[5]Link Sheet'!$D$9/100,0)</f>
        <v>1</v>
      </c>
      <c r="D63" s="177"/>
      <c r="E63" s="15"/>
      <c r="F63" s="15"/>
      <c r="G63" s="15"/>
      <c r="H63" s="103"/>
      <c r="I63" s="130"/>
    </row>
    <row r="64" spans="1:21" ht="12.75">
      <c r="A64" s="14">
        <v>53</v>
      </c>
      <c r="B64" s="1" t="s">
        <v>26</v>
      </c>
      <c r="D64" s="15"/>
      <c r="E64" s="15"/>
      <c r="F64" s="15"/>
      <c r="G64" s="15"/>
      <c r="H64" s="103"/>
      <c r="I64" s="99">
        <v>8420858</v>
      </c>
      <c r="J64" s="142" t="s">
        <v>139</v>
      </c>
      <c r="K64" s="173">
        <f>ROUND(+$I64*'[2]II-F Alloc_Factor'!$E$18,2)+ROUND($I64*'[2]II-F Alloc_Factor'!$G$18,2)</f>
        <v>731347.91000000003</v>
      </c>
      <c r="L64" s="173">
        <f>ROUND(+$I64*'[2]II-F Alloc_Factor'!F$18,2)</f>
        <v>0</v>
      </c>
      <c r="M64" s="173">
        <v>0</v>
      </c>
      <c r="N64" s="173">
        <f>SUM(K64:M64)</f>
        <v>731347.91000000003</v>
      </c>
      <c r="O64" s="173">
        <f>ROUND(+$I64*'[2]II-F Alloc_Factor'!I$18,2)</f>
        <v>6993836.96</v>
      </c>
      <c r="P64" s="173">
        <f>ROUND(+$I64*'[2]II-F Alloc_Factor'!J$18,2)</f>
        <v>0</v>
      </c>
      <c r="Q64" s="173">
        <f>SUM(O64:P64)</f>
        <v>6993836.96</v>
      </c>
      <c r="R64" s="173">
        <f>ROUND(+$I64*'[2]II-F Alloc_Factor'!L$18,2)</f>
        <v>384135.73999999999</v>
      </c>
      <c r="S64" s="102">
        <f>+I64-N64-Q64-R64</f>
        <v>311537.3899999999</v>
      </c>
      <c r="T64" s="174">
        <f>+S64+R64+Q64+N64</f>
        <v>8420858</v>
      </c>
      <c r="U64" s="1" t="b">
        <f>+I64=T64</f>
        <v>1</v>
      </c>
    </row>
    <row r="65" spans="1:21" ht="12.75">
      <c r="A65" s="14">
        <v>54</v>
      </c>
      <c r="B65" s="1" t="s">
        <v>27</v>
      </c>
      <c r="C65"/>
      <c r="D65"/>
      <c r="E65"/>
      <c r="F65"/>
      <c r="G65"/>
      <c r="H65"/>
      <c r="I65" s="100">
        <v>-8308312</v>
      </c>
      <c r="J65" s="142" t="s">
        <v>139</v>
      </c>
      <c r="K65" s="173">
        <f>ROUND(+$I65*'[2]II-F Alloc_Factor'!$E$18,2)+ROUND($I65*'[2]II-F Alloc_Factor'!$G$18,2)</f>
        <v>-721573.33999999997</v>
      </c>
      <c r="L65" s="173">
        <f>ROUND(+$I65*'[2]II-F Alloc_Factor'!F$18,2)</f>
        <v>0</v>
      </c>
      <c r="M65" s="173">
        <v>0</v>
      </c>
      <c r="N65" s="173">
        <f>SUM(K65:M65)</f>
        <v>-721573.33999999997</v>
      </c>
      <c r="O65" s="173">
        <f>ROUND(+$I65*'[2]II-F Alloc_Factor'!I$18,2)</f>
        <v>-6900363.3099999996</v>
      </c>
      <c r="P65" s="173">
        <f>ROUND(+$I65*'[2]II-F Alloc_Factor'!J$18,2)</f>
        <v>0</v>
      </c>
      <c r="Q65" s="173">
        <f>SUM(O65:P65)</f>
        <v>-6900363.3099999996</v>
      </c>
      <c r="R65" s="173">
        <f>ROUND(+$I65*'[2]II-F Alloc_Factor'!L$18,2)</f>
        <v>-379001.71000000002</v>
      </c>
      <c r="S65" s="102">
        <f>+I65-N65-Q65-R65</f>
        <v>-307373.64000000054</v>
      </c>
      <c r="T65" s="174">
        <f>+S65+R65+Q65+N65</f>
        <v>-8308312</v>
      </c>
      <c r="U65" s="1" t="b">
        <f>+I65=T65</f>
        <v>1</v>
      </c>
    </row>
    <row r="66" spans="1:9" ht="12.75">
      <c r="A66" s="14">
        <v>55</v>
      </c>
      <c r="D66" s="15"/>
      <c r="E66" s="15"/>
      <c r="F66" s="15"/>
      <c r="G66" s="15"/>
      <c r="H66" s="103"/>
      <c r="I66" s="132"/>
    </row>
    <row r="67" spans="1:21" ht="13.5" thickBot="1">
      <c r="A67" s="14">
        <v>56</v>
      </c>
      <c r="B67" s="1" t="s">
        <v>78</v>
      </c>
      <c r="D67" s="15"/>
      <c r="E67" s="15"/>
      <c r="F67" s="15"/>
      <c r="G67" s="15"/>
      <c r="H67" s="103"/>
      <c r="I67" s="133">
        <f>SUM(I62:I65)</f>
        <v>-73484424</v>
      </c>
      <c r="K67" s="133">
        <f>SUM(K62:K65)</f>
        <v>-48361434.050000004</v>
      </c>
      <c r="L67" s="133">
        <f>SUM(L62:L65)</f>
        <v>-8174427.4699999997</v>
      </c>
      <c r="M67" s="133">
        <f t="shared" si="17" ref="M67:T67">SUM(M62:M65)</f>
        <v>0</v>
      </c>
      <c r="N67" s="133">
        <f t="shared" si="17"/>
        <v>-56535861.520000003</v>
      </c>
      <c r="O67" s="133">
        <f t="shared" si="17"/>
        <v>-16695371.95999999</v>
      </c>
      <c r="P67" s="133">
        <f t="shared" si="17"/>
        <v>-668468.91000000003</v>
      </c>
      <c r="Q67" s="133">
        <f t="shared" si="17"/>
        <v>-17363840.869999986</v>
      </c>
      <c r="R67" s="133">
        <f t="shared" si="17"/>
        <v>273938.61000000028</v>
      </c>
      <c r="S67" s="133">
        <f t="shared" si="17"/>
        <v>141339.77999998356</v>
      </c>
      <c r="T67" s="133">
        <f t="shared" si="17"/>
        <v>-73484424</v>
      </c>
      <c r="U67" s="1" t="b">
        <f>+I67=T67</f>
        <v>1</v>
      </c>
    </row>
    <row r="68" spans="4:9" ht="13.5" thickTop="1">
      <c r="D68" s="15"/>
      <c r="E68" s="15"/>
      <c r="F68" s="15"/>
      <c r="G68" s="15"/>
      <c r="H68" s="103"/>
      <c r="I68" s="5"/>
    </row>
    <row r="69" spans="3:9" ht="12.75">
      <c r="C69" s="101">
        <f>+C62-'[5]I-A-1'!$F$23</f>
        <v>0</v>
      </c>
      <c r="D69" s="15"/>
      <c r="E69" s="15"/>
      <c r="F69" s="15"/>
      <c r="G69" s="15"/>
      <c r="H69" s="103"/>
      <c r="I69" s="106"/>
    </row>
    <row r="70" spans="9:11" ht="12.75">
      <c r="I70" s="102"/>
      <c r="K70" s="102"/>
    </row>
    <row r="71" spans="9:9" ht="12.75">
      <c r="I71" s="102"/>
    </row>
    <row r="73" spans="3:9" ht="12.75">
      <c r="C73" s="101"/>
      <c r="I73" s="102"/>
    </row>
  </sheetData>
  <mergeCells count="4">
    <mergeCell ref="A5:I5"/>
    <mergeCell ref="A1:I1"/>
    <mergeCell ref="A3:I3"/>
    <mergeCell ref="A4:I4"/>
  </mergeCells>
  <printOptions horizontalCentered="1"/>
  <pageMargins left="1" right="0.5" top="1" bottom="1" header="0.5" footer="0.5"/>
  <pageSetup orientation="landscape" scale="4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"/>
  <dimension ref="A2:Q87"/>
  <sheetViews>
    <sheetView tabSelected="1" zoomScale="85" zoomScaleNormal="85" workbookViewId="0" topLeftCell="A25">
      <selection pane="topLeft" activeCell="R38" sqref="R38"/>
    </sheetView>
  </sheetViews>
  <sheetFormatPr defaultRowHeight="12.75"/>
  <cols>
    <col min="1" max="1" width="3.57142857142857" customWidth="1"/>
    <col min="2" max="2" width="16.7142857142857" customWidth="1"/>
    <col min="3" max="3" width="3.71428571428571" customWidth="1"/>
    <col min="4" max="4" width="14.7142857142857" customWidth="1"/>
    <col min="5" max="5" width="8" customWidth="1"/>
    <col min="6" max="6" width="16.8571428571429" bestFit="1" customWidth="1"/>
    <col min="7" max="7" width="3.71428571428571" customWidth="1"/>
    <col min="8" max="8" width="14.7142857142857" customWidth="1"/>
    <col min="9" max="9" width="3.71428571428571" customWidth="1"/>
    <col min="10" max="10" width="1.71428571428571" customWidth="1"/>
    <col min="11" max="11" width="23.7142857142857" customWidth="1"/>
    <col min="12" max="12" width="6.71428571428571" customWidth="1"/>
    <col min="13" max="13" width="7.71428571428571" customWidth="1"/>
    <col min="14" max="14" width="17.7142857142857" customWidth="1"/>
    <col min="16" max="17" width="15.8571428571429" bestFit="1" customWidth="1"/>
  </cols>
  <sheetData>
    <row r="1" ht="4.5" customHeight="1"/>
    <row r="2" spans="5:11" ht="15.75" customHeight="1">
      <c r="E2" s="82" t="str">
        <f>+'[6]Input Data'!$A$9</f>
        <v>2022 RATE CASE</v>
      </c>
      <c r="K2" s="157"/>
    </row>
    <row r="3" spans="5:11" ht="15.75" customHeight="1">
      <c r="E3" s="82" t="str">
        <f>+'[6]Input Data'!$A$2</f>
        <v>ONCOR ELECTRIC DELIVERY COMPANY LLC</v>
      </c>
      <c r="K3" s="157"/>
    </row>
    <row r="4" spans="4:10" ht="15.75" customHeight="1">
      <c r="D4" s="84"/>
      <c r="E4" s="82" t="s">
        <v>185</v>
      </c>
      <c r="F4" s="84"/>
      <c r="G4" s="84"/>
      <c r="H4" s="84"/>
      <c r="I4" s="84"/>
      <c r="J4" s="84"/>
    </row>
    <row r="5" spans="3:10" ht="15.75" customHeight="1">
      <c r="C5" s="83"/>
      <c r="D5" s="84"/>
      <c r="E5" s="86" t="str">
        <f>+'[6]Input Data'!$A$4</f>
        <v>TEST YEAR ENDING DECEMBER 31, 2021</v>
      </c>
      <c r="F5" s="84"/>
      <c r="G5" s="84"/>
      <c r="H5" s="84"/>
      <c r="I5" s="84"/>
      <c r="J5" s="84"/>
    </row>
    <row r="6" spans="3:11" ht="15.75" customHeight="1">
      <c r="C6" s="2"/>
      <c r="D6" s="2"/>
      <c r="E6" s="2" t="s">
        <v>184</v>
      </c>
      <c r="F6" s="2"/>
      <c r="G6" s="2"/>
      <c r="H6" s="2"/>
      <c r="I6" s="2"/>
      <c r="J6" s="2"/>
      <c r="K6" s="142"/>
    </row>
    <row r="7" spans="3:10" ht="15.75" customHeight="1">
      <c r="C7" s="2"/>
      <c r="D7" s="2"/>
      <c r="E7" s="2"/>
      <c r="F7" s="2"/>
      <c r="G7" s="2"/>
      <c r="H7" s="2"/>
      <c r="I7" s="2"/>
      <c r="J7" s="2"/>
    </row>
    <row r="8" spans="2:8" ht="15" customHeight="1" thickBot="1">
      <c r="B8" s="85" t="s">
        <v>63</v>
      </c>
      <c r="H8" s="27"/>
    </row>
    <row r="9" spans="2:10" ht="12.75">
      <c r="B9" s="118"/>
      <c r="C9" s="119"/>
      <c r="D9" s="119"/>
      <c r="E9" s="119"/>
      <c r="F9" s="119"/>
      <c r="G9" s="119"/>
      <c r="H9" s="119" t="s">
        <v>28</v>
      </c>
      <c r="I9" s="120"/>
      <c r="J9" s="121"/>
    </row>
    <row r="10" spans="2:10" ht="12.75">
      <c r="B10" s="122" t="s">
        <v>29</v>
      </c>
      <c r="C10" s="7"/>
      <c r="D10" s="7"/>
      <c r="E10" s="7"/>
      <c r="F10" s="7"/>
      <c r="G10" s="7"/>
      <c r="H10" s="7" t="s">
        <v>30</v>
      </c>
      <c r="I10" s="8"/>
      <c r="J10" s="123"/>
    </row>
    <row r="11" spans="2:11" ht="18" customHeight="1">
      <c r="B11" s="197" t="s">
        <v>117</v>
      </c>
      <c r="C11" s="32"/>
      <c r="D11" s="32"/>
      <c r="E11" s="32"/>
      <c r="F11" s="32"/>
      <c r="G11" s="33"/>
      <c r="H11" s="136">
        <v>8.1976569999999995</v>
      </c>
      <c r="I11" s="112"/>
      <c r="J11" s="34"/>
      <c r="K11" s="142"/>
    </row>
    <row r="12" spans="2:11" ht="12.75" customHeight="1">
      <c r="B12" s="35" t="s">
        <v>31</v>
      </c>
      <c r="C12" s="36"/>
      <c r="D12" s="36"/>
      <c r="E12" s="36"/>
      <c r="F12" s="36"/>
      <c r="G12" s="37"/>
      <c r="H12" s="136">
        <v>1.187214</v>
      </c>
      <c r="I12" s="113"/>
      <c r="J12" s="38"/>
      <c r="K12" s="142"/>
    </row>
    <row r="13" spans="2:10" ht="12.75" customHeight="1">
      <c r="B13" s="39" t="s">
        <v>101</v>
      </c>
      <c r="C13" s="40"/>
      <c r="D13" s="40"/>
      <c r="E13" s="40"/>
      <c r="F13" s="40"/>
      <c r="G13" s="41"/>
      <c r="H13" s="136">
        <v>0.079465000000000008</v>
      </c>
      <c r="I13" s="114"/>
      <c r="J13" s="42"/>
    </row>
    <row r="14" spans="2:10" ht="12.75" customHeight="1">
      <c r="B14" s="39" t="s">
        <v>32</v>
      </c>
      <c r="C14" s="40"/>
      <c r="D14" s="40"/>
      <c r="E14" s="40"/>
      <c r="F14" s="40"/>
      <c r="G14" s="41"/>
      <c r="H14" s="136">
        <v>1.8899537</v>
      </c>
      <c r="I14" s="114"/>
      <c r="J14" s="42"/>
    </row>
    <row r="15" spans="2:10" ht="12.75" customHeight="1">
      <c r="B15" s="39" t="s">
        <v>33</v>
      </c>
      <c r="C15" s="40"/>
      <c r="D15" s="40"/>
      <c r="E15" s="40"/>
      <c r="F15" s="40"/>
      <c r="G15" s="41"/>
      <c r="H15" s="136">
        <v>0.138873</v>
      </c>
      <c r="I15" s="114"/>
      <c r="J15" s="42"/>
    </row>
    <row r="16" spans="2:10" ht="12.75" customHeight="1">
      <c r="B16" s="31" t="s">
        <v>34</v>
      </c>
      <c r="C16" s="32"/>
      <c r="D16" s="32"/>
      <c r="E16" s="32"/>
      <c r="F16" s="32"/>
      <c r="G16" s="33"/>
      <c r="H16" s="136">
        <v>0.51128399999999996</v>
      </c>
      <c r="I16" s="115"/>
      <c r="J16" s="34"/>
    </row>
    <row r="17" spans="2:10" ht="12.75" customHeight="1">
      <c r="B17" s="35" t="s">
        <v>102</v>
      </c>
      <c r="C17" s="36"/>
      <c r="D17" s="36"/>
      <c r="E17" s="36"/>
      <c r="F17" s="36"/>
      <c r="G17" s="37"/>
      <c r="H17" s="136">
        <v>5.8522799999999995</v>
      </c>
      <c r="I17" s="116"/>
      <c r="J17" s="38"/>
    </row>
    <row r="18" spans="2:11" ht="12.75" customHeight="1">
      <c r="B18" s="35" t="s">
        <v>35</v>
      </c>
      <c r="C18" s="36"/>
      <c r="D18" s="36"/>
      <c r="E18" s="36"/>
      <c r="F18" s="36"/>
      <c r="G18" s="37"/>
      <c r="H18" s="136">
        <v>0.002892</v>
      </c>
      <c r="I18" s="116"/>
      <c r="J18" s="38"/>
      <c r="K18" s="142"/>
    </row>
    <row r="19" spans="2:10" ht="12.75" customHeight="1">
      <c r="B19" s="35" t="s">
        <v>36</v>
      </c>
      <c r="C19" s="36"/>
      <c r="D19" s="36"/>
      <c r="E19" s="36"/>
      <c r="F19" s="36"/>
      <c r="G19" s="37"/>
      <c r="H19" s="136">
        <v>0.055256399999999997</v>
      </c>
      <c r="I19" s="116"/>
      <c r="J19" s="38"/>
    </row>
    <row r="20" spans="2:10" ht="12.75" customHeight="1">
      <c r="B20" s="35" t="s">
        <v>103</v>
      </c>
      <c r="C20" s="36"/>
      <c r="D20" s="36"/>
      <c r="E20" s="36"/>
      <c r="F20" s="36"/>
      <c r="G20" s="37"/>
      <c r="H20" s="136">
        <v>0.99519999999999997</v>
      </c>
      <c r="I20" s="116"/>
      <c r="J20" s="38"/>
    </row>
    <row r="21" spans="2:11" ht="12.75" customHeight="1">
      <c r="B21" s="53" t="s">
        <v>37</v>
      </c>
      <c r="C21" s="29"/>
      <c r="D21" s="29"/>
      <c r="E21" s="29"/>
      <c r="F21" s="29"/>
      <c r="G21" s="143"/>
      <c r="H21" s="136">
        <v>0.0020920000000000001</v>
      </c>
      <c r="I21" s="144"/>
      <c r="J21" s="30"/>
      <c r="K21" s="142"/>
    </row>
    <row r="22" spans="2:10" ht="12.75" customHeight="1">
      <c r="B22" s="39" t="s">
        <v>38</v>
      </c>
      <c r="C22" s="40"/>
      <c r="D22" s="40"/>
      <c r="E22" s="40"/>
      <c r="F22" s="40"/>
      <c r="G22" s="41"/>
      <c r="H22" s="136">
        <v>0.84232410000000002</v>
      </c>
      <c r="I22" s="114"/>
      <c r="J22" s="42"/>
    </row>
    <row r="23" spans="2:10" ht="12.75" customHeight="1">
      <c r="B23" s="39" t="s">
        <v>39</v>
      </c>
      <c r="C23" s="40"/>
      <c r="D23" s="40"/>
      <c r="E23" s="40"/>
      <c r="F23" s="40"/>
      <c r="G23" s="41"/>
      <c r="H23" s="136">
        <v>0.0035299999999999997</v>
      </c>
      <c r="I23" s="114"/>
      <c r="J23" s="42"/>
    </row>
    <row r="24" spans="2:10" ht="12.75" customHeight="1">
      <c r="B24" s="39" t="s">
        <v>81</v>
      </c>
      <c r="C24" s="40"/>
      <c r="D24" s="40"/>
      <c r="E24" s="40"/>
      <c r="F24" s="40"/>
      <c r="G24" s="41"/>
      <c r="H24" s="136">
        <v>4.6930820000000004</v>
      </c>
      <c r="I24" s="114"/>
      <c r="J24" s="42"/>
    </row>
    <row r="25" spans="2:11" ht="12.75" customHeight="1">
      <c r="B25" s="39" t="s">
        <v>40</v>
      </c>
      <c r="C25" s="40"/>
      <c r="D25" s="40"/>
      <c r="E25" s="40"/>
      <c r="F25" s="40"/>
      <c r="G25" s="41"/>
      <c r="H25" s="136">
        <v>0.0021920000000000004</v>
      </c>
      <c r="I25" s="114"/>
      <c r="J25" s="42"/>
      <c r="K25" s="142"/>
    </row>
    <row r="26" spans="2:10" ht="12.75" customHeight="1">
      <c r="B26" s="31" t="s">
        <v>41</v>
      </c>
      <c r="C26" s="32"/>
      <c r="D26" s="32"/>
      <c r="E26" s="32"/>
      <c r="F26" s="32"/>
      <c r="G26" s="33"/>
      <c r="H26" s="136">
        <v>0.0099010000000000001</v>
      </c>
      <c r="I26" s="115"/>
      <c r="J26" s="34"/>
    </row>
    <row r="27" spans="2:10" ht="12.75" customHeight="1">
      <c r="B27" s="35" t="s">
        <v>42</v>
      </c>
      <c r="C27" s="36"/>
      <c r="D27" s="36"/>
      <c r="E27" s="36"/>
      <c r="F27" s="36"/>
      <c r="G27" s="37"/>
      <c r="H27" s="136">
        <v>0.0064429999999999999</v>
      </c>
      <c r="I27" s="116"/>
      <c r="J27" s="38"/>
    </row>
    <row r="28" spans="2:10" ht="12.75" customHeight="1">
      <c r="B28" s="31" t="s">
        <v>43</v>
      </c>
      <c r="C28" s="32"/>
      <c r="D28" s="32"/>
      <c r="E28" s="32"/>
      <c r="F28" s="32"/>
      <c r="G28" s="33"/>
      <c r="H28" s="136">
        <v>0.90886100000000003</v>
      </c>
      <c r="I28" s="115"/>
      <c r="J28" s="34"/>
    </row>
    <row r="29" spans="2:11" ht="12.75" customHeight="1">
      <c r="B29" s="35" t="s">
        <v>104</v>
      </c>
      <c r="C29" s="36"/>
      <c r="D29" s="36"/>
      <c r="E29" s="36"/>
      <c r="F29" s="36"/>
      <c r="G29" s="37"/>
      <c r="H29" s="136">
        <v>0.045179999999999998</v>
      </c>
      <c r="I29" s="116"/>
      <c r="J29" s="38"/>
      <c r="K29" s="142"/>
    </row>
    <row r="30" spans="2:10" ht="12.75" customHeight="1">
      <c r="B30" s="35" t="s">
        <v>98</v>
      </c>
      <c r="C30" s="36"/>
      <c r="D30" s="36"/>
      <c r="E30" s="36"/>
      <c r="F30" s="36"/>
      <c r="G30" s="37"/>
      <c r="H30" s="136">
        <v>0.035249999999999997</v>
      </c>
      <c r="I30" s="116"/>
      <c r="J30" s="38"/>
    </row>
    <row r="31" spans="2:10" ht="12.75" customHeight="1">
      <c r="B31" s="35" t="s">
        <v>44</v>
      </c>
      <c r="C31" s="36"/>
      <c r="D31" s="36"/>
      <c r="E31" s="36"/>
      <c r="F31" s="36"/>
      <c r="G31" s="37"/>
      <c r="H31" s="136">
        <v>0.022728000000000002</v>
      </c>
      <c r="I31" s="116"/>
      <c r="J31" s="38"/>
    </row>
    <row r="32" spans="2:10" ht="12.75" customHeight="1">
      <c r="B32" s="35" t="s">
        <v>45</v>
      </c>
      <c r="C32" s="36"/>
      <c r="D32" s="36"/>
      <c r="E32" s="36"/>
      <c r="F32" s="36"/>
      <c r="G32" s="37"/>
      <c r="H32" s="136">
        <v>0.019677</v>
      </c>
      <c r="I32" s="116"/>
      <c r="J32" s="38"/>
    </row>
    <row r="33" spans="2:10" ht="12.75" customHeight="1">
      <c r="B33" s="35" t="s">
        <v>46</v>
      </c>
      <c r="C33" s="36"/>
      <c r="D33" s="36"/>
      <c r="E33" s="36"/>
      <c r="F33" s="36"/>
      <c r="G33" s="37"/>
      <c r="H33" s="136">
        <v>0.0041349999999999998</v>
      </c>
      <c r="I33" s="116"/>
      <c r="J33" s="38"/>
    </row>
    <row r="34" spans="2:10" ht="12.75" customHeight="1">
      <c r="B34" s="39" t="s">
        <v>105</v>
      </c>
      <c r="C34" s="40"/>
      <c r="D34" s="40"/>
      <c r="E34" s="40"/>
      <c r="F34" s="40"/>
      <c r="G34" s="41"/>
      <c r="H34" s="136">
        <v>1.358724</v>
      </c>
      <c r="I34" s="114"/>
      <c r="J34" s="42"/>
    </row>
    <row r="35" spans="2:11" ht="12.75" customHeight="1">
      <c r="B35" s="39" t="s">
        <v>47</v>
      </c>
      <c r="C35" s="40"/>
      <c r="D35" s="40"/>
      <c r="E35" s="40"/>
      <c r="F35" s="40"/>
      <c r="G35" s="41"/>
      <c r="H35" s="136">
        <v>7.9791886000000005</v>
      </c>
      <c r="I35" s="114"/>
      <c r="J35" s="42"/>
      <c r="K35" s="142"/>
    </row>
    <row r="36" spans="2:11" ht="12.75" customHeight="1">
      <c r="B36" s="179" t="s">
        <v>153</v>
      </c>
      <c r="C36" s="40"/>
      <c r="D36" s="40"/>
      <c r="E36" s="40"/>
      <c r="F36" s="40"/>
      <c r="G36" s="41"/>
      <c r="H36" s="136">
        <v>0.57626999999999995</v>
      </c>
      <c r="I36" s="114"/>
      <c r="J36" s="42"/>
      <c r="K36" s="142"/>
    </row>
    <row r="37" spans="2:11" ht="12.75" customHeight="1">
      <c r="B37" s="31" t="s">
        <v>106</v>
      </c>
      <c r="C37" s="32"/>
      <c r="D37" s="32"/>
      <c r="E37" s="32"/>
      <c r="F37" s="32"/>
      <c r="G37" s="33"/>
      <c r="H37" s="136">
        <v>0.011365</v>
      </c>
      <c r="I37" s="115"/>
      <c r="J37" s="34"/>
      <c r="K37" s="142"/>
    </row>
    <row r="38" spans="2:10" ht="12.75" customHeight="1">
      <c r="B38" s="35" t="s">
        <v>48</v>
      </c>
      <c r="C38" s="36"/>
      <c r="D38" s="36"/>
      <c r="E38" s="36"/>
      <c r="F38" s="36"/>
      <c r="G38" s="37"/>
      <c r="H38" s="136">
        <v>0.33011610000000002</v>
      </c>
      <c r="I38" s="116"/>
      <c r="J38" s="38"/>
    </row>
    <row r="39" spans="2:10" ht="12.75" customHeight="1">
      <c r="B39" s="31" t="s">
        <v>49</v>
      </c>
      <c r="C39" s="32"/>
      <c r="D39" s="32"/>
      <c r="E39" s="32"/>
      <c r="F39" s="32"/>
      <c r="G39" s="33"/>
      <c r="H39" s="136">
        <v>0.0098589999999999997</v>
      </c>
      <c r="I39" s="115"/>
      <c r="J39" s="34"/>
    </row>
    <row r="40" spans="2:10" ht="12.75" customHeight="1">
      <c r="B40" s="35" t="s">
        <v>50</v>
      </c>
      <c r="C40" s="36"/>
      <c r="D40" s="36"/>
      <c r="E40" s="36"/>
      <c r="F40" s="36"/>
      <c r="G40" s="37"/>
      <c r="H40" s="136">
        <v>3.0843049999999996</v>
      </c>
      <c r="I40" s="116"/>
      <c r="J40" s="38"/>
    </row>
    <row r="41" spans="2:10" ht="12.75" customHeight="1">
      <c r="B41" s="39" t="s">
        <v>86</v>
      </c>
      <c r="C41" s="40"/>
      <c r="D41" s="40"/>
      <c r="E41" s="40"/>
      <c r="F41" s="40"/>
      <c r="G41" s="41"/>
      <c r="H41" s="136">
        <v>0.057070000000000003</v>
      </c>
      <c r="I41" s="114"/>
      <c r="J41" s="42"/>
    </row>
    <row r="42" spans="2:10" ht="12.75" customHeight="1">
      <c r="B42" s="39" t="s">
        <v>51</v>
      </c>
      <c r="C42" s="40"/>
      <c r="D42" s="40"/>
      <c r="E42" s="40"/>
      <c r="F42" s="40"/>
      <c r="G42" s="41"/>
      <c r="H42" s="136">
        <v>0.020501000000000002</v>
      </c>
      <c r="I42" s="114"/>
      <c r="J42" s="42"/>
    </row>
    <row r="43" spans="2:15" ht="12.75" customHeight="1">
      <c r="B43" s="31" t="s">
        <v>52</v>
      </c>
      <c r="C43" s="32"/>
      <c r="D43" s="32"/>
      <c r="E43" s="32"/>
      <c r="F43" s="32"/>
      <c r="G43" s="33"/>
      <c r="H43" s="136">
        <v>0.56343600000000005</v>
      </c>
      <c r="I43" s="115"/>
      <c r="J43" s="34"/>
      <c r="K43" s="142" t="s">
        <v>173</v>
      </c>
      <c r="N43" s="185">
        <f>H43*H57</f>
        <v>14618394.664148161</v>
      </c>
      <c r="O43" s="142" t="s">
        <v>177</v>
      </c>
    </row>
    <row r="44" spans="2:14" ht="12.75" customHeight="1">
      <c r="B44" s="35" t="s">
        <v>53</v>
      </c>
      <c r="C44" s="36"/>
      <c r="D44" s="36"/>
      <c r="E44" s="36"/>
      <c r="F44" s="36"/>
      <c r="G44" s="37"/>
      <c r="H44" s="136">
        <v>1.2915369999999999</v>
      </c>
      <c r="I44" s="116"/>
      <c r="J44" s="38"/>
      <c r="K44" s="142"/>
      <c r="N44" s="142"/>
    </row>
    <row r="45" spans="2:10" ht="12.75" customHeight="1">
      <c r="B45" s="39" t="s">
        <v>54</v>
      </c>
      <c r="C45" s="40"/>
      <c r="D45" s="40"/>
      <c r="E45" s="40"/>
      <c r="F45" s="40"/>
      <c r="G45" s="41"/>
      <c r="H45" s="136">
        <v>0.00095099999999999991</v>
      </c>
      <c r="I45" s="114"/>
      <c r="J45" s="42"/>
    </row>
    <row r="46" spans="2:10" ht="12.75" customHeight="1">
      <c r="B46" s="31" t="s">
        <v>55</v>
      </c>
      <c r="C46" s="32"/>
      <c r="D46" s="32"/>
      <c r="E46" s="32"/>
      <c r="F46" s="32"/>
      <c r="G46" s="33"/>
      <c r="H46" s="136">
        <v>0.43547000000000002</v>
      </c>
      <c r="I46" s="115"/>
      <c r="J46" s="34"/>
    </row>
    <row r="47" spans="2:10" ht="12.75" customHeight="1">
      <c r="B47" s="35" t="s">
        <v>56</v>
      </c>
      <c r="C47" s="36"/>
      <c r="D47" s="36"/>
      <c r="E47" s="36"/>
      <c r="F47" s="36"/>
      <c r="G47" s="37"/>
      <c r="H47" s="136">
        <v>1.459023</v>
      </c>
      <c r="I47" s="116"/>
      <c r="J47" s="38"/>
    </row>
    <row r="48" spans="2:10" ht="12.75" customHeight="1" thickBot="1">
      <c r="B48" s="39" t="s">
        <v>57</v>
      </c>
      <c r="C48" s="40"/>
      <c r="D48" s="40"/>
      <c r="E48" s="40"/>
      <c r="F48" s="40"/>
      <c r="G48" s="41"/>
      <c r="H48" s="136">
        <v>0.010712999999999999</v>
      </c>
      <c r="I48" s="114"/>
      <c r="J48" s="42"/>
    </row>
    <row r="49" spans="2:17" ht="12.75" customHeight="1">
      <c r="B49" s="31" t="s">
        <v>107</v>
      </c>
      <c r="C49" s="32"/>
      <c r="D49" s="32"/>
      <c r="E49" s="32"/>
      <c r="F49" s="32"/>
      <c r="G49" s="33"/>
      <c r="H49" s="136">
        <v>1.8095399999999999</v>
      </c>
      <c r="I49" s="115"/>
      <c r="J49" s="34"/>
      <c r="K49" s="142"/>
      <c r="M49" s="43"/>
      <c r="N49" s="44"/>
      <c r="O49" s="44"/>
      <c r="P49" s="45"/>
      <c r="Q49" s="46"/>
    </row>
    <row r="50" spans="2:17" ht="12.75" customHeight="1">
      <c r="B50" s="35" t="s">
        <v>108</v>
      </c>
      <c r="C50" s="36"/>
      <c r="D50" s="36"/>
      <c r="E50" s="36"/>
      <c r="F50" s="36"/>
      <c r="G50" s="37"/>
      <c r="H50" s="136">
        <v>0.0018990000000000001</v>
      </c>
      <c r="I50" s="116"/>
      <c r="J50" s="38"/>
      <c r="M50" s="47"/>
      <c r="N50" s="8" t="s">
        <v>58</v>
      </c>
      <c r="O50" s="29"/>
      <c r="P50" s="30"/>
      <c r="Q50" s="46"/>
    </row>
    <row r="51" spans="2:17" ht="12.75" customHeight="1">
      <c r="B51" s="35"/>
      <c r="C51" s="36"/>
      <c r="D51" s="36"/>
      <c r="E51" s="36"/>
      <c r="F51" s="36"/>
      <c r="G51" s="37"/>
      <c r="H51" s="136"/>
      <c r="I51" s="116"/>
      <c r="J51" s="38"/>
      <c r="M51" s="47"/>
      <c r="N51" s="8"/>
      <c r="O51" s="29"/>
      <c r="P51" s="30"/>
      <c r="Q51" s="46"/>
    </row>
    <row r="52" spans="2:17" ht="12.75" customHeight="1">
      <c r="B52" s="166" t="s">
        <v>118</v>
      </c>
      <c r="C52" s="167"/>
      <c r="D52" s="167"/>
      <c r="E52" s="167"/>
      <c r="F52" s="167"/>
      <c r="G52" s="168"/>
      <c r="H52" s="169">
        <f>IF(ISERROR(+N52/$D$79),0,(+N52/$D$79))</f>
        <v>2.3868431983112988</v>
      </c>
      <c r="I52" s="170"/>
      <c r="J52" s="171"/>
      <c r="K52" s="163"/>
      <c r="M52" s="47"/>
      <c r="N52" s="161">
        <f>+'[5]Link Sheet'!$F$15</f>
        <v>173023039.77111</v>
      </c>
      <c r="O52" s="162" t="s">
        <v>124</v>
      </c>
      <c r="P52" s="30"/>
      <c r="Q52" s="46"/>
    </row>
    <row r="53" spans="2:17" ht="12.75" customHeight="1">
      <c r="B53" s="48" t="s">
        <v>82</v>
      </c>
      <c r="C53" s="49"/>
      <c r="D53" s="49"/>
      <c r="E53" s="49"/>
      <c r="F53" s="49"/>
      <c r="G53" s="50"/>
      <c r="H53" s="51">
        <f>IF(ISERROR(+N53/$D$79),0,(+N53/$D$79))</f>
        <v>17.549284118739436</v>
      </c>
      <c r="I53" s="109">
        <v>1</v>
      </c>
      <c r="J53" s="52"/>
      <c r="K53" s="163"/>
      <c r="M53" s="47"/>
      <c r="N53" s="161">
        <f>+'[5]Link Sheet'!$E$15+'[5]Link Sheet'!$G$15</f>
        <v>1272153313.70718</v>
      </c>
      <c r="O53" s="29" t="s">
        <v>123</v>
      </c>
      <c r="P53" s="30"/>
      <c r="Q53" s="46"/>
    </row>
    <row r="54" spans="2:17" ht="3" customHeight="1">
      <c r="B54" s="53"/>
      <c r="C54" s="29"/>
      <c r="D54" s="29"/>
      <c r="E54" s="29"/>
      <c r="F54" s="29"/>
      <c r="G54" s="29"/>
      <c r="H54" s="29"/>
      <c r="I54" s="29"/>
      <c r="J54" s="30"/>
      <c r="M54" s="47"/>
      <c r="N54" s="54"/>
      <c r="O54" s="54"/>
      <c r="P54" s="55"/>
      <c r="Q54" s="46"/>
    </row>
    <row r="55" spans="2:17" ht="13.5" thickBot="1">
      <c r="B55" s="53" t="s">
        <v>64</v>
      </c>
      <c r="C55" s="29"/>
      <c r="D55" s="29"/>
      <c r="E55" s="29"/>
      <c r="F55" s="29"/>
      <c r="G55" s="29"/>
      <c r="H55" s="56">
        <f>SUM(H11:H53)</f>
        <v>64.441565217050751</v>
      </c>
      <c r="I55" s="57" t="s">
        <v>59</v>
      </c>
      <c r="J55" s="30"/>
      <c r="M55" s="58"/>
      <c r="N55" s="59"/>
      <c r="O55" s="59"/>
      <c r="P55" s="60"/>
      <c r="Q55" s="46"/>
    </row>
    <row r="56" spans="2:10" ht="4.5" customHeight="1" thickTop="1" thickBot="1">
      <c r="B56" s="61"/>
      <c r="C56" s="62"/>
      <c r="D56" s="62"/>
      <c r="E56" s="62"/>
      <c r="F56" s="62"/>
      <c r="G56" s="62"/>
      <c r="H56" s="63"/>
      <c r="I56" s="62"/>
      <c r="J56" s="64"/>
    </row>
    <row r="57" spans="2:9" ht="18.75" customHeight="1">
      <c r="B57" s="65" t="s">
        <v>174</v>
      </c>
      <c r="C57" s="65"/>
      <c r="H57" s="155">
        <f>+F79</f>
        <v>25945084.559999999</v>
      </c>
      <c r="I57" s="66" t="s">
        <v>60</v>
      </c>
    </row>
    <row r="58" spans="8:8" ht="4.5" customHeight="1" thickBot="1">
      <c r="H58" s="67"/>
    </row>
    <row r="59" spans="2:17" ht="30" customHeight="1" thickBot="1">
      <c r="B59" s="203" t="s">
        <v>85</v>
      </c>
      <c r="C59" s="204"/>
      <c r="D59" s="204"/>
      <c r="E59" s="204"/>
      <c r="F59" s="204"/>
      <c r="G59" s="68"/>
      <c r="H59" s="69">
        <f>ROUND(H55*H57,0)+H69</f>
        <v>1652522021.4441209</v>
      </c>
      <c r="I59" s="70"/>
      <c r="J59" s="71"/>
      <c r="K59" s="142" t="s">
        <v>113</v>
      </c>
      <c r="N59" s="178" t="s">
        <v>152</v>
      </c>
      <c r="O59" s="178"/>
      <c r="P59" s="178"/>
      <c r="Q59" s="178"/>
    </row>
    <row r="60" spans="2:15" ht="24" customHeight="1">
      <c r="B60" s="28"/>
      <c r="C60" s="29"/>
      <c r="K60" s="134"/>
      <c r="N60" s="158">
        <f>ROUND(+H53*F79,2)</f>
        <v>455317660.43000001</v>
      </c>
      <c r="O60" t="s">
        <v>114</v>
      </c>
    </row>
    <row r="61" spans="2:15" ht="12.75" customHeight="1">
      <c r="B61" s="145" t="s">
        <v>109</v>
      </c>
      <c r="C61" s="29"/>
      <c r="F61" s="146" t="s">
        <v>110</v>
      </c>
      <c r="H61" s="146" t="s">
        <v>111</v>
      </c>
      <c r="K61" s="134"/>
      <c r="N61" s="165">
        <f>ROUND(+H52*F79,2)</f>
        <v>61926848.609999999</v>
      </c>
      <c r="O61" s="142" t="s">
        <v>125</v>
      </c>
    </row>
    <row r="62" spans="1:14" ht="12.75" customHeight="1" thickBot="1">
      <c r="A62" s="39"/>
      <c r="B62" s="40" t="s">
        <v>119</v>
      </c>
      <c r="C62" s="40"/>
      <c r="D62" s="40"/>
      <c r="E62" s="40"/>
      <c r="F62" s="136">
        <v>-0.14363999999999999</v>
      </c>
      <c r="G62" s="136"/>
      <c r="H62" s="160">
        <f>+F62*$F$79</f>
        <v>-3726751.9461983996</v>
      </c>
      <c r="I62" s="42"/>
      <c r="K62" s="147" t="s">
        <v>163</v>
      </c>
      <c r="N62" s="164">
        <f>SUM(N60:N61)</f>
        <v>517244509.04000002</v>
      </c>
    </row>
    <row r="63" spans="1:11" ht="12.75" customHeight="1" thickTop="1">
      <c r="A63" s="39"/>
      <c r="B63" s="40" t="s">
        <v>120</v>
      </c>
      <c r="C63" s="40"/>
      <c r="D63" s="40"/>
      <c r="E63" s="40"/>
      <c r="F63" s="136">
        <v>-0.23689200000000002</v>
      </c>
      <c r="G63" s="136"/>
      <c r="H63" s="160">
        <f>+F63*$F$79</f>
        <v>-6146182.9715875201</v>
      </c>
      <c r="I63" s="42"/>
      <c r="K63" s="147" t="s">
        <v>163</v>
      </c>
    </row>
    <row r="64" spans="1:11" ht="12.75" customHeight="1">
      <c r="A64" s="39"/>
      <c r="B64" s="40" t="s">
        <v>159</v>
      </c>
      <c r="C64" s="40"/>
      <c r="D64" s="40"/>
      <c r="E64" s="40"/>
      <c r="F64" s="136">
        <v>-0.06207725</v>
      </c>
      <c r="G64" s="136"/>
      <c r="H64" s="160">
        <f>+F64*$F$79</f>
        <v>-1610599.5005022599</v>
      </c>
      <c r="I64" s="42"/>
      <c r="K64" s="147" t="s">
        <v>163</v>
      </c>
    </row>
    <row r="65" spans="1:11" ht="12.75" customHeight="1">
      <c r="A65" s="39"/>
      <c r="B65" s="40" t="s">
        <v>160</v>
      </c>
      <c r="C65" s="40"/>
      <c r="D65" s="40"/>
      <c r="E65" s="40"/>
      <c r="F65" s="136">
        <v>0.00281</v>
      </c>
      <c r="G65" s="136"/>
      <c r="H65" s="160">
        <f>+F65*$F$79</f>
        <v>72905.687613599992</v>
      </c>
      <c r="I65" s="42"/>
      <c r="K65" s="147" t="s">
        <v>163</v>
      </c>
    </row>
    <row r="66" spans="1:11" ht="12.75" customHeight="1">
      <c r="A66" s="39"/>
      <c r="B66" s="40" t="s">
        <v>121</v>
      </c>
      <c r="C66" s="40"/>
      <c r="D66" s="40"/>
      <c r="E66" s="40"/>
      <c r="F66" s="136">
        <v>-0.014088</v>
      </c>
      <c r="G66" s="136"/>
      <c r="H66" s="160">
        <f>+F66*$F$79</f>
        <v>-365514.35128127999</v>
      </c>
      <c r="I66" s="42"/>
      <c r="K66" s="147" t="s">
        <v>163</v>
      </c>
    </row>
    <row r="67" spans="1:11" ht="12.75" customHeight="1">
      <c r="A67" s="39"/>
      <c r="B67" s="32" t="s">
        <v>161</v>
      </c>
      <c r="C67" s="32"/>
      <c r="D67" s="32"/>
      <c r="E67" s="32"/>
      <c r="F67" s="136">
        <v>0.00348</v>
      </c>
      <c r="G67" s="136"/>
      <c r="H67" s="160">
        <f>+F67*24930510.352</f>
        <v>86758.176024960005</v>
      </c>
      <c r="I67" s="42"/>
      <c r="K67" s="147" t="s">
        <v>122</v>
      </c>
    </row>
    <row r="68" spans="1:11" ht="12.75" customHeight="1">
      <c r="A68" s="31"/>
      <c r="B68" s="112" t="s">
        <v>162</v>
      </c>
      <c r="C68" s="32"/>
      <c r="D68" s="32"/>
      <c r="E68" s="32"/>
      <c r="F68" s="136">
        <v>-0.31007999999999997</v>
      </c>
      <c r="G68" s="136"/>
      <c r="H68" s="160">
        <f>+F68*24930510.352</f>
        <v>-7730452.6499481602</v>
      </c>
      <c r="I68" s="34"/>
      <c r="K68" s="147" t="s">
        <v>122</v>
      </c>
    </row>
    <row r="69" spans="2:11" ht="12.75" customHeight="1">
      <c r="B69" s="29"/>
      <c r="C69" s="29"/>
      <c r="D69" s="148" t="s">
        <v>112</v>
      </c>
      <c r="E69" s="149"/>
      <c r="F69" s="149"/>
      <c r="G69" s="149"/>
      <c r="H69" s="150">
        <f>SUM(H62:H68)</f>
        <v>-19419837.55587906</v>
      </c>
      <c r="K69" s="134"/>
    </row>
    <row r="70" spans="2:17" ht="12.75" customHeight="1">
      <c r="B70" s="29"/>
      <c r="C70" s="29"/>
      <c r="D70" s="8"/>
      <c r="E70" s="8"/>
      <c r="F70" s="8"/>
      <c r="G70" s="8"/>
      <c r="H70" s="183"/>
      <c r="K70" s="134"/>
      <c r="N70" s="190" t="s">
        <v>181</v>
      </c>
      <c r="P70" s="191" t="s">
        <v>182</v>
      </c>
      <c r="Q70" s="191" t="s">
        <v>183</v>
      </c>
    </row>
    <row r="71" spans="2:14" s="87" customFormat="1" ht="15.75" customHeight="1">
      <c r="B71" s="72" t="s">
        <v>179</v>
      </c>
      <c r="C71" s="72"/>
      <c r="D71" s="142"/>
      <c r="E71" s="142"/>
      <c r="F71" s="142"/>
      <c r="G71" s="142"/>
      <c r="H71" s="181">
        <v>16.840547180000002</v>
      </c>
      <c r="I71" s="108"/>
      <c r="J71" s="108"/>
      <c r="K71" s="110"/>
      <c r="N71" s="158"/>
    </row>
    <row r="72" spans="2:17" s="87" customFormat="1" ht="12.75">
      <c r="B72" s="72" t="s">
        <v>180</v>
      </c>
      <c r="C72" s="72"/>
      <c r="D72" s="142"/>
      <c r="E72" s="142"/>
      <c r="F72" s="142"/>
      <c r="G72" s="142"/>
      <c r="H72" s="182">
        <v>3.2263409999999997</v>
      </c>
      <c r="I72" s="108"/>
      <c r="J72" s="108"/>
      <c r="K72" s="111"/>
      <c r="N72" s="158">
        <f>ROUND(H72*D$79,2)</f>
        <v>233878508.46000001</v>
      </c>
      <c r="P72" s="158">
        <f>N72-Q72</f>
        <v>150170818.40000001</v>
      </c>
      <c r="Q72" s="158">
        <f>ROUND(H72*F$79,2)</f>
        <v>83707690.060000002</v>
      </c>
    </row>
    <row r="73" spans="2:17" s="87" customFormat="1" ht="12.75">
      <c r="B73" s="72" t="s">
        <v>178</v>
      </c>
      <c r="C73" s="72"/>
      <c r="D73" s="108"/>
      <c r="E73" s="108"/>
      <c r="F73" s="108"/>
      <c r="G73" s="108"/>
      <c r="H73" s="181">
        <v>17.212955892</v>
      </c>
      <c r="I73" s="108"/>
      <c r="J73" s="108"/>
      <c r="K73" s="108"/>
      <c r="N73" s="189">
        <f>ROUND(H73*D$79,2)</f>
        <v>1247772771.1600001</v>
      </c>
      <c r="P73" s="189">
        <f>N73-Q73</f>
        <v>801181175.01000011</v>
      </c>
      <c r="Q73" s="189">
        <f>ROUND(H73*F$79,2)</f>
        <v>446591596.14999998</v>
      </c>
    </row>
    <row r="74" spans="2:17" ht="21.75" customHeight="1">
      <c r="B74" s="72"/>
      <c r="C74" s="72"/>
      <c r="D74" s="73" t="s">
        <v>175</v>
      </c>
      <c r="E74" s="73"/>
      <c r="F74" s="74" t="s">
        <v>176</v>
      </c>
      <c r="H74" s="73" t="s">
        <v>61</v>
      </c>
      <c r="K74" s="151"/>
      <c r="N74" s="158">
        <f>SUM(N72:N73)</f>
        <v>1481651279.6200001</v>
      </c>
      <c r="O74" s="158"/>
      <c r="P74" s="158">
        <f>SUM(P72:P73)</f>
        <v>951351993.41000009</v>
      </c>
      <c r="Q74" s="158">
        <f>SUM(Q72:Q73)</f>
        <v>530299286.20999998</v>
      </c>
    </row>
    <row r="75" spans="2:8" ht="12.75">
      <c r="B75" s="137" t="s">
        <v>154</v>
      </c>
      <c r="C75" s="75"/>
      <c r="D75" s="152">
        <v>70393637.447999999</v>
      </c>
      <c r="E75" s="138"/>
      <c r="F75" s="152">
        <v>24667665.859999999</v>
      </c>
      <c r="G75" s="139"/>
      <c r="H75" s="140" t="s">
        <v>158</v>
      </c>
    </row>
    <row r="76" spans="2:8" ht="12.75">
      <c r="B76" s="77" t="s">
        <v>155</v>
      </c>
      <c r="C76" s="77"/>
      <c r="D76" s="153">
        <v>73305140.020000011</v>
      </c>
      <c r="E76" s="76"/>
      <c r="F76" s="153">
        <v>26269921.052000001</v>
      </c>
      <c r="H76" s="141" t="s">
        <v>158</v>
      </c>
    </row>
    <row r="77" spans="2:8" ht="12.75">
      <c r="B77" s="77" t="s">
        <v>156</v>
      </c>
      <c r="C77" s="77"/>
      <c r="D77" s="153">
        <v>73822003.983999997</v>
      </c>
      <c r="E77" s="76"/>
      <c r="F77" s="153">
        <v>26160386.920000002</v>
      </c>
      <c r="H77" s="141" t="s">
        <v>158</v>
      </c>
    </row>
    <row r="78" spans="2:8" ht="12.75">
      <c r="B78" s="77" t="s">
        <v>157</v>
      </c>
      <c r="C78" s="77"/>
      <c r="D78" s="153">
        <v>72440519.555999994</v>
      </c>
      <c r="E78" s="78"/>
      <c r="F78" s="153">
        <v>26682364.408</v>
      </c>
      <c r="G78" s="29"/>
      <c r="H78" s="141" t="s">
        <v>158</v>
      </c>
    </row>
    <row r="79" spans="2:8" ht="12.75" customHeight="1" thickBot="1">
      <c r="B79" s="79" t="s">
        <v>62</v>
      </c>
      <c r="C79" s="79"/>
      <c r="D79" s="154">
        <f>ROUND(AVERAGE(D75:D78),3)</f>
        <v>72490325.252000004</v>
      </c>
      <c r="E79" s="80"/>
      <c r="F79" s="154">
        <f>ROUND(AVERAGE(F75:F78),3)</f>
        <v>25945084.559999999</v>
      </c>
      <c r="G79" s="29"/>
      <c r="H79" s="186"/>
    </row>
    <row r="80" ht="6" customHeight="1" thickTop="1"/>
    <row r="81" spans="2:11" s="87" customFormat="1" ht="12.75">
      <c r="B81" s="72"/>
      <c r="C81" s="72"/>
      <c r="D81" s="108"/>
      <c r="E81" s="108"/>
      <c r="F81" s="108"/>
      <c r="G81" s="108"/>
      <c r="H81" s="108"/>
      <c r="I81" s="108"/>
      <c r="J81" s="108"/>
      <c r="K81" s="108"/>
    </row>
    <row r="82" spans="2:11" s="87" customFormat="1" ht="12.75">
      <c r="B82" s="72"/>
      <c r="C82" s="72"/>
      <c r="D82" s="108"/>
      <c r="E82" s="108"/>
      <c r="F82" s="108"/>
      <c r="G82" s="108"/>
      <c r="H82" s="108"/>
      <c r="I82" s="108"/>
      <c r="J82" s="108"/>
      <c r="K82" s="108"/>
    </row>
    <row r="83" spans="2:11" ht="1.5" customHeight="1">
      <c r="B83" s="108"/>
      <c r="C83" s="108"/>
      <c r="D83" s="108"/>
      <c r="E83" s="108"/>
      <c r="F83" s="108"/>
      <c r="G83" s="108"/>
      <c r="H83" s="108"/>
      <c r="I83" s="108"/>
      <c r="J83" s="108"/>
      <c r="K83" s="108"/>
    </row>
    <row r="84" spans="2:11" ht="12.75">
      <c r="B84" s="108"/>
      <c r="C84" s="108"/>
      <c r="D84" s="108"/>
      <c r="E84" s="108"/>
      <c r="F84" s="156"/>
      <c r="G84" s="108"/>
      <c r="H84" s="108"/>
      <c r="I84" s="108"/>
      <c r="J84" s="108"/>
      <c r="K84" s="108"/>
    </row>
    <row r="87" spans="8:8" ht="12.75">
      <c r="H87" s="81"/>
    </row>
  </sheetData>
  <mergeCells count="1">
    <mergeCell ref="B59:F59"/>
  </mergeCells>
  <printOptions horizontalCentered="1"/>
  <pageMargins left="1.5" right="0.5" top="0.5" bottom="0.5" header="0" footer="0"/>
  <pageSetup horizontalDpi="300" verticalDpi="300" orientation="portrait" scale="60" r:id="rId2"/>
  <headerFooter alignWithMargins="0">
    <oddHeader>&amp;R&amp;"Arial,Bold"WP/IV-J-7
Page 1 of 2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Lag</vt:lpstr>
      <vt:lpstr>Wholesale_NTS_RO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