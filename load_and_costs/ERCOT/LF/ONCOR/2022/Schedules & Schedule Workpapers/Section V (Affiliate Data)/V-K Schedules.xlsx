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bin" ContentType="application/vnd.openxmlformats-officedocument.spreadsheetml.printerSettings"/>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N:\2022 Rate Case\Section V (Affiliate Data)\"/>
    </mc:Choice>
  </mc:AlternateContent>
  <bookViews>
    <workbookView xWindow="240" yWindow="195" windowWidth="18960" windowHeight="7035" tabRatio="810" activeTab="0"/>
  </bookViews>
  <sheets>
    <sheet name="V-K-1" sheetId="2" r:id="rId2"/>
    <sheet name="V-K-2" sheetId="3" r:id="rId3"/>
    <sheet name="V-K-3" sheetId="16" r:id="rId4"/>
    <sheet name="V-K-4" sheetId="4" r:id="rId5"/>
    <sheet name="V-K-5" sheetId="5" r:id="rId6"/>
    <sheet name="V-K-6" sheetId="6" r:id="rId7"/>
    <sheet name="V-K-7" sheetId="13" r:id="rId8"/>
    <sheet name="V-K-8" sheetId="7" r:id="rId9"/>
    <sheet name="V-K-8.1" sheetId="8" r:id="rId10"/>
    <sheet name="V-K-9" sheetId="14" r:id="rId11"/>
    <sheet name="V-K-10" sheetId="15" r:id="rId12"/>
    <sheet name="V-K-11" sheetId="9" r:id="rId13"/>
    <sheet name="V-K-12" sheetId="10" r:id="rId14"/>
    <sheet name="V-K-13" sheetId="11" r:id="rId15"/>
    <sheet name="V-K-14" sheetId="12" r:id="rId16"/>
  </sheets>
  <definedNames>
    <definedName name="_xlnm.Print_Area" localSheetId="0">'V-K-1'!$A$1:$F$34</definedName>
    <definedName name="_xlnm.Print_Area" localSheetId="10">'V-K-10'!$A$1:$E$18</definedName>
    <definedName name="_xlnm.Print_Area" localSheetId="11">'V-K-11'!$A$1:$D$19</definedName>
    <definedName name="_xlnm.Print_Area" localSheetId="12">'V-K-12'!$A$1:$G$33</definedName>
    <definedName name="_xlnm.Print_Area" localSheetId="13">'V-K-13'!$A$1:$D$17</definedName>
    <definedName name="_xlnm.Print_Area" localSheetId="14">'V-K-14'!$A$1:$F$20</definedName>
    <definedName name="_xlnm.Print_Area" localSheetId="1">'V-K-2'!$A$1:$I$37</definedName>
    <definedName name="_xlnm.Print_Area" localSheetId="2">'V-K-3'!$A$1:$E$18</definedName>
    <definedName name="_xlnm.Print_Area" localSheetId="3">'V-K-4'!$A$1:$C$21</definedName>
    <definedName name="_xlnm.Print_Area" localSheetId="4">'V-K-5'!$A$1:$E$18</definedName>
    <definedName name="_xlnm.Print_Area" localSheetId="5">'V-K-6'!$A$1:$D$31</definedName>
    <definedName name="_xlnm.Print_Area" localSheetId="6">'V-K-7'!$A$1:$E$18</definedName>
    <definedName name="_xlnm.Print_Area" localSheetId="7">'V-K-8'!$A$1:$G$46</definedName>
    <definedName name="_xlnm.Print_Area" localSheetId="8">'V-K-8.1'!$A$1:$E$20</definedName>
    <definedName name="_xlnm.Print_Area" localSheetId="9">'V-K-9'!$A$1:$E$18</definedName>
    <definedName name="_xlnm.Print_Titles" localSheetId="0">'V-K-1'!$2:$9</definedName>
    <definedName name="_xlnm.Print_Titles" localSheetId="10">'V-K-10'!$2:$6</definedName>
    <definedName name="_xlnm.Print_Titles" localSheetId="11">'V-K-11'!$2:$9</definedName>
    <definedName name="_xlnm.Print_Titles" localSheetId="12">'V-K-12'!$2:$10</definedName>
    <definedName name="_xlnm.Print_Titles" localSheetId="13">'V-K-13'!$2:$6</definedName>
    <definedName name="_xlnm.Print_Titles" localSheetId="14">'V-K-14'!$2:$6</definedName>
    <definedName name="_xlnm.Print_Titles" localSheetId="1">'V-K-2'!$2:$9</definedName>
    <definedName name="_xlnm.Print_Titles" localSheetId="2">'V-K-3'!$2:$6</definedName>
    <definedName name="_xlnm.Print_Titles" localSheetId="3">'V-K-4'!$2:$7</definedName>
    <definedName name="_xlnm.Print_Titles" localSheetId="4">'V-K-5'!$2:$6</definedName>
    <definedName name="_xlnm.Print_Titles" localSheetId="5">'V-K-6'!$2:$9</definedName>
    <definedName name="_xlnm.Print_Titles" localSheetId="6">'V-K-7'!$2:$6</definedName>
    <definedName name="_xlnm.Print_Titles" localSheetId="7">'V-K-8'!$2:$9</definedName>
    <definedName name="_xlnm.Print_Titles" localSheetId="8">'V-K-8.1'!$2:$9</definedName>
    <definedName name="_xlnm.Print_Titles" localSheetId="9">'V-K-9'!$2:$6</definedName>
  </definedNames>
  <calcPr calcId="152511"/>
</workbook>
</file>

<file path=xl/calcChain.xml><?xml version="1.0" encoding="utf-8"?>
<calcChain xmlns="http://schemas.openxmlformats.org/spreadsheetml/2006/main">
  <c r="F34" i="2" l="1"/>
</calcChain>
</file>

<file path=xl/sharedStrings.xml><?xml version="1.0" encoding="utf-8"?>
<sst xmlns="http://schemas.openxmlformats.org/spreadsheetml/2006/main" count="489" uniqueCount="245">
  <si>
    <t>FERC</t>
  </si>
  <si>
    <t>FERC Account</t>
  </si>
  <si>
    <t>Line No.</t>
  </si>
  <si>
    <t>Class of Items</t>
  </si>
  <si>
    <t>Account</t>
  </si>
  <si>
    <t>Description</t>
  </si>
  <si>
    <t>Total</t>
  </si>
  <si>
    <t>(a)</t>
  </si>
  <si>
    <t>(c)</t>
  </si>
  <si>
    <t>(d)</t>
  </si>
  <si>
    <t>(e)</t>
  </si>
  <si>
    <t>ONCOR ELECTRIC DELIVERY COMPANY LLC</t>
  </si>
  <si>
    <t>Total Affiliate Expenses</t>
  </si>
  <si>
    <t>Outside Services Employed</t>
  </si>
  <si>
    <t>V-K-1 AFFILIATE EXPENSES BY FERC ACCOUNT</t>
  </si>
  <si>
    <t>SPONSORS: M. G. GRABLE &amp; W. A. LEDBETTER</t>
  </si>
  <si>
    <t xml:space="preserve">  Total Veritas Technologies LLC</t>
  </si>
  <si>
    <t>Construction Work in Progress</t>
  </si>
  <si>
    <t>Trans Exp - Electricity by Others</t>
  </si>
  <si>
    <t>Reg Asset - WDSS</t>
  </si>
  <si>
    <t xml:space="preserve">  Total Sempra Energy</t>
  </si>
  <si>
    <t>Sub-Class</t>
  </si>
  <si>
    <t>(b)</t>
  </si>
  <si>
    <t>Annual Tax Return Review</t>
  </si>
  <si>
    <t>Annual Corptax Access</t>
  </si>
  <si>
    <t>Consulting-Uncertain tax positions</t>
  </si>
  <si>
    <t xml:space="preserve">  Total Oncor Cares Foundation</t>
  </si>
  <si>
    <t>Misc. General Expense</t>
  </si>
  <si>
    <t>Ultimate Kronos Group Inc</t>
  </si>
  <si>
    <t xml:space="preserve">  Total Ultimate Kronos Group Inc</t>
  </si>
  <si>
    <t>Veritas Technologies LLC</t>
  </si>
  <si>
    <t>Sharyland NTS</t>
  </si>
  <si>
    <t>NTU NTS</t>
  </si>
  <si>
    <t>NTU WDSS</t>
  </si>
  <si>
    <t>TAX SERVICES</t>
  </si>
  <si>
    <t>SOFTWARE &amp; DATA SUPPORT</t>
  </si>
  <si>
    <t>TARIFFED SERVICES</t>
  </si>
  <si>
    <t>CONTRIBUTIONS</t>
  </si>
  <si>
    <t>Oncor Cares Foundation</t>
  </si>
  <si>
    <t>V-K-2 ADJUSTED AFFILIATE EXPENSES BY FERC ACCOUNT</t>
  </si>
  <si>
    <t>Pro-forma</t>
  </si>
  <si>
    <t>Adjusted</t>
  </si>
  <si>
    <t>Adjustments</t>
  </si>
  <si>
    <t>Historic Year</t>
  </si>
  <si>
    <t>(f)</t>
  </si>
  <si>
    <t>(g)</t>
  </si>
  <si>
    <t>(1)</t>
  </si>
  <si>
    <t xml:space="preserve">   Total Oncor Cares Foundation</t>
  </si>
  <si>
    <t>V-K-4 DESCRIPTION OF SERVICES</t>
  </si>
  <si>
    <t>SPONSOR: M. G. GRABLE</t>
  </si>
  <si>
    <t>Affiliate</t>
  </si>
  <si>
    <t>Description of Services</t>
  </si>
  <si>
    <t xml:space="preserve">    TAX SERVICES</t>
  </si>
  <si>
    <t>Sempra Energy</t>
  </si>
  <si>
    <t>Tax Services - Consulting-Uncertain Tax Positions</t>
  </si>
  <si>
    <t>Sempra provides assistance to Oncor with its quarterly updates on uncertain tax positions based on Accounting Standards Codification (ASC) 740, "Income Taxes" for calendar quarters ending each March 31, June 30, September 30, and December 31.</t>
  </si>
  <si>
    <t>Tax Services - Annual Tax Return Review</t>
  </si>
  <si>
    <t>Services include review of the annual Federal Tax Returns of Oncor and all affiliates within the Oncor ring fence.</t>
  </si>
  <si>
    <t>Tax Services - Annual CorpTax Access</t>
  </si>
  <si>
    <t>Provision of Sempra's license and access to CorpTax software for Oncor's use in preparing, printing, and data storage for the annual Federal Income Tax Returns.</t>
  </si>
  <si>
    <t xml:space="preserve">    SOFTWARE &amp; DATA SUPPORT</t>
  </si>
  <si>
    <t>Software and Data Support</t>
  </si>
  <si>
    <t>Services include enterprise data protection, data storage, data back-up, and disaster recovery.</t>
  </si>
  <si>
    <t xml:space="preserve">    TARIFFED SERVICES</t>
  </si>
  <si>
    <t>Sharyland Utilities</t>
  </si>
  <si>
    <t>Tariffed Services - Network Transmission Service (NTS)</t>
  </si>
  <si>
    <t>Services include tariffed network transmission service rated at 60 kV and above.</t>
  </si>
  <si>
    <t>Tariffed Services - Wholesale Distribution Substation Service (WDSS)</t>
  </si>
  <si>
    <t>All transformation service supplied in connection with the delivery of electric power and energy to a Point of Interconnection, measured through one meter provided through tariffed wholesale distribution substation service.</t>
  </si>
  <si>
    <t xml:space="preserve">    CONTRIBUTIONS</t>
  </si>
  <si>
    <t>Contributions</t>
  </si>
  <si>
    <t>Oncor Cares Foundation was formed to make grants for charitable purposes and to direct resources in furtherance of such purposes.</t>
  </si>
  <si>
    <t>V-K-5 CAPITAL PROJECTS</t>
  </si>
  <si>
    <t>Closed to</t>
  </si>
  <si>
    <t>Project ID</t>
  </si>
  <si>
    <t>Project Description</t>
  </si>
  <si>
    <t>Capitalized</t>
  </si>
  <si>
    <t>Plant-in-Service</t>
  </si>
  <si>
    <t>NOTE:</t>
  </si>
  <si>
    <t>V-K-6 ADJUSTMENTS TO TEST YEAR EXPENSES</t>
  </si>
  <si>
    <t>Purpose</t>
  </si>
  <si>
    <t>Adjustment</t>
  </si>
  <si>
    <t>Software maintenance annual increase</t>
  </si>
  <si>
    <t xml:space="preserve">Add of annual software maintenance price increase </t>
  </si>
  <si>
    <t>V-K-8 SERVICES PROVIDED TO AFFILIATES</t>
  </si>
  <si>
    <t>Affiliate Company</t>
  </si>
  <si>
    <t>Amount</t>
  </si>
  <si>
    <t>FERC Account Description</t>
  </si>
  <si>
    <t>Receiving Service</t>
  </si>
  <si>
    <t>Description of Service</t>
  </si>
  <si>
    <t>Per Book</t>
  </si>
  <si>
    <t>Operations and Metering Services</t>
  </si>
  <si>
    <t>Other Revenue-Other</t>
  </si>
  <si>
    <t>Operations services (monitoring, controlling, etc.)</t>
  </si>
  <si>
    <t>Rent-Elect Prop-Other</t>
  </si>
  <si>
    <t>Total Cost of Ownership (TCO)</t>
  </si>
  <si>
    <t>Transmission System Operation, Maintenance and Metering Support and O &amp; M Services</t>
  </si>
  <si>
    <t>Interest on Debt</t>
  </si>
  <si>
    <t>Interest Inc-Assoc Cos</t>
  </si>
  <si>
    <t>Interest on long-term note payable</t>
  </si>
  <si>
    <t>Capital Projects</t>
  </si>
  <si>
    <t>1010###</t>
  </si>
  <si>
    <t>Plant in Service (Various)</t>
  </si>
  <si>
    <t>To, From &amp; Over (TFO)</t>
  </si>
  <si>
    <t>Sempra Gas &amp; Power Mktg</t>
  </si>
  <si>
    <t>Transmission Service</t>
  </si>
  <si>
    <t xml:space="preserve">Export svcs billed under the NTU Tariff for Trans Svc </t>
  </si>
  <si>
    <t>Total Sempra Gas &amp; Power Marketing</t>
  </si>
  <si>
    <t>TOTAL AFFILIATE COSTS BILLED</t>
  </si>
  <si>
    <t xml:space="preserve">Closed to </t>
  </si>
  <si>
    <t>Driver 138 - 25 kV</t>
  </si>
  <si>
    <t>V-K-11 DESCRIPTION OF AFFILIATE BILLING METHODS</t>
  </si>
  <si>
    <t>Billing Metric</t>
  </si>
  <si>
    <t>Update</t>
  </si>
  <si>
    <t>Billing Methodology</t>
  </si>
  <si>
    <t>Frequency</t>
  </si>
  <si>
    <t>Update Frequency</t>
  </si>
  <si>
    <t>Tax Services - Consulting-Uncertain Tax Positions - Sempra</t>
  </si>
  <si>
    <t>Annually</t>
  </si>
  <si>
    <t>Tax Services - Annual Tax Return Review - Sempra</t>
  </si>
  <si>
    <t>Tax Services - Annual CorpTax   Access - Sempra</t>
  </si>
  <si>
    <t>Human Resources Software Support - Ultimate Kronos Group Inc.</t>
  </si>
  <si>
    <t xml:space="preserve">Direct billing based on costs and fees contained in the negotiated contract and additional Statements of Work. </t>
  </si>
  <si>
    <t>Data Storage and Back-up - Veritas Technologies LLC</t>
  </si>
  <si>
    <t xml:space="preserve">Direct billing based on costs and fees contained in the negotiated contract, contract addenda, and additional Statements of Work. </t>
  </si>
  <si>
    <t>Semi-annually</t>
  </si>
  <si>
    <t>Base Rate Case</t>
  </si>
  <si>
    <t>Oncor's Senior Leadership Team determines the level of contributions to be made to the Foundation for charitable purposes. The amounts contributed are discretionary and, therefore, independent of any other party making contributions to the Foundation.</t>
  </si>
  <si>
    <t>V-K-12 AMOUNTS BILLED TO EACH AFFILIATE</t>
  </si>
  <si>
    <t>Oncor</t>
  </si>
  <si>
    <t>Transmission/</t>
  </si>
  <si>
    <t>Distribution</t>
  </si>
  <si>
    <t>Transmission</t>
  </si>
  <si>
    <t>(ESD)</t>
  </si>
  <si>
    <t>(TRN)</t>
  </si>
  <si>
    <t>(TRNDS)</t>
  </si>
  <si>
    <t>Consulting - Uncertain Tax Position</t>
  </si>
  <si>
    <t>Corptax Access</t>
  </si>
  <si>
    <t xml:space="preserve">    Total Tax Services</t>
  </si>
  <si>
    <t>Ultimate Kronos Group</t>
  </si>
  <si>
    <t xml:space="preserve">    Total Ultimate Software Group Inc</t>
  </si>
  <si>
    <t xml:space="preserve">    Total Veritas Technologies LLC</t>
  </si>
  <si>
    <t>Sempra</t>
  </si>
  <si>
    <t xml:space="preserve">    Total Oncor Cares Foundation</t>
  </si>
  <si>
    <t>V-K-13 AFFILIATE PROJECT CODES CREATED/CLOSED</t>
  </si>
  <si>
    <t>Created/</t>
  </si>
  <si>
    <t>Project Title</t>
  </si>
  <si>
    <t>Closed</t>
  </si>
  <si>
    <t>Date</t>
  </si>
  <si>
    <t>Used For</t>
  </si>
  <si>
    <t>Created</t>
  </si>
  <si>
    <t>Tariffed Services</t>
  </si>
  <si>
    <t>Oncor NTU</t>
  </si>
  <si>
    <t>V-K-14 AFFILIATE PAYROLL</t>
  </si>
  <si>
    <t>Class of</t>
  </si>
  <si>
    <t>Items</t>
  </si>
  <si>
    <t>Tax Services</t>
  </si>
  <si>
    <t>Administrative &amp; Gen Salaries</t>
  </si>
  <si>
    <t>Total Affiliate Payroll Expenses</t>
  </si>
  <si>
    <t>Note: Software &amp; Data Support and Tariffed Services are billed to  Oncor in compliance with arm’s-length negotiated contracts or Commission approved tariffs, respectively.  The amounts billed to Oncor through these contracts and tariffs are based on a compilation of all expenses required to provide these services.  The individual component costs for these services, including payroll, are not separately identifiable to Oncor.  There are no payroll costs in those amounts contributed to Oncor Cares Foundation.</t>
  </si>
  <si>
    <t>See Word File</t>
  </si>
  <si>
    <t>V-K-7 STATUTORY REQUIREMENTS</t>
  </si>
  <si>
    <t>V-K-9  ALLOCATION OF AFFILIATE COSTS</t>
  </si>
  <si>
    <t>V-K-10  CONTROLS</t>
  </si>
  <si>
    <t>V-K-3 ORGANIZATION CHART</t>
  </si>
  <si>
    <t>See PDF</t>
  </si>
  <si>
    <t>2022 RATE CASE</t>
  </si>
  <si>
    <t>FOR THE TEST YEAR ENDING DECEMBER 31, 2021</t>
  </si>
  <si>
    <t>Credit for over-accrual in 2021</t>
  </si>
  <si>
    <t>Convert overhead poles to underground</t>
  </si>
  <si>
    <t>Miscellaneous Services</t>
  </si>
  <si>
    <t>Capital Work in Process</t>
  </si>
  <si>
    <t>Gross Receipts - CIAC</t>
  </si>
  <si>
    <t>OPT44827</t>
  </si>
  <si>
    <t>OPT45599</t>
  </si>
  <si>
    <t>OPT45619</t>
  </si>
  <si>
    <t>Bulldog - Coyote 138 kV</t>
  </si>
  <si>
    <t>OPT46104</t>
  </si>
  <si>
    <t>OPT46121</t>
  </si>
  <si>
    <t>Salt Mine 138 - 25 kV</t>
  </si>
  <si>
    <t>OPT45710</t>
  </si>
  <si>
    <t>OPT43682</t>
  </si>
  <si>
    <t>OPT46376</t>
  </si>
  <si>
    <t>Ringo 138 - 25 kV</t>
  </si>
  <si>
    <t>OPT46630</t>
  </si>
  <si>
    <t>Alibates Station Replacement</t>
  </si>
  <si>
    <t>Vealmoore Switch</t>
  </si>
  <si>
    <t>Windmill Station</t>
  </si>
  <si>
    <t>Office Supplies and Expenses</t>
  </si>
  <si>
    <t>IGCS2100</t>
  </si>
  <si>
    <t>Remove 2022 expenses paid in 2021</t>
  </si>
  <si>
    <t>Remove Jan-Feb 2022 services paid in 2021</t>
  </si>
  <si>
    <t>TOTAL</t>
  </si>
  <si>
    <t>DC Tie operations</t>
  </si>
  <si>
    <t>ERCOT-Polled Settlement (EPS) metering services</t>
  </si>
  <si>
    <t>Wholesale metering service</t>
  </si>
  <si>
    <t>Corporate Support Service loading rate</t>
  </si>
  <si>
    <t>Carrying costs</t>
  </si>
  <si>
    <t>Gross Margin Tax</t>
  </si>
  <si>
    <t>Sales tax</t>
  </si>
  <si>
    <t>Rent-Elec Prop-Other</t>
  </si>
  <si>
    <t>Other Deferred Credit</t>
  </si>
  <si>
    <t>State-Other-Accrual</t>
  </si>
  <si>
    <t>Direct-billed O&amp;M svcs (veg. mgmt., circuit maint. etc.)</t>
  </si>
  <si>
    <t>February 2022</t>
  </si>
  <si>
    <t>Services include ongoing payroll administration and other human resource services by Ultimate. The Ultimate system (Ultipro) includes full responsibility and accountability for payroll-related tax calculations, payment and filing, all wage garnishment disbursement services, and all benefit calculations and payments.</t>
  </si>
  <si>
    <t>Except for the portion of the TMS replacement performed by Veritas Technologies LLC, Oncor Electric Delivery Company LLC's (Oncor) affiliates did not perform any specific capital projects on behalf of Oncor during the test year ended December 31, 2021. Schedules V-K-1 and V-K-2 of this rate filing package provide all charges, by FERC account, from affiliates to Oncor.</t>
  </si>
  <si>
    <t>Whls trans svc provided under the TFO Tariff</t>
  </si>
  <si>
    <t xml:space="preserve">  Total Sharyland Utilities, L.L.C.</t>
  </si>
  <si>
    <t xml:space="preserve">  Total Oncor Electric Delivery Co. NTU LLC</t>
  </si>
  <si>
    <t>Oncor NTU NTS</t>
  </si>
  <si>
    <t>Oncor NTU WDSS</t>
  </si>
  <si>
    <t>Sharyland Utilities, L.L.C.</t>
  </si>
  <si>
    <t>Oncor Electric Delivery Co. NTU LLC</t>
  </si>
  <si>
    <t>Total Oncor NTU</t>
  </si>
  <si>
    <t>Total Sharyland Utilities</t>
  </si>
  <si>
    <t>NTS Tariff - Sharyland Utilities</t>
  </si>
  <si>
    <t>NTS Tariff - Oncor NTU</t>
  </si>
  <si>
    <t>WDSS Tariff - Oncor NTU</t>
  </si>
  <si>
    <t>Monthly charges are based on an access charge multiplied by the customer's preceding calendar year average 4CP load. The access charge is, as approved, in the most recent revision of the Wholesale Transmission Service Tariff for Sharyland Utilities.</t>
  </si>
  <si>
    <t>Monthly charges are based on an access charge multiplied by the customer's preceding calendar year average 4CP load. The access charge is, as approved, in the most recent revision of the Wholesale Transmission Service Tariff for Oncor NTU.</t>
  </si>
  <si>
    <t>The monthly bill for WDSS is the sum of the Transmission Service Customer Charge, Metering Charge, Demand Charge, and any applicable riders - all rates set in Oncor NTU's Wholesale Transmission Service Tariff. The billing kW used for determining the Demand Charge for a month is Oncor's highest measured 15-minute kW recorded at the Point of Interconnection in the 12-month period ended with the current month.</t>
  </si>
  <si>
    <t xml:space="preserve">    Total Sharyland Utilities, L.L.C.</t>
  </si>
  <si>
    <t xml:space="preserve">    Total Oncor NTU LLC</t>
  </si>
  <si>
    <t>Tariff rate change and 4CP load change</t>
  </si>
  <si>
    <t>Tariff rate change and four coincident peak</t>
  </si>
  <si>
    <t>Note:</t>
  </si>
  <si>
    <r>
      <rPr>
        <vertAlign val="superscript"/>
        <sz val="11"/>
        <color theme="1"/>
        <rFont val="Arial"/>
        <family val="2"/>
      </rPr>
      <t>(1)</t>
    </r>
    <r>
      <rPr>
        <sz val="11"/>
        <color theme="1"/>
        <rFont val="Arial"/>
        <family val="2"/>
      </rPr>
      <t xml:space="preserve"> A Known and Measurable adjustment correcting a booking error in 2021 was made and is incorporated in Schedule II-E-5.</t>
    </r>
  </si>
  <si>
    <t>("4CP") load change</t>
  </si>
  <si>
    <t>YES! Communities LLC</t>
  </si>
  <si>
    <t>Total YES! Communities LLC</t>
  </si>
  <si>
    <t>Capital projects (see Oncor RFP Schedule V-K-8.1)</t>
  </si>
  <si>
    <t>V-K-8.1 ONCOR NTU CAPITAL PROJECTS</t>
  </si>
  <si>
    <t>Misc. General Exp. (contribution)</t>
  </si>
  <si>
    <t>Tariff rate change</t>
  </si>
  <si>
    <t>Assignment of costs based on the number of entities, users, and archival services specific to Oncor. This methodology is a reasonable approach for assigning costs to Oncor.</t>
  </si>
  <si>
    <t>Assignment of costs based on an evaluation of the time and effort spent by Sempra Tax personnel on behalf of Oncor. Time and effort spent is a reasonable approach for assigning costs to Oncor.</t>
  </si>
  <si>
    <t xml:space="preserve">Restate 2021 with full year impact of NTS tariff rate  </t>
  </si>
  <si>
    <t xml:space="preserve">change and 4CP load change </t>
  </si>
  <si>
    <t xml:space="preserve">Restate 2021 with full year impact of WDSS tariff rate </t>
  </si>
  <si>
    <t>change</t>
  </si>
  <si>
    <t>TMS Replacement - Phase II (Veritas)</t>
  </si>
  <si>
    <t>services</t>
  </si>
  <si>
    <t xml:space="preserve">Eliminate the impact of the 2021 over-accrual for tax </t>
  </si>
  <si>
    <r>
      <rPr>
        <vertAlign val="superscript"/>
        <sz val="10"/>
        <color theme="1"/>
        <rFont val="Arial"/>
        <family val="2"/>
      </rPr>
      <t>(1)</t>
    </r>
    <r>
      <rPr>
        <sz val="12"/>
        <color theme="1"/>
        <rFont val="Arial"/>
        <family val="2"/>
      </rPr>
      <t xml:space="preserve"> </t>
    </r>
    <r>
      <rPr>
        <sz val="10"/>
        <color theme="1"/>
        <rFont val="Arial"/>
        <family val="2"/>
      </rPr>
      <t>Wholesale Distribution Substation Service (WDSS) charges from Oncor NTU were recorded as a Regulatory Asset (FERC account 1824300); pending approval in this case, WDSS provided by Oncor NTU to Oncor will be reflected in Oncor's base rates and will be expensed in FERC account 5880000.</t>
    </r>
  </si>
</sst>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4" formatCode="_(&quot;$&quot;* #,##0.00_);_(&quot;$&quot;* \(#,##0.00\);_(&quot;$&quot;* &quot;-&quot;??_);_(@_)"/>
    <numFmt numFmtId="43" formatCode="_(* #,##0.00_);_(* \(#,##0.00\);_(* &quot;-&quot;??_);_(@_)"/>
    <numFmt numFmtId="164" formatCode="_(* #,##0_);_(* \(#,##0\);_(* &quot;-&quot;??_);_(@_)"/>
    <numFmt numFmtId="165" formatCode="_(&quot;$&quot;* #,##0_);_(&quot;$&quot;* \(#,##0\);_(&quot;$&quot;* &quot;-&quot;??_);_(@_)"/>
  </numFmts>
  <fonts count="13">
    <font>
      <sz val="11"/>
      <color theme="1"/>
      <name val="Calibri"/>
      <family val="2"/>
      <scheme val="minor"/>
    </font>
    <font>
      <sz val="10"/>
      <color theme="1"/>
      <name val="Arial"/>
      <family val="2"/>
    </font>
    <font>
      <b/>
      <sz val="11"/>
      <name val="Arial"/>
      <family val="2"/>
    </font>
    <font>
      <b/>
      <sz val="12"/>
      <name val="Arial"/>
      <family val="2"/>
    </font>
    <font>
      <sz val="11"/>
      <color theme="1"/>
      <name val="Arial"/>
      <family val="2"/>
    </font>
    <font>
      <b/>
      <sz val="11"/>
      <color theme="1"/>
      <name val="Arial"/>
      <family val="2"/>
    </font>
    <font>
      <sz val="12"/>
      <color theme="1"/>
      <name val="Arial"/>
      <family val="2"/>
    </font>
    <font>
      <vertAlign val="superscript"/>
      <sz val="9"/>
      <color theme="1"/>
      <name val="Arial"/>
      <family val="2"/>
    </font>
    <font>
      <vertAlign val="superscript"/>
      <sz val="10"/>
      <color theme="1"/>
      <name val="Arial"/>
      <family val="2"/>
    </font>
    <font>
      <b/>
      <sz val="12"/>
      <color theme="1"/>
      <name val="Arial"/>
      <family val="2"/>
    </font>
    <font>
      <b/>
      <u val="single"/>
      <sz val="11"/>
      <color theme="1"/>
      <name val="Arial"/>
      <family val="2"/>
    </font>
    <font>
      <b/>
      <i/>
      <sz val="11"/>
      <color theme="1"/>
      <name val="Arial"/>
      <family val="2"/>
    </font>
    <font>
      <vertAlign val="superscript"/>
      <sz val="11"/>
      <color theme="1"/>
      <name val="Arial"/>
      <family val="2"/>
    </font>
  </fonts>
  <fills count="2">
    <fill>
      <patternFill patternType="none"/>
    </fill>
    <fill>
      <patternFill patternType="gray125"/>
    </fill>
  </fills>
  <borders count="11">
    <border>
      <left/>
      <right/>
      <top/>
      <bottom/>
      <diagonal/>
    </border>
    <border>
      <left style="thin">
        <color auto="1"/>
      </left>
      <right style="thin">
        <color auto="1"/>
      </right>
      <top style="thin">
        <color auto="1"/>
      </top>
      <bottom style="thin">
        <color auto="1"/>
      </bottom>
    </border>
    <border>
      <left/>
      <right/>
      <top/>
      <bottom style="thin">
        <color auto="1"/>
      </bottom>
    </border>
    <border>
      <left/>
      <right/>
      <top style="thin">
        <color auto="1"/>
      </top>
      <bottom style="thin">
        <color auto="1"/>
      </bottom>
    </border>
    <border>
      <left/>
      <right/>
      <top style="thin">
        <color auto="1"/>
      </top>
      <bottom/>
    </border>
    <border>
      <left style="thin">
        <color auto="1"/>
      </left>
      <right style="thin">
        <color auto="1"/>
      </right>
      <top style="thin">
        <color auto="1"/>
      </top>
      <bottom/>
    </border>
    <border>
      <left style="thin">
        <color auto="1"/>
      </left>
      <right style="thin">
        <color auto="1"/>
      </right>
      <top/>
      <bottom/>
    </border>
    <border>
      <left style="thin">
        <color auto="1"/>
      </left>
      <right style="thin">
        <color auto="1"/>
      </right>
      <top/>
      <bottom style="thin">
        <color auto="1"/>
      </bottom>
    </border>
    <border>
      <left/>
      <right/>
      <top style="thin">
        <color auto="1"/>
      </top>
      <bottom style="double">
        <color auto="1"/>
      </bottom>
    </border>
    <border>
      <left/>
      <right/>
      <top/>
      <bottom style="double">
        <color auto="1"/>
      </bottom>
    </border>
    <border>
      <left style="thin">
        <color auto="1"/>
      </left>
      <right/>
      <top style="thin">
        <color auto="1"/>
      </top>
      <bottom style="thin">
        <color auto="1"/>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0" fillId="0" borderId="0" applyFont="0" applyFill="0" applyBorder="0" applyAlignment="0" applyProtection="0"/>
    <xf numFmtId="42" fontId="1" fillId="0" borderId="0" applyFont="0" applyFill="0" applyBorder="0" applyAlignment="0" applyProtection="0"/>
    <xf numFmtId="43" fontId="0" fillId="0" borderId="0" applyFont="0" applyFill="0" applyBorder="0" applyAlignment="0" applyProtection="0"/>
    <xf numFmtId="41" fontId="1" fillId="0" borderId="0" applyFont="0" applyFill="0" applyBorder="0" applyAlignment="0" applyProtection="0"/>
  </cellStyleXfs>
  <cellXfs count="152">
    <xf numFmtId="0" fontId="0" fillId="0" borderId="0" xfId="0"/>
    <xf numFmtId="0" fontId="4" fillId="0" borderId="0" xfId="0" applyFont="1"/>
    <xf numFmtId="0" fontId="4" fillId="0" borderId="0" xfId="0" applyFont="1" applyAlignment="1">
      <alignment horizontal="center"/>
    </xf>
    <xf numFmtId="164" fontId="4" fillId="0" borderId="0" xfId="0" applyNumberFormat="1" applyFont="1"/>
    <xf numFmtId="0" fontId="4" fillId="0" borderId="1" xfId="0" applyFont="1" applyBorder="1" applyAlignment="1">
      <alignment horizontal="center"/>
    </xf>
    <xf numFmtId="0" fontId="4" fillId="0" borderId="1" xfId="0" applyFont="1" applyBorder="1"/>
    <xf numFmtId="164" fontId="4" fillId="0" borderId="1" xfId="0" applyNumberFormat="1" applyFont="1" applyBorder="1"/>
    <xf numFmtId="164" fontId="5" fillId="0" borderId="1" xfId="0" applyNumberFormat="1" applyFont="1" applyBorder="1"/>
    <xf numFmtId="0" fontId="5" fillId="0" borderId="1" xfId="0" applyFont="1" applyFill="1" applyBorder="1"/>
    <xf numFmtId="164" fontId="5" fillId="0" borderId="1" xfId="0" applyNumberFormat="1" applyFont="1" applyFill="1" applyBorder="1"/>
    <xf numFmtId="0" fontId="4" fillId="0" borderId="1" xfId="0" applyFont="1" applyFill="1" applyBorder="1" applyAlignment="1">
      <alignment horizontal="center"/>
    </xf>
    <xf numFmtId="0" fontId="4" fillId="0" borderId="1" xfId="0" applyFont="1" applyFill="1" applyBorder="1"/>
    <xf numFmtId="164" fontId="4" fillId="0" borderId="1" xfId="0" applyNumberFormat="1" applyFont="1" applyFill="1" applyBorder="1"/>
    <xf numFmtId="164" fontId="4" fillId="0" borderId="1" xfId="18" applyNumberFormat="1" applyFont="1" applyBorder="1"/>
    <xf numFmtId="49" fontId="4" fillId="0" borderId="0" xfId="0" applyNumberFormat="1" applyFont="1"/>
    <xf numFmtId="164" fontId="5" fillId="0" borderId="1" xfId="18" applyNumberFormat="1" applyFont="1" applyBorder="1"/>
    <xf numFmtId="43" fontId="4" fillId="0" borderId="0" xfId="18" applyFont="1"/>
    <xf numFmtId="0" fontId="5" fillId="0" borderId="0" xfId="0" applyFont="1" applyAlignment="1">
      <alignment horizontal="center"/>
    </xf>
    <xf numFmtId="0" fontId="2" fillId="0" borderId="2" xfId="0" applyFont="1" applyBorder="1" applyAlignment="1">
      <alignment horizontal="center"/>
    </xf>
    <xf numFmtId="164" fontId="2" fillId="0" borderId="2" xfId="0" applyNumberFormat="1" applyFont="1" applyBorder="1" applyAlignment="1">
      <alignment horizontal="center"/>
    </xf>
    <xf numFmtId="0" fontId="2" fillId="0" borderId="3" xfId="0" applyFont="1" applyBorder="1" applyAlignment="1" quotePrefix="1">
      <alignment horizontal="center"/>
    </xf>
    <xf numFmtId="164" fontId="2" fillId="0" borderId="3" xfId="0" applyNumberFormat="1" applyFont="1" applyBorder="1" applyAlignment="1" quotePrefix="1">
      <alignment horizontal="center"/>
    </xf>
    <xf numFmtId="0" fontId="6" fillId="0" borderId="0" xfId="0" applyFont="1"/>
    <xf numFmtId="0" fontId="6" fillId="0" borderId="0" xfId="0" applyFont="1" applyAlignment="1">
      <alignment horizontal="center"/>
    </xf>
    <xf numFmtId="43" fontId="6" fillId="0" borderId="0" xfId="18" applyFont="1"/>
    <xf numFmtId="0" fontId="4" fillId="0" borderId="1" xfId="0" applyFont="1" applyBorder="1" applyAlignment="1">
      <alignment horizontal="left"/>
    </xf>
    <xf numFmtId="0" fontId="5" fillId="0" borderId="1" xfId="0" applyFont="1" applyFill="1" applyBorder="1" applyAlignment="1">
      <alignment horizontal="left"/>
    </xf>
    <xf numFmtId="0" fontId="4" fillId="0" borderId="1" xfId="0" applyFont="1" applyFill="1" applyBorder="1" applyAlignment="1">
      <alignment horizontal="left"/>
    </xf>
    <xf numFmtId="0" fontId="5" fillId="0" borderId="1" xfId="0" applyFont="1" applyBorder="1" applyAlignment="1">
      <alignment horizontal="left"/>
    </xf>
    <xf numFmtId="0" fontId="4" fillId="0" borderId="4" xfId="0" applyFont="1" applyBorder="1" applyAlignment="1">
      <alignment horizontal="center"/>
    </xf>
    <xf numFmtId="0" fontId="4" fillId="0" borderId="0" xfId="0" applyFont="1" applyBorder="1"/>
    <xf numFmtId="0" fontId="5" fillId="0" borderId="1" xfId="0" applyFont="1" applyBorder="1" applyAlignment="1">
      <alignment horizontal="center"/>
    </xf>
    <xf numFmtId="0" fontId="5" fillId="0" borderId="1" xfId="0" applyFont="1" applyFill="1" applyBorder="1" applyAlignment="1">
      <alignment horizontal="center"/>
    </xf>
    <xf numFmtId="0" fontId="7" fillId="0" borderId="0" xfId="0" applyFont="1" applyAlignment="1" quotePrefix="1">
      <alignment vertical="top"/>
    </xf>
    <xf numFmtId="0" fontId="2" fillId="0" borderId="0" xfId="0" applyFont="1" applyBorder="1" applyAlignment="1">
      <alignment horizontal="left"/>
    </xf>
    <xf numFmtId="0" fontId="4" fillId="0" borderId="5" xfId="0" applyFont="1" applyBorder="1" applyAlignment="1">
      <alignment horizontal="left" vertical="top" wrapText="1"/>
    </xf>
    <xf numFmtId="0" fontId="4" fillId="0" borderId="1" xfId="0" applyFont="1" applyBorder="1" applyAlignment="1">
      <alignment horizontal="left" vertical="top" wrapText="1"/>
    </xf>
    <xf numFmtId="0" fontId="4" fillId="0" borderId="1" xfId="0" applyFont="1" applyBorder="1" applyAlignment="1">
      <alignmen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3" xfId="0" applyFont="1" applyBorder="1" applyAlignment="1">
      <alignment horizontal="left"/>
    </xf>
    <xf numFmtId="0" fontId="4" fillId="0" borderId="3" xfId="0" applyFont="1" applyBorder="1" applyAlignment="1">
      <alignment horizontal="left" vertical="top" wrapText="1"/>
    </xf>
    <xf numFmtId="0" fontId="4" fillId="0" borderId="3" xfId="0" applyFont="1" applyBorder="1" applyAlignment="1">
      <alignment vertical="top" wrapText="1"/>
    </xf>
    <xf numFmtId="0" fontId="4" fillId="0" borderId="1" xfId="0" applyFont="1" applyBorder="1" applyAlignment="1">
      <alignment horizontal="left" vertical="top"/>
    </xf>
    <xf numFmtId="0" fontId="4" fillId="0" borderId="0" xfId="0" applyFont="1" applyAlignment="1">
      <alignment vertical="top" wrapText="1"/>
    </xf>
    <xf numFmtId="0" fontId="4" fillId="0" borderId="7" xfId="0" applyFont="1" applyBorder="1" applyAlignment="1">
      <alignment vertical="top" wrapText="1"/>
    </xf>
    <xf numFmtId="0" fontId="4" fillId="0" borderId="7" xfId="0" applyFont="1" applyFill="1" applyBorder="1" applyAlignment="1">
      <alignment vertical="top" wrapText="1"/>
    </xf>
    <xf numFmtId="0" fontId="4" fillId="0" borderId="1" xfId="0" applyFont="1" applyBorder="1" applyAlignment="1">
      <alignment vertical="top"/>
    </xf>
    <xf numFmtId="0" fontId="9" fillId="0" borderId="0" xfId="0" applyFont="1" applyAlignment="1">
      <alignment horizontal="center"/>
    </xf>
    <xf numFmtId="0" fontId="5" fillId="0" borderId="2" xfId="0" applyFont="1" applyBorder="1" applyAlignment="1">
      <alignment horizontal="center"/>
    </xf>
    <xf numFmtId="164" fontId="5" fillId="0" borderId="2" xfId="18" applyNumberFormat="1" applyFont="1" applyBorder="1" applyAlignment="1">
      <alignment horizontal="center"/>
    </xf>
    <xf numFmtId="0" fontId="5" fillId="0" borderId="0" xfId="0" applyFont="1" applyFill="1" applyBorder="1"/>
    <xf numFmtId="0" fontId="5" fillId="0" borderId="3" xfId="0" applyFont="1" applyBorder="1" applyAlignment="1">
      <alignment horizontal="center"/>
    </xf>
    <xf numFmtId="0" fontId="4" fillId="0" borderId="0" xfId="0" applyFont="1" applyFill="1" applyBorder="1" applyAlignment="1">
      <alignment horizontal="center"/>
    </xf>
    <xf numFmtId="0" fontId="4" fillId="0" borderId="0" xfId="0" applyFont="1" applyBorder="1" applyAlignment="1">
      <alignment horizontal="center"/>
    </xf>
    <xf numFmtId="0" fontId="4" fillId="0" borderId="0" xfId="0" applyFont="1" applyBorder="1" applyAlignment="1">
      <alignment horizontal="left"/>
    </xf>
    <xf numFmtId="165" fontId="4" fillId="0" borderId="0" xfId="16" applyNumberFormat="1" applyFont="1" applyBorder="1" applyAlignment="1">
      <alignment horizontal="center"/>
    </xf>
    <xf numFmtId="14" fontId="4" fillId="0" borderId="0" xfId="0" applyNumberFormat="1" applyFont="1" applyBorder="1" applyAlignment="1">
      <alignment horizontal="center"/>
    </xf>
    <xf numFmtId="0" fontId="5" fillId="0" borderId="0" xfId="0" applyFont="1" applyBorder="1" applyAlignment="1">
      <alignment horizontal="center"/>
    </xf>
    <xf numFmtId="164" fontId="4" fillId="0" borderId="2" xfId="18" applyNumberFormat="1" applyFont="1" applyBorder="1" applyAlignment="1">
      <alignment horizontal="center"/>
    </xf>
    <xf numFmtId="165" fontId="4" fillId="0" borderId="8" xfId="16" applyNumberFormat="1" applyFont="1" applyBorder="1" applyAlignment="1">
      <alignment horizontal="center"/>
    </xf>
    <xf numFmtId="164" fontId="4" fillId="0" borderId="0" xfId="18" applyNumberFormat="1" applyFont="1"/>
    <xf numFmtId="0" fontId="6" fillId="0" borderId="0" xfId="0" applyFont="1" applyBorder="1"/>
    <xf numFmtId="0" fontId="10" fillId="0" borderId="0" xfId="0" applyFont="1" applyBorder="1"/>
    <xf numFmtId="164" fontId="6" fillId="0" borderId="0" xfId="18" applyNumberFormat="1" applyFont="1"/>
    <xf numFmtId="164" fontId="5" fillId="0" borderId="0" xfId="0" applyNumberFormat="1" applyFont="1" applyAlignment="1">
      <alignment horizontal="center"/>
    </xf>
    <xf numFmtId="0" fontId="2" fillId="0" borderId="4" xfId="0" applyFont="1" applyBorder="1" applyAlignment="1" quotePrefix="1">
      <alignment horizontal="center"/>
    </xf>
    <xf numFmtId="164" fontId="2" fillId="0" borderId="4" xfId="0" applyNumberFormat="1" applyFont="1" applyBorder="1" applyAlignment="1" quotePrefix="1">
      <alignment horizontal="center"/>
    </xf>
    <xf numFmtId="0" fontId="5" fillId="0" borderId="0" xfId="0" applyFont="1" applyBorder="1" applyAlignment="1">
      <alignment horizontal="left"/>
    </xf>
    <xf numFmtId="165" fontId="4" fillId="0" borderId="0" xfId="16" applyNumberFormat="1" applyFont="1" applyBorder="1"/>
    <xf numFmtId="0" fontId="4" fillId="0" borderId="0" xfId="0" applyFont="1" applyAlignment="1">
      <alignment horizontal="left"/>
    </xf>
    <xf numFmtId="164" fontId="4" fillId="0" borderId="0" xfId="0" applyNumberFormat="1" applyFont="1" applyBorder="1"/>
    <xf numFmtId="164" fontId="4" fillId="0" borderId="2" xfId="0" applyNumberFormat="1" applyFont="1" applyBorder="1"/>
    <xf numFmtId="0" fontId="4" fillId="0" borderId="0" xfId="0" applyFont="1" applyFill="1" applyBorder="1" applyAlignment="1">
      <alignment horizontal="left"/>
    </xf>
    <xf numFmtId="164" fontId="4" fillId="0" borderId="0" xfId="0" applyNumberFormat="1" applyFont="1" applyFill="1" applyBorder="1"/>
    <xf numFmtId="0" fontId="4" fillId="0" borderId="0" xfId="0" applyFont="1" applyFill="1" applyBorder="1" applyAlignment="1">
      <alignment horizontal="left" wrapText="1"/>
    </xf>
    <xf numFmtId="164" fontId="4" fillId="0" borderId="2" xfId="0" applyNumberFormat="1" applyFont="1" applyFill="1" applyBorder="1"/>
    <xf numFmtId="165" fontId="5" fillId="0" borderId="8" xfId="16" applyNumberFormat="1" applyFont="1" applyFill="1" applyBorder="1"/>
    <xf numFmtId="164" fontId="5" fillId="0" borderId="0" xfId="0" applyNumberFormat="1" applyFont="1" applyBorder="1"/>
    <xf numFmtId="0" fontId="5" fillId="0" borderId="0" xfId="0" applyFont="1" applyFill="1" applyBorder="1" applyAlignment="1">
      <alignment horizontal="left"/>
    </xf>
    <xf numFmtId="0" fontId="4" fillId="0" borderId="0" xfId="0" applyFont="1" applyFill="1" applyBorder="1"/>
    <xf numFmtId="164" fontId="5" fillId="0" borderId="0" xfId="0" applyNumberFormat="1" applyFont="1" applyFill="1" applyBorder="1"/>
    <xf numFmtId="165" fontId="5" fillId="0" borderId="9" xfId="16" applyNumberFormat="1" applyFont="1" applyFill="1" applyBorder="1"/>
    <xf numFmtId="0" fontId="6" fillId="0" borderId="0" xfId="0" applyFont="1" applyAlignment="1">
      <alignment horizontal="left"/>
    </xf>
    <xf numFmtId="165" fontId="4" fillId="0" borderId="0" xfId="16" applyNumberFormat="1" applyFont="1"/>
    <xf numFmtId="14" fontId="4" fillId="0" borderId="0" xfId="0" applyNumberFormat="1" applyFont="1" applyAlignment="1">
      <alignment horizontal="center"/>
    </xf>
    <xf numFmtId="164" fontId="4" fillId="0" borderId="2" xfId="18" applyNumberFormat="1" applyFont="1" applyBorder="1"/>
    <xf numFmtId="0" fontId="5" fillId="0" borderId="0" xfId="0" applyFont="1" applyBorder="1"/>
    <xf numFmtId="165" fontId="5" fillId="0" borderId="0" xfId="16" applyNumberFormat="1" applyFont="1" applyBorder="1"/>
    <xf numFmtId="0" fontId="3" fillId="0" borderId="0" xfId="0" applyFont="1" applyAlignment="1">
      <alignment/>
    </xf>
    <xf numFmtId="0" fontId="4" fillId="0" borderId="1" xfId="0" applyFont="1" applyFill="1" applyBorder="1" applyAlignment="1">
      <alignment vertical="top" wrapText="1"/>
    </xf>
    <xf numFmtId="0" fontId="4" fillId="0" borderId="1" xfId="0" applyFont="1" applyBorder="1" applyAlignment="1">
      <alignment horizontal="center" vertical="top" wrapText="1"/>
    </xf>
    <xf numFmtId="0" fontId="4" fillId="0" borderId="7" xfId="0" applyFont="1" applyFill="1" applyBorder="1" applyAlignment="1">
      <alignment horizontal="left" vertical="top"/>
    </xf>
    <xf numFmtId="0" fontId="4" fillId="0" borderId="7" xfId="0" applyFont="1" applyFill="1" applyBorder="1" applyAlignment="1">
      <alignment horizontal="center" vertical="top" wrapText="1"/>
    </xf>
    <xf numFmtId="0" fontId="2" fillId="0" borderId="0" xfId="0" applyFont="1" applyAlignment="1">
      <alignment/>
    </xf>
    <xf numFmtId="0" fontId="2" fillId="0" borderId="0" xfId="0" applyFont="1" applyAlignment="1">
      <alignment horizontal="center"/>
    </xf>
    <xf numFmtId="0" fontId="2" fillId="0" borderId="0" xfId="0" applyFont="1" applyBorder="1" applyAlignment="1">
      <alignment horizontal="center"/>
    </xf>
    <xf numFmtId="0" fontId="5" fillId="0" borderId="1" xfId="0" applyFont="1" applyBorder="1" applyAlignment="1">
      <alignment horizontal="center" vertical="top"/>
    </xf>
    <xf numFmtId="165" fontId="4" fillId="0" borderId="1" xfId="16" applyNumberFormat="1" applyFont="1" applyBorder="1" applyAlignment="1">
      <alignment vertical="top" wrapText="1"/>
    </xf>
    <xf numFmtId="0" fontId="4" fillId="0" borderId="0" xfId="0" applyFont="1" applyBorder="1" applyAlignment="1">
      <alignment horizontal="center" vertical="top" wrapText="1"/>
    </xf>
    <xf numFmtId="164" fontId="4" fillId="0" borderId="1" xfId="18" applyNumberFormat="1" applyFont="1" applyBorder="1" applyAlignment="1">
      <alignment vertical="top" wrapText="1"/>
    </xf>
    <xf numFmtId="0" fontId="5" fillId="0" borderId="1" xfId="0" applyFont="1" applyBorder="1" applyAlignment="1">
      <alignment horizontal="left" vertical="top"/>
    </xf>
    <xf numFmtId="165" fontId="5" fillId="0" borderId="1" xfId="16" applyNumberFormat="1" applyFont="1" applyBorder="1" applyAlignment="1">
      <alignment vertical="top" wrapText="1"/>
    </xf>
    <xf numFmtId="0" fontId="5" fillId="0" borderId="1" xfId="0" applyFont="1" applyBorder="1" applyAlignment="1">
      <alignment vertical="top" wrapText="1"/>
    </xf>
    <xf numFmtId="0" fontId="5" fillId="0" borderId="0" xfId="0" applyFont="1" applyBorder="1" applyAlignment="1">
      <alignment horizontal="center" vertical="top" wrapText="1"/>
    </xf>
    <xf numFmtId="0" fontId="5" fillId="0" borderId="0" xfId="0" applyFont="1"/>
    <xf numFmtId="0" fontId="5" fillId="0" borderId="3" xfId="0" applyFont="1" applyBorder="1" applyAlignment="1">
      <alignment horizontal="left" vertical="top"/>
    </xf>
    <xf numFmtId="165" fontId="5" fillId="0" borderId="3" xfId="16" applyNumberFormat="1" applyFont="1" applyBorder="1" applyAlignment="1">
      <alignment vertical="top" wrapText="1"/>
    </xf>
    <xf numFmtId="0" fontId="5" fillId="0" borderId="3" xfId="0" applyFont="1" applyBorder="1" applyAlignment="1">
      <alignment vertical="top" wrapText="1"/>
    </xf>
    <xf numFmtId="0" fontId="5" fillId="0" borderId="10" xfId="0" applyFont="1" applyBorder="1" applyAlignment="1">
      <alignment horizontal="left" vertical="top"/>
    </xf>
    <xf numFmtId="165" fontId="5" fillId="0" borderId="1" xfId="0" applyNumberFormat="1" applyFont="1" applyBorder="1" applyAlignment="1">
      <alignment vertical="top" wrapText="1"/>
    </xf>
    <xf numFmtId="0" fontId="9" fillId="0" borderId="0" xfId="0" applyFont="1"/>
    <xf numFmtId="164" fontId="5" fillId="0" borderId="1" xfId="18" applyNumberFormat="1" applyFont="1" applyBorder="1" applyAlignment="1">
      <alignment vertical="top" wrapText="1"/>
    </xf>
    <xf numFmtId="0" fontId="4" fillId="0" borderId="10" xfId="0" applyFont="1" applyBorder="1" applyAlignment="1">
      <alignment horizontal="left" vertical="top"/>
    </xf>
    <xf numFmtId="164" fontId="5" fillId="0" borderId="0" xfId="18" applyNumberFormat="1" applyFont="1" applyBorder="1" applyAlignment="1">
      <alignment horizontal="center"/>
    </xf>
    <xf numFmtId="164" fontId="5" fillId="0" borderId="0" xfId="18" applyNumberFormat="1" applyFont="1" applyAlignment="1">
      <alignment horizontal="center"/>
    </xf>
    <xf numFmtId="0" fontId="5" fillId="0" borderId="0" xfId="0" applyFont="1" applyBorder="1" applyAlignment="1" quotePrefix="1">
      <alignment horizontal="center"/>
    </xf>
    <xf numFmtId="0" fontId="4" fillId="0" borderId="3" xfId="0" applyFont="1" applyBorder="1" applyAlignment="1" quotePrefix="1">
      <alignment horizontal="left" vertical="top" wrapText="1"/>
    </xf>
    <xf numFmtId="164" fontId="6" fillId="0" borderId="3" xfId="18" applyNumberFormat="1" applyFont="1" applyBorder="1" applyAlignment="1">
      <alignment horizontal="center" vertical="top"/>
    </xf>
    <xf numFmtId="14" fontId="6" fillId="0" borderId="3" xfId="18" applyNumberFormat="1" applyFont="1" applyBorder="1" applyAlignment="1">
      <alignment horizontal="center" vertical="top"/>
    </xf>
    <xf numFmtId="0" fontId="6" fillId="0" borderId="3" xfId="0" applyFont="1" applyBorder="1" applyAlignment="1">
      <alignment vertical="top"/>
    </xf>
    <xf numFmtId="0" fontId="4" fillId="0" borderId="3" xfId="0" applyFont="1" applyBorder="1" applyAlignment="1">
      <alignment horizontal="left" vertical="top"/>
    </xf>
    <xf numFmtId="0" fontId="6" fillId="0" borderId="3" xfId="0" applyFont="1" applyBorder="1" applyAlignment="1">
      <alignment horizontal="left" vertical="top"/>
    </xf>
    <xf numFmtId="14" fontId="6" fillId="0" borderId="3" xfId="0" applyNumberFormat="1" applyFont="1" applyBorder="1" applyAlignment="1">
      <alignment horizontal="center" vertical="top" wrapText="1"/>
    </xf>
    <xf numFmtId="14" fontId="6" fillId="0" borderId="3" xfId="0" applyNumberFormat="1" applyFont="1" applyBorder="1" applyAlignment="1">
      <alignment horizontal="center" vertical="top"/>
    </xf>
    <xf numFmtId="14" fontId="6" fillId="0" borderId="0" xfId="0" applyNumberFormat="1" applyFont="1" applyAlignment="1">
      <alignment horizontal="center"/>
    </xf>
    <xf numFmtId="0" fontId="5" fillId="0" borderId="0" xfId="0" applyFont="1" applyBorder="1" applyAlignment="1">
      <alignment horizontal="center" vertical="top"/>
    </xf>
    <xf numFmtId="164" fontId="5" fillId="0" borderId="0" xfId="18" applyNumberFormat="1" applyFont="1" applyBorder="1" applyAlignment="1">
      <alignment horizontal="center" vertical="top"/>
    </xf>
    <xf numFmtId="164" fontId="5" fillId="0" borderId="0" xfId="18" applyNumberFormat="1" applyFont="1" applyAlignment="1">
      <alignment horizontal="center" vertical="top"/>
    </xf>
    <xf numFmtId="0" fontId="5" fillId="0" borderId="0" xfId="0" applyFont="1" applyAlignment="1">
      <alignment horizontal="center" vertical="top"/>
    </xf>
    <xf numFmtId="0" fontId="5" fillId="0" borderId="2" xfId="0" applyFont="1" applyBorder="1" applyAlignment="1">
      <alignment horizontal="center" vertical="top"/>
    </xf>
    <xf numFmtId="164" fontId="5" fillId="0" borderId="2" xfId="18" applyNumberFormat="1" applyFont="1" applyBorder="1" applyAlignment="1">
      <alignment horizontal="center" vertical="top"/>
    </xf>
    <xf numFmtId="164" fontId="4" fillId="0" borderId="0" xfId="18" applyNumberFormat="1" applyFont="1" applyBorder="1"/>
    <xf numFmtId="0" fontId="6" fillId="0" borderId="0" xfId="0" applyFont="1" applyBorder="1" applyAlignment="1">
      <alignment horizontal="center"/>
    </xf>
    <xf numFmtId="164" fontId="6" fillId="0" borderId="0" xfId="18" applyNumberFormat="1" applyFont="1" applyBorder="1"/>
    <xf numFmtId="0" fontId="6" fillId="0" borderId="0" xfId="18" applyNumberFormat="1" applyFont="1" applyBorder="1" applyAlignment="1">
      <alignment horizontal="center"/>
    </xf>
    <xf numFmtId="165" fontId="6" fillId="0" borderId="2" xfId="16" applyNumberFormat="1" applyFont="1" applyBorder="1" applyAlignment="1">
      <alignment horizontal="center"/>
    </xf>
    <xf numFmtId="165" fontId="9" fillId="0" borderId="0" xfId="16" applyNumberFormat="1" applyFont="1" applyAlignment="1">
      <alignment horizontal="center"/>
    </xf>
    <xf numFmtId="164" fontId="4" fillId="0" borderId="0" xfId="18" applyNumberFormat="1" applyFont="1" applyBorder="1" applyAlignment="1">
      <alignment horizontal="center"/>
    </xf>
    <xf numFmtId="0" fontId="11" fillId="0" borderId="0" xfId="0" applyFont="1" applyBorder="1" applyAlignment="1">
      <alignment horizontal="center"/>
    </xf>
    <xf numFmtId="0" fontId="3" fillId="0" borderId="0" xfId="0" applyFont="1" applyAlignment="1">
      <alignment horizontal="center"/>
    </xf>
    <xf numFmtId="165" fontId="4" fillId="0" borderId="0" xfId="0" applyNumberFormat="1" applyFont="1" applyBorder="1"/>
    <xf numFmtId="165" fontId="5" fillId="0" borderId="0" xfId="0" applyNumberFormat="1" applyFont="1" applyBorder="1"/>
    <xf numFmtId="165" fontId="9" fillId="0" borderId="0" xfId="0" applyNumberFormat="1" applyFont="1"/>
    <xf numFmtId="14" fontId="4" fillId="0" borderId="0" xfId="0" applyNumberFormat="1" applyFont="1" applyFill="1" applyBorder="1" applyAlignment="1" quotePrefix="1">
      <alignment horizontal="center"/>
    </xf>
    <xf numFmtId="0" fontId="6" fillId="0" borderId="0" xfId="0" applyFont="1" applyBorder="1" applyAlignment="1">
      <alignment vertical="top" wrapText="1"/>
    </xf>
    <xf numFmtId="0" fontId="3" fillId="0" borderId="0" xfId="0" applyFont="1" applyAlignment="1">
      <alignment horizontal="center"/>
    </xf>
    <xf numFmtId="0" fontId="3" fillId="0" borderId="0" xfId="0" applyFont="1" applyAlignment="1">
      <alignment horizontal="center"/>
    </xf>
    <xf numFmtId="0" fontId="6" fillId="0" borderId="0" xfId="0" applyFont="1" applyAlignment="1" quotePrefix="1">
      <alignment vertical="top" wrapText="1"/>
    </xf>
    <xf numFmtId="0" fontId="6" fillId="0" borderId="0" xfId="0" applyFont="1" applyBorder="1" applyAlignment="1">
      <alignment vertical="top" wrapText="1"/>
    </xf>
    <xf numFmtId="0" fontId="4" fillId="0" borderId="0" xfId="0" applyFont="1" applyAlignment="1" quotePrefix="1">
      <alignment vertical="top" wrapText="1"/>
    </xf>
    <xf numFmtId="0" fontId="6" fillId="0" borderId="0" xfId="0" applyFont="1" applyAlignment="1">
      <alignment vertical="top"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2.xml" /><Relationship Id="rId5" Type="http://schemas.openxmlformats.org/officeDocument/2006/relationships/worksheet" Target="worksheets/sheet4.xml" /><Relationship Id="rId7" Type="http://schemas.openxmlformats.org/officeDocument/2006/relationships/worksheet" Target="worksheets/sheet6.xml" /><Relationship Id="rId9" Type="http://schemas.openxmlformats.org/officeDocument/2006/relationships/worksheet" Target="worksheets/sheet8.xml" /><Relationship Id="rId2" Type="http://schemas.openxmlformats.org/officeDocument/2006/relationships/worksheet" Target="worksheets/sheet1.xml" /><Relationship Id="rId18" Type="http://schemas.openxmlformats.org/officeDocument/2006/relationships/sharedStrings" Target="sharedStrings.xml" /><Relationship Id="rId14" Type="http://schemas.openxmlformats.org/officeDocument/2006/relationships/worksheet" Target="worksheets/sheet13.xml" /><Relationship Id="rId15" Type="http://schemas.openxmlformats.org/officeDocument/2006/relationships/worksheet" Target="worksheets/sheet14.xml" /><Relationship Id="rId16" Type="http://schemas.openxmlformats.org/officeDocument/2006/relationships/worksheet" Target="worksheets/sheet15.xml" /><Relationship Id="rId17" Type="http://schemas.openxmlformats.org/officeDocument/2006/relationships/styles" Target="styles.xml" /><Relationship Id="rId10" Type="http://schemas.openxmlformats.org/officeDocument/2006/relationships/worksheet" Target="worksheets/sheet9.xml" /><Relationship Id="rId11" Type="http://schemas.openxmlformats.org/officeDocument/2006/relationships/worksheet" Target="worksheets/sheet10.xml" /><Relationship Id="rId12" Type="http://schemas.openxmlformats.org/officeDocument/2006/relationships/worksheet" Target="worksheets/sheet11.xml" /><Relationship Id="rId1" Type="http://schemas.openxmlformats.org/officeDocument/2006/relationships/theme" Target="theme/theme1.xml" /><Relationship Id="rId4" Type="http://schemas.openxmlformats.org/officeDocument/2006/relationships/worksheet" Target="worksheets/sheet3.xml" /><Relationship Id="rId6" Type="http://schemas.openxmlformats.org/officeDocument/2006/relationships/worksheet" Target="worksheets/sheet5.xml" /><Relationship Id="rId8" Type="http://schemas.openxmlformats.org/officeDocument/2006/relationships/worksheet" Target="worksheets/sheet7.xml" /><Relationship Id="rId19" Type="http://schemas.openxmlformats.org/officeDocument/2006/relationships/calcChain" Target="calcChain.xml" /><Relationship Id="rId13" Type="http://schemas.openxmlformats.org/officeDocument/2006/relationships/worksheet" Target="worksheets/sheet1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2.bin" /></Relationships>
</file>

<file path=xl/worksheets/_rels/sheet3.xml.rels><?xml version="1.0" encoding="UTF-8" standalone="yes"?><Relationships xmlns="http://schemas.openxmlformats.org/package/2006/relationships"><Relationship Id="rId1" Type="http://schemas.openxmlformats.org/officeDocument/2006/relationships/printerSettings" Target="../printerSettings/printerSettings3.bin" /></Relationships>
</file>

<file path=xl/worksheets/_rels/sheet4.xml.rels><?xml version="1.0" encoding="UTF-8" standalone="yes"?><Relationships xmlns="http://schemas.openxmlformats.org/package/2006/relationships"><Relationship Id="rId1" Type="http://schemas.openxmlformats.org/officeDocument/2006/relationships/printerSettings" Target="../printerSettings/printerSettings4.bin" /></Relationships>
</file>

<file path=xl/worksheets/_rels/sheet5.xml.rels><?xml version="1.0" encoding="UTF-8" standalone="yes"?><Relationships xmlns="http://schemas.openxmlformats.org/package/2006/relationships"><Relationship Id="rId1" Type="http://schemas.openxmlformats.org/officeDocument/2006/relationships/printerSettings" Target="../printerSettings/printerSettings5.bin" /></Relationships>
</file>

<file path=xl/worksheets/_rels/sheet6.xml.rels><?xml version="1.0" encoding="UTF-8" standalone="yes"?><Relationships xmlns="http://schemas.openxmlformats.org/package/2006/relationships"><Relationship Id="rId1" Type="http://schemas.openxmlformats.org/officeDocument/2006/relationships/printerSettings" Target="../printerSettings/printerSettings6.bin" /></Relationships>
</file>

<file path=xl/worksheets/_rels/sheet7.xml.rels><?xml version="1.0" encoding="UTF-8" standalone="yes"?><Relationships xmlns="http://schemas.openxmlformats.org/package/2006/relationships"><Relationship Id="rId1" Type="http://schemas.openxmlformats.org/officeDocument/2006/relationships/printerSettings" Target="../printerSettings/printerSettings7.bin" /></Relationships>
</file>

<file path=xl/worksheets/_rels/sheet8.xml.rels><?xml version="1.0" encoding="UTF-8" standalone="yes"?><Relationships xmlns="http://schemas.openxmlformats.org/package/2006/relationships"><Relationship Id="rId1" Type="http://schemas.openxmlformats.org/officeDocument/2006/relationships/printerSettings" Target="../printerSettings/printerSettings8.bin" /></Relationships>
</file>

<file path=xl/worksheets/_rels/sheet9.xml.rels><?xml version="1.0" encoding="UTF-8" standalone="yes"?><Relationships xmlns="http://schemas.openxmlformats.org/package/2006/relationships"><Relationship Id="rId1" Type="http://schemas.openxmlformats.org/officeDocument/2006/relationships/printerSettings" Target="../printerSettings/printerSettings9.bin" /></Relationships>
</file>

<file path=xl/worksheets/_rels/sheet10.xml.rels><?xml version="1.0" encoding="UTF-8" standalone="yes"?><Relationships xmlns="http://schemas.openxmlformats.org/package/2006/relationships"><Relationship Id="rId1" Type="http://schemas.openxmlformats.org/officeDocument/2006/relationships/printerSettings" Target="../printerSettings/printerSettings10.bin" /></Relationships>
</file>

<file path=xl/worksheets/_rels/sheet11.xml.rels><?xml version="1.0" encoding="UTF-8" standalone="yes"?><Relationships xmlns="http://schemas.openxmlformats.org/package/2006/relationships"><Relationship Id="rId1" Type="http://schemas.openxmlformats.org/officeDocument/2006/relationships/printerSettings" Target="../printerSettings/printerSettings11.bin" /></Relationships>
</file>

<file path=xl/worksheets/_rels/sheet12.xml.rels><?xml version="1.0" encoding="UTF-8" standalone="yes"?><Relationships xmlns="http://schemas.openxmlformats.org/package/2006/relationships"><Relationship Id="rId1" Type="http://schemas.openxmlformats.org/officeDocument/2006/relationships/printerSettings" Target="../printerSettings/printerSettings12.bin" /></Relationships>
</file>

<file path=xl/worksheets/_rels/sheet13.xml.rels><?xml version="1.0" encoding="UTF-8" standalone="yes"?><Relationships xmlns="http://schemas.openxmlformats.org/package/2006/relationships"><Relationship Id="rId1" Type="http://schemas.openxmlformats.org/officeDocument/2006/relationships/printerSettings" Target="../printerSettings/printerSettings13.bin" /></Relationships>
</file>

<file path=xl/worksheets/_rels/sheet14.xml.rels><?xml version="1.0" encoding="UTF-8" standalone="yes"?><Relationships xmlns="http://schemas.openxmlformats.org/package/2006/relationships"><Relationship Id="rId1" Type="http://schemas.openxmlformats.org/officeDocument/2006/relationships/printerSettings" Target="../printerSettings/printerSettings14.bin" /></Relationships>
</file>

<file path=xl/worksheets/_rels/sheet15.xml.rels><?xml version="1.0" encoding="UTF-8" standalone="yes"?><Relationships xmlns="http://schemas.openxmlformats.org/package/2006/relationships"><Relationship Id="rId1" Type="http://schemas.openxmlformats.org/officeDocument/2006/relationships/printerSettings" Target="../printerSettings/printerSettings15.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dimension ref="A1:F39"/>
  <sheetViews>
    <sheetView tabSelected="1" view="pageBreakPreview" zoomScaleNormal="90" zoomScaleSheetLayoutView="100" workbookViewId="0" topLeftCell="A1">
      <selection pane="topLeft" activeCell="B6" sqref="B6"/>
    </sheetView>
  </sheetViews>
  <sheetFormatPr defaultRowHeight="15"/>
  <cols>
    <col min="1" max="1" width="9.14285714285714" style="22"/>
    <col min="2" max="2" width="45.2857142857143" style="22" customWidth="1"/>
    <col min="3" max="3" width="33.2857142857143" style="22" customWidth="1"/>
    <col min="4" max="4" width="14.8571428571429" style="22" customWidth="1"/>
    <col min="5" max="5" width="32" style="22" customWidth="1"/>
    <col min="6" max="6" width="16.2857142857143" style="24" customWidth="1"/>
    <col min="7" max="16384" width="9.14285714285714" style="22"/>
  </cols>
  <sheetData>
    <row r="1" spans="2:6" ht="15.75">
      <c r="B1" s="147" t="s">
        <v>166</v>
      </c>
      <c r="C1" s="147"/>
      <c r="D1" s="147"/>
      <c r="E1" s="147"/>
      <c r="F1" s="147"/>
    </row>
    <row r="2" spans="2:6" ht="15.75">
      <c r="B2" s="147" t="s">
        <v>11</v>
      </c>
      <c r="C2" s="147"/>
      <c r="D2" s="147"/>
      <c r="E2" s="147"/>
      <c r="F2" s="147"/>
    </row>
    <row r="3" spans="2:6" ht="15.75">
      <c r="B3" s="147" t="s">
        <v>14</v>
      </c>
      <c r="C3" s="147"/>
      <c r="D3" s="147"/>
      <c r="E3" s="147"/>
      <c r="F3" s="147"/>
    </row>
    <row r="4" spans="2:6" ht="15.75">
      <c r="B4" s="147" t="s">
        <v>167</v>
      </c>
      <c r="C4" s="147"/>
      <c r="D4" s="147"/>
      <c r="E4" s="147"/>
      <c r="F4" s="147"/>
    </row>
    <row r="5" spans="2:6" ht="15.75">
      <c r="B5" s="147" t="s">
        <v>15</v>
      </c>
      <c r="C5" s="147"/>
      <c r="D5" s="147"/>
      <c r="E5" s="147"/>
      <c r="F5" s="147"/>
    </row>
    <row r="7" spans="1:6" s="1" customFormat="1" ht="15">
      <c r="A7" s="2"/>
      <c r="D7" s="17" t="s">
        <v>0</v>
      </c>
      <c r="E7" s="17" t="s">
        <v>1</v>
      </c>
      <c r="F7" s="3"/>
    </row>
    <row r="8" spans="1:6" s="1" customFormat="1" ht="15">
      <c r="A8" s="18" t="s">
        <v>2</v>
      </c>
      <c r="B8" s="18" t="s">
        <v>3</v>
      </c>
      <c r="C8" s="18" t="s">
        <v>21</v>
      </c>
      <c r="D8" s="18" t="s">
        <v>4</v>
      </c>
      <c r="E8" s="18" t="s">
        <v>5</v>
      </c>
      <c r="F8" s="19" t="s">
        <v>6</v>
      </c>
    </row>
    <row r="9" spans="1:6" s="1" customFormat="1" ht="15">
      <c r="A9" s="2"/>
      <c r="B9" s="20" t="s">
        <v>7</v>
      </c>
      <c r="C9" s="20" t="s">
        <v>22</v>
      </c>
      <c r="D9" s="20" t="s">
        <v>8</v>
      </c>
      <c r="E9" s="20" t="s">
        <v>9</v>
      </c>
      <c r="F9" s="21" t="s">
        <v>10</v>
      </c>
    </row>
    <row r="10" spans="1:6" s="1" customFormat="1" ht="15">
      <c r="A10" s="2">
        <v>1</v>
      </c>
      <c r="B10" s="31" t="s">
        <v>34</v>
      </c>
      <c r="C10" s="25"/>
      <c r="D10" s="4"/>
      <c r="E10" s="5"/>
      <c r="F10" s="6"/>
    </row>
    <row r="11" spans="1:6" s="1" customFormat="1" ht="15">
      <c r="A11" s="2">
        <f>+A10+1</f>
        <v>2</v>
      </c>
      <c r="B11" s="31"/>
      <c r="C11" s="25" t="s">
        <v>25</v>
      </c>
      <c r="D11" s="4">
        <v>9230000</v>
      </c>
      <c r="E11" s="5" t="s">
        <v>13</v>
      </c>
      <c r="F11" s="6">
        <v>27000</v>
      </c>
    </row>
    <row r="12" spans="1:6" s="1" customFormat="1" ht="14.25">
      <c r="A12" s="2">
        <f t="shared" si="0" ref="A12:A34">+A11+1</f>
        <v>3</v>
      </c>
      <c r="B12" s="25"/>
      <c r="C12" s="25" t="s">
        <v>23</v>
      </c>
      <c r="D12" s="4">
        <v>9230000</v>
      </c>
      <c r="E12" s="5" t="s">
        <v>13</v>
      </c>
      <c r="F12" s="6">
        <v>67250</v>
      </c>
    </row>
    <row r="13" spans="1:6" s="1" customFormat="1" ht="14.25">
      <c r="A13" s="2">
        <f t="shared" si="0"/>
        <v>4</v>
      </c>
      <c r="B13" s="25"/>
      <c r="C13" s="25" t="s">
        <v>24</v>
      </c>
      <c r="D13" s="4">
        <v>9230000</v>
      </c>
      <c r="E13" s="5" t="s">
        <v>13</v>
      </c>
      <c r="F13" s="6">
        <v>25750</v>
      </c>
    </row>
    <row r="14" spans="1:6" s="1" customFormat="1" ht="15">
      <c r="A14" s="2">
        <f t="shared" si="0"/>
        <v>5</v>
      </c>
      <c r="B14" s="28" t="s">
        <v>20</v>
      </c>
      <c r="C14" s="28"/>
      <c r="D14" s="4"/>
      <c r="E14" s="5"/>
      <c r="F14" s="7">
        <f>SUM(F10:F13)</f>
        <v>120000</v>
      </c>
    </row>
    <row r="15" spans="1:6" s="1" customFormat="1" ht="15">
      <c r="A15" s="2">
        <f t="shared" si="0"/>
        <v>6</v>
      </c>
      <c r="B15" s="31" t="s">
        <v>35</v>
      </c>
      <c r="C15" s="25"/>
      <c r="D15" s="4"/>
      <c r="E15" s="5"/>
      <c r="F15" s="6"/>
    </row>
    <row r="16" spans="1:6" s="1" customFormat="1" ht="14.25">
      <c r="A16" s="2">
        <f t="shared" si="0"/>
        <v>7</v>
      </c>
      <c r="B16" s="25"/>
      <c r="C16" s="25" t="s">
        <v>28</v>
      </c>
      <c r="D16" s="4">
        <v>9210000</v>
      </c>
      <c r="E16" s="5" t="s">
        <v>188</v>
      </c>
      <c r="F16" s="6">
        <v>34</v>
      </c>
    </row>
    <row r="17" spans="1:6" s="1" customFormat="1" ht="14.25">
      <c r="A17" s="2">
        <f t="shared" si="0"/>
        <v>8</v>
      </c>
      <c r="B17" s="25"/>
      <c r="C17" s="25"/>
      <c r="D17" s="4">
        <v>9230000</v>
      </c>
      <c r="E17" s="5" t="s">
        <v>13</v>
      </c>
      <c r="F17" s="6">
        <v>2896938</v>
      </c>
    </row>
    <row r="18" spans="1:6" s="1" customFormat="1" ht="15">
      <c r="A18" s="2">
        <f t="shared" si="0"/>
        <v>9</v>
      </c>
      <c r="B18" s="28" t="s">
        <v>29</v>
      </c>
      <c r="C18" s="28"/>
      <c r="D18" s="10"/>
      <c r="E18" s="8"/>
      <c r="F18" s="9">
        <f>SUM(F16:F17)</f>
        <v>2896972</v>
      </c>
    </row>
    <row r="19" spans="1:6" s="1" customFormat="1" ht="14.25">
      <c r="A19" s="2">
        <f t="shared" si="0"/>
        <v>10</v>
      </c>
      <c r="B19" s="27"/>
      <c r="C19" s="27" t="s">
        <v>30</v>
      </c>
      <c r="D19" s="10">
        <v>9230000</v>
      </c>
      <c r="E19" s="11" t="s">
        <v>13</v>
      </c>
      <c r="F19" s="6">
        <f>467026+226820</f>
        <v>693846</v>
      </c>
    </row>
    <row r="20" spans="1:6" s="1" customFormat="1" ht="14.25">
      <c r="A20" s="2">
        <f t="shared" si="0"/>
        <v>11</v>
      </c>
      <c r="B20" s="27"/>
      <c r="C20" s="27"/>
      <c r="D20" s="10">
        <v>1070000</v>
      </c>
      <c r="E20" s="11" t="s">
        <v>17</v>
      </c>
      <c r="F20" s="12">
        <v>45700</v>
      </c>
    </row>
    <row r="21" spans="1:6" s="1" customFormat="1" ht="15">
      <c r="A21" s="2">
        <f t="shared" si="0"/>
        <v>12</v>
      </c>
      <c r="B21" s="26" t="s">
        <v>16</v>
      </c>
      <c r="C21" s="26"/>
      <c r="D21" s="10"/>
      <c r="E21" s="11"/>
      <c r="F21" s="9">
        <f>+F19+F20</f>
        <v>739546</v>
      </c>
    </row>
    <row r="22" spans="1:6" s="1" customFormat="1" ht="15">
      <c r="A22" s="2">
        <f t="shared" si="0"/>
        <v>13</v>
      </c>
      <c r="B22" s="32" t="s">
        <v>36</v>
      </c>
      <c r="C22" s="26"/>
      <c r="D22" s="10"/>
      <c r="E22" s="8"/>
      <c r="F22" s="9"/>
    </row>
    <row r="23" spans="1:6" s="1" customFormat="1" ht="14.25">
      <c r="A23" s="2">
        <f t="shared" si="0"/>
        <v>14</v>
      </c>
      <c r="B23" s="27"/>
      <c r="C23" s="27" t="s">
        <v>31</v>
      </c>
      <c r="D23" s="10">
        <v>5650000</v>
      </c>
      <c r="E23" s="11" t="s">
        <v>18</v>
      </c>
      <c r="F23" s="12">
        <v>9498427</v>
      </c>
    </row>
    <row r="24" spans="1:6" s="1" customFormat="1" ht="15">
      <c r="A24" s="2">
        <f t="shared" si="0"/>
        <v>15</v>
      </c>
      <c r="B24" s="26" t="s">
        <v>208</v>
      </c>
      <c r="C24" s="26"/>
      <c r="D24" s="10"/>
      <c r="E24" s="8"/>
      <c r="F24" s="9">
        <f>+F23</f>
        <v>9498427</v>
      </c>
    </row>
    <row r="25" spans="1:6" s="1" customFormat="1" ht="14.25">
      <c r="A25" s="2">
        <f t="shared" si="0"/>
        <v>16</v>
      </c>
      <c r="B25" s="25"/>
      <c r="C25" s="25" t="s">
        <v>210</v>
      </c>
      <c r="D25" s="10">
        <v>5650000</v>
      </c>
      <c r="E25" s="11" t="s">
        <v>18</v>
      </c>
      <c r="F25" s="13">
        <v>80434328</v>
      </c>
    </row>
    <row r="26" spans="1:6" s="1" customFormat="1" ht="14.25">
      <c r="A26" s="2">
        <f t="shared" si="0"/>
        <v>17</v>
      </c>
      <c r="B26" s="25"/>
      <c r="C26" s="25" t="s">
        <v>211</v>
      </c>
      <c r="D26" s="10">
        <v>1824300</v>
      </c>
      <c r="E26" s="14" t="s">
        <v>19</v>
      </c>
      <c r="F26" s="13">
        <v>20879874</v>
      </c>
    </row>
    <row r="27" spans="1:6" s="1" customFormat="1" ht="15">
      <c r="A27" s="2">
        <f t="shared" si="0"/>
        <v>18</v>
      </c>
      <c r="B27" s="28" t="s">
        <v>209</v>
      </c>
      <c r="C27" s="28"/>
      <c r="D27" s="4"/>
      <c r="E27" s="5"/>
      <c r="F27" s="15">
        <f>+F25+F26</f>
        <v>101314202</v>
      </c>
    </row>
    <row r="28" spans="1:6" s="1" customFormat="1" ht="15">
      <c r="A28" s="2">
        <f t="shared" si="0"/>
        <v>19</v>
      </c>
      <c r="B28" s="31" t="s">
        <v>37</v>
      </c>
      <c r="C28" s="28"/>
      <c r="D28" s="4"/>
      <c r="E28" s="5"/>
      <c r="F28" s="15"/>
    </row>
    <row r="29" spans="1:6" s="1" customFormat="1" ht="15">
      <c r="A29" s="2">
        <f t="shared" si="0"/>
        <v>20</v>
      </c>
      <c r="B29" s="31"/>
      <c r="C29" s="25" t="s">
        <v>38</v>
      </c>
      <c r="D29" s="4">
        <v>9210000</v>
      </c>
      <c r="E29" s="5" t="s">
        <v>188</v>
      </c>
      <c r="F29" s="13">
        <v>37</v>
      </c>
    </row>
    <row r="30" spans="1:6" s="1" customFormat="1" ht="15">
      <c r="A30" s="2">
        <f t="shared" si="0"/>
        <v>21</v>
      </c>
      <c r="B30" s="31"/>
      <c r="C30" s="25"/>
      <c r="D30" s="4">
        <v>9302000</v>
      </c>
      <c r="E30" s="5" t="s">
        <v>27</v>
      </c>
      <c r="F30" s="13">
        <v>26503</v>
      </c>
    </row>
    <row r="31" spans="1:6" s="1" customFormat="1" ht="14.25">
      <c r="A31" s="2">
        <f t="shared" si="0"/>
        <v>22</v>
      </c>
      <c r="B31" s="25"/>
      <c r="C31" s="25"/>
      <c r="D31" s="4">
        <v>9302000</v>
      </c>
      <c r="E31" s="5" t="s">
        <v>233</v>
      </c>
      <c r="F31" s="13">
        <v>250000</v>
      </c>
    </row>
    <row r="32" spans="1:6" s="1" customFormat="1" ht="15">
      <c r="A32" s="2">
        <f t="shared" si="0"/>
        <v>23</v>
      </c>
      <c r="B32" s="26" t="s">
        <v>26</v>
      </c>
      <c r="C32" s="28"/>
      <c r="D32" s="4"/>
      <c r="E32" s="5"/>
      <c r="F32" s="15">
        <f>+F29+F30+F31</f>
        <v>276540</v>
      </c>
    </row>
    <row r="33" spans="1:6" s="1" customFormat="1" ht="14.25">
      <c r="A33" s="2">
        <f t="shared" si="0"/>
        <v>24</v>
      </c>
      <c r="B33" s="4"/>
      <c r="C33" s="4"/>
      <c r="D33" s="4"/>
      <c r="E33" s="5"/>
      <c r="F33" s="13"/>
    </row>
    <row r="34" spans="1:6" s="1" customFormat="1" ht="15">
      <c r="A34" s="2">
        <f t="shared" si="0"/>
        <v>25</v>
      </c>
      <c r="B34" s="8" t="s">
        <v>12</v>
      </c>
      <c r="C34" s="8"/>
      <c r="D34" s="4"/>
      <c r="E34" s="5"/>
      <c r="F34" s="15">
        <f>+F14+F18+F21+F24+F27+F32</f>
        <v>114845687</v>
      </c>
    </row>
    <row r="35" spans="1:6" s="1" customFormat="1" ht="14.25">
      <c r="A35" s="2"/>
      <c r="D35" s="29"/>
      <c r="F35" s="16"/>
    </row>
    <row r="36" spans="1:4" ht="15">
      <c r="A36" s="23"/>
      <c r="D36" s="30"/>
    </row>
    <row r="37" spans="1:4" ht="15">
      <c r="A37" s="23"/>
      <c r="D37" s="1"/>
    </row>
    <row r="38" spans="1:1" ht="15">
      <c r="A38" s="23"/>
    </row>
    <row r="39" spans="1:1" ht="15">
      <c r="A39" s="23"/>
    </row>
  </sheetData>
  <mergeCells count="5">
    <mergeCell ref="B1:F1"/>
    <mergeCell ref="B2:F2"/>
    <mergeCell ref="B3:F3"/>
    <mergeCell ref="B4:F4"/>
    <mergeCell ref="B5:F5"/>
  </mergeCells>
  <printOptions horizontalCentered="1"/>
  <pageMargins left="0.35" right="0.35" top="1.5" bottom="0.5" header="0.3" footer="0.3"/>
  <pageSetup orientation="landscape" scale="85" r:id="rId1"/>
  <headerFooter>
    <oddHeader>&amp;R
Schedule V-K-1
Page 1 of 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dimension ref="A1:I37"/>
  <sheetViews>
    <sheetView view="pageBreakPreview" zoomScaleNormal="90" zoomScaleSheetLayoutView="100" workbookViewId="0" topLeftCell="A1">
      <selection pane="topLeft" activeCell="B6" sqref="B6"/>
    </sheetView>
  </sheetViews>
  <sheetFormatPr defaultRowHeight="15"/>
  <cols>
    <col min="1" max="1" width="9.14285714285714" style="22"/>
    <col min="2" max="2" width="45.5714285714286" style="22" customWidth="1"/>
    <col min="3" max="3" width="33.1428571428571" style="22" customWidth="1"/>
    <col min="4" max="4" width="11.7142857142857" style="22" customWidth="1"/>
    <col min="5" max="5" width="32" style="22" customWidth="1"/>
    <col min="6" max="6" width="14.4285714285714" style="24" customWidth="1"/>
    <col min="7" max="8" width="14.4285714285714" style="22" customWidth="1"/>
    <col min="9" max="9" width="2.14285714285714" style="22" customWidth="1"/>
    <col min="10" max="16384" width="9.14285714285714" style="22"/>
  </cols>
  <sheetData>
    <row r="1" spans="2:8" ht="15.75">
      <c r="B1" s="147" t="s">
        <v>166</v>
      </c>
      <c r="C1" s="147"/>
      <c r="D1" s="147"/>
      <c r="E1" s="147"/>
      <c r="F1" s="147"/>
      <c r="G1" s="147"/>
      <c r="H1" s="147"/>
    </row>
    <row r="2" spans="2:8" ht="15.75">
      <c r="B2" s="147" t="s">
        <v>11</v>
      </c>
      <c r="C2" s="147"/>
      <c r="D2" s="147"/>
      <c r="E2" s="147"/>
      <c r="F2" s="147"/>
      <c r="G2" s="147"/>
      <c r="H2" s="147"/>
    </row>
    <row r="3" spans="2:8" ht="15.75">
      <c r="B3" s="147" t="s">
        <v>39</v>
      </c>
      <c r="C3" s="147"/>
      <c r="D3" s="147"/>
      <c r="E3" s="147"/>
      <c r="F3" s="147"/>
      <c r="G3" s="147"/>
      <c r="H3" s="147"/>
    </row>
    <row r="4" spans="2:8" ht="15.75">
      <c r="B4" s="147" t="s">
        <v>167</v>
      </c>
      <c r="C4" s="147"/>
      <c r="D4" s="147"/>
      <c r="E4" s="147"/>
      <c r="F4" s="147"/>
      <c r="G4" s="147"/>
      <c r="H4" s="147"/>
    </row>
    <row r="5" spans="2:8" ht="15.75">
      <c r="B5" s="147" t="s">
        <v>15</v>
      </c>
      <c r="C5" s="147"/>
      <c r="D5" s="147"/>
      <c r="E5" s="147"/>
      <c r="F5" s="147"/>
      <c r="G5" s="147"/>
      <c r="H5" s="147"/>
    </row>
    <row r="7" spans="1:8" s="1" customFormat="1" ht="15">
      <c r="A7" s="2"/>
      <c r="D7" s="17" t="s">
        <v>0</v>
      </c>
      <c r="E7" s="17" t="s">
        <v>1</v>
      </c>
      <c r="F7" s="3"/>
      <c r="G7" s="17" t="s">
        <v>40</v>
      </c>
      <c r="H7" s="17" t="s">
        <v>41</v>
      </c>
    </row>
    <row r="8" spans="1:8" s="1" customFormat="1" ht="15">
      <c r="A8" s="18" t="s">
        <v>2</v>
      </c>
      <c r="B8" s="18" t="s">
        <v>3</v>
      </c>
      <c r="C8" s="18" t="s">
        <v>21</v>
      </c>
      <c r="D8" s="18" t="s">
        <v>4</v>
      </c>
      <c r="E8" s="18" t="s">
        <v>5</v>
      </c>
      <c r="F8" s="19" t="s">
        <v>6</v>
      </c>
      <c r="G8" s="19" t="s">
        <v>42</v>
      </c>
      <c r="H8" s="19" t="s">
        <v>43</v>
      </c>
    </row>
    <row r="9" spans="1:8" s="1" customFormat="1" ht="15">
      <c r="A9" s="2"/>
      <c r="B9" s="20" t="s">
        <v>7</v>
      </c>
      <c r="C9" s="20" t="s">
        <v>22</v>
      </c>
      <c r="D9" s="20" t="s">
        <v>8</v>
      </c>
      <c r="E9" s="20" t="s">
        <v>9</v>
      </c>
      <c r="F9" s="21" t="s">
        <v>10</v>
      </c>
      <c r="G9" s="21" t="s">
        <v>44</v>
      </c>
      <c r="H9" s="21" t="s">
        <v>45</v>
      </c>
    </row>
    <row r="10" spans="1:8" s="1" customFormat="1" ht="15">
      <c r="A10" s="2">
        <v>1</v>
      </c>
      <c r="B10" s="31" t="s">
        <v>34</v>
      </c>
      <c r="C10" s="20"/>
      <c r="D10" s="20"/>
      <c r="E10" s="20"/>
      <c r="F10" s="21"/>
      <c r="G10" s="21"/>
      <c r="H10" s="21"/>
    </row>
    <row r="11" spans="1:8" s="1" customFormat="1" ht="14.25">
      <c r="A11" s="2">
        <f>+A10+1</f>
        <v>2</v>
      </c>
      <c r="B11" s="25"/>
      <c r="C11" s="25" t="str">
        <f>+'V-K-1'!C11</f>
        <v>Consulting-Uncertain tax positions</v>
      </c>
      <c r="D11" s="4">
        <f>+'V-K-1'!D11</f>
        <v>9230000</v>
      </c>
      <c r="E11" s="5" t="str">
        <f>+'V-K-1'!E11</f>
        <v>Outside Services Employed</v>
      </c>
      <c r="F11" s="6">
        <f>+'V-K-1'!F11</f>
        <v>27000</v>
      </c>
      <c r="G11" s="6">
        <v>0</v>
      </c>
      <c r="H11" s="6">
        <f>+F11+G11</f>
        <v>27000</v>
      </c>
    </row>
    <row r="12" spans="1:8" s="1" customFormat="1" ht="14.25">
      <c r="A12" s="2">
        <f t="shared" si="0" ref="A12:A34">+A11+1</f>
        <v>3</v>
      </c>
      <c r="B12" s="25"/>
      <c r="C12" s="25" t="str">
        <f>+'V-K-1'!C12</f>
        <v>Annual Tax Return Review</v>
      </c>
      <c r="D12" s="4">
        <f>+'V-K-1'!D12</f>
        <v>9230000</v>
      </c>
      <c r="E12" s="5" t="str">
        <f>+'V-K-1'!E12</f>
        <v>Outside Services Employed</v>
      </c>
      <c r="F12" s="6">
        <f>+'V-K-1'!F12</f>
        <v>67250</v>
      </c>
      <c r="G12" s="6">
        <v>-4250</v>
      </c>
      <c r="H12" s="6">
        <f>+F12+G12</f>
        <v>63000</v>
      </c>
    </row>
    <row r="13" spans="1:8" s="1" customFormat="1" ht="14.25">
      <c r="A13" s="2">
        <f t="shared" si="0"/>
        <v>4</v>
      </c>
      <c r="B13" s="25"/>
      <c r="C13" s="25" t="str">
        <f>+'V-K-1'!C13</f>
        <v>Annual Corptax Access</v>
      </c>
      <c r="D13" s="4">
        <f>+'V-K-1'!D13</f>
        <v>9230000</v>
      </c>
      <c r="E13" s="5" t="str">
        <f>+'V-K-1'!E13</f>
        <v>Outside Services Employed</v>
      </c>
      <c r="F13" s="6">
        <f>+'V-K-1'!F13</f>
        <v>25750</v>
      </c>
      <c r="G13" s="6">
        <v>0</v>
      </c>
      <c r="H13" s="6">
        <f>+F13+G13</f>
        <v>25750</v>
      </c>
    </row>
    <row r="14" spans="1:8" s="1" customFormat="1" ht="15">
      <c r="A14" s="2">
        <f t="shared" si="0"/>
        <v>5</v>
      </c>
      <c r="B14" s="28" t="s">
        <v>20</v>
      </c>
      <c r="C14" s="28"/>
      <c r="D14" s="4"/>
      <c r="E14" s="5"/>
      <c r="F14" s="7">
        <f>SUM(F11:F13)</f>
        <v>120000</v>
      </c>
      <c r="G14" s="7">
        <f>SUM(G11:G13)</f>
        <v>-4250</v>
      </c>
      <c r="H14" s="7">
        <f>SUM(H11:H13)</f>
        <v>115750</v>
      </c>
    </row>
    <row r="15" spans="1:8" s="1" customFormat="1" ht="15">
      <c r="A15" s="2">
        <f t="shared" si="0"/>
        <v>6</v>
      </c>
      <c r="B15" s="31" t="s">
        <v>35</v>
      </c>
      <c r="C15" s="25"/>
      <c r="D15" s="4"/>
      <c r="E15" s="5"/>
      <c r="F15" s="6"/>
      <c r="G15" s="6"/>
      <c r="H15" s="6"/>
    </row>
    <row r="16" spans="1:8" s="1" customFormat="1" ht="14.25">
      <c r="A16" s="2">
        <f t="shared" si="0"/>
        <v>7</v>
      </c>
      <c r="B16" s="25"/>
      <c r="C16" s="25" t="str">
        <f>+'V-K-1'!C16</f>
        <v>Ultimate Kronos Group Inc</v>
      </c>
      <c r="D16" s="4">
        <f>+'V-K-1'!D16</f>
        <v>9210000</v>
      </c>
      <c r="E16" s="5" t="str">
        <f>+'V-K-1'!E16</f>
        <v>Office Supplies and Expenses</v>
      </c>
      <c r="F16" s="6">
        <f>+'V-K-1'!F16</f>
        <v>34</v>
      </c>
      <c r="G16" s="6">
        <v>0</v>
      </c>
      <c r="H16" s="6">
        <f>+F16+G16</f>
        <v>34</v>
      </c>
    </row>
    <row r="17" spans="1:9" s="1" customFormat="1" ht="14.25">
      <c r="A17" s="2">
        <f t="shared" si="0"/>
        <v>8</v>
      </c>
      <c r="B17" s="25"/>
      <c r="C17" s="25"/>
      <c r="D17" s="4">
        <f>+'V-K-1'!D17</f>
        <v>9230000</v>
      </c>
      <c r="E17" s="5" t="str">
        <f>+'V-K-1'!E17</f>
        <v>Outside Services Employed</v>
      </c>
      <c r="F17" s="6">
        <f>+'V-K-1'!F17</f>
        <v>2896938</v>
      </c>
      <c r="G17" s="6">
        <v>-382923</v>
      </c>
      <c r="H17" s="6">
        <f>+F17+G17</f>
        <v>2514015</v>
      </c>
      <c r="I17" s="33"/>
    </row>
    <row r="18" spans="1:8" s="1" customFormat="1" ht="15">
      <c r="A18" s="2">
        <f t="shared" si="0"/>
        <v>9</v>
      </c>
      <c r="B18" s="28" t="s">
        <v>29</v>
      </c>
      <c r="C18" s="28"/>
      <c r="D18" s="10"/>
      <c r="E18" s="8"/>
      <c r="F18" s="9">
        <f>SUM(F16:F17)</f>
        <v>2896972</v>
      </c>
      <c r="G18" s="9">
        <f>SUM(G16:G17)</f>
        <v>-382923</v>
      </c>
      <c r="H18" s="9">
        <f>SUM(H16:H17)</f>
        <v>2514049</v>
      </c>
    </row>
    <row r="19" spans="1:8" s="1" customFormat="1" ht="14.25">
      <c r="A19" s="2">
        <f t="shared" si="0"/>
        <v>10</v>
      </c>
      <c r="B19" s="27"/>
      <c r="C19" s="25" t="str">
        <f>+'V-K-1'!C19</f>
        <v>Veritas Technologies LLC</v>
      </c>
      <c r="D19" s="4">
        <f>+'V-K-1'!D19</f>
        <v>9230000</v>
      </c>
      <c r="E19" s="5" t="str">
        <f>+'V-K-1'!E19</f>
        <v>Outside Services Employed</v>
      </c>
      <c r="F19" s="6">
        <f>+'V-K-1'!F19</f>
        <v>693846</v>
      </c>
      <c r="G19" s="12">
        <f>111+22028</f>
        <v>22139</v>
      </c>
      <c r="H19" s="6">
        <f>+F19+G19</f>
        <v>715985</v>
      </c>
    </row>
    <row r="20" spans="1:9" s="1" customFormat="1" ht="14.25">
      <c r="A20" s="2">
        <f t="shared" si="0"/>
        <v>11</v>
      </c>
      <c r="B20" s="27"/>
      <c r="C20" s="25"/>
      <c r="D20" s="4">
        <f>+'V-K-1'!D20</f>
        <v>1070000</v>
      </c>
      <c r="E20" s="5" t="str">
        <f>+'V-K-1'!E20</f>
        <v>Construction Work in Progress</v>
      </c>
      <c r="F20" s="6">
        <f>+'V-K-1'!F20</f>
        <v>45700</v>
      </c>
      <c r="G20" s="12">
        <v>0</v>
      </c>
      <c r="H20" s="6">
        <f>+F20+G20</f>
        <v>45700</v>
      </c>
      <c r="I20" s="33"/>
    </row>
    <row r="21" spans="1:8" s="1" customFormat="1" ht="15">
      <c r="A21" s="2">
        <f t="shared" si="0"/>
        <v>12</v>
      </c>
      <c r="B21" s="26" t="s">
        <v>16</v>
      </c>
      <c r="C21" s="26"/>
      <c r="D21" s="10"/>
      <c r="E21" s="11"/>
      <c r="F21" s="9">
        <f>+F19+F20</f>
        <v>739546</v>
      </c>
      <c r="G21" s="9">
        <f>+G19</f>
        <v>22139</v>
      </c>
      <c r="H21" s="9">
        <f>+H19+H20</f>
        <v>761685</v>
      </c>
    </row>
    <row r="22" spans="1:8" s="1" customFormat="1" ht="15">
      <c r="A22" s="2">
        <f t="shared" si="0"/>
        <v>13</v>
      </c>
      <c r="B22" s="32" t="s">
        <v>36</v>
      </c>
      <c r="C22" s="26"/>
      <c r="D22" s="10"/>
      <c r="E22" s="8"/>
      <c r="F22" s="9"/>
      <c r="G22" s="9"/>
      <c r="H22" s="9"/>
    </row>
    <row r="23" spans="1:8" s="1" customFormat="1" ht="14.25">
      <c r="A23" s="2">
        <f t="shared" si="0"/>
        <v>14</v>
      </c>
      <c r="B23" s="27"/>
      <c r="C23" s="25" t="str">
        <f>+'V-K-1'!C23</f>
        <v>Sharyland NTS</v>
      </c>
      <c r="D23" s="4">
        <f>+'V-K-1'!D23</f>
        <v>5650000</v>
      </c>
      <c r="E23" s="5" t="str">
        <f>+'V-K-1'!E23</f>
        <v>Trans Exp - Electricity by Others</v>
      </c>
      <c r="F23" s="6">
        <f>+'V-K-1'!F23</f>
        <v>9498427</v>
      </c>
      <c r="G23" s="12">
        <f>+H23-F23</f>
        <v>5119968</v>
      </c>
      <c r="H23" s="6">
        <v>14618395</v>
      </c>
    </row>
    <row r="24" spans="1:8" s="1" customFormat="1" ht="15">
      <c r="A24" s="2">
        <f t="shared" si="0"/>
        <v>15</v>
      </c>
      <c r="B24" s="26" t="s">
        <v>208</v>
      </c>
      <c r="C24" s="26"/>
      <c r="D24" s="10"/>
      <c r="E24" s="8"/>
      <c r="F24" s="9">
        <f>+F23</f>
        <v>9498427</v>
      </c>
      <c r="G24" s="9">
        <f>+G23</f>
        <v>5119968</v>
      </c>
      <c r="H24" s="9">
        <f>+H23</f>
        <v>14618395</v>
      </c>
    </row>
    <row r="25" spans="1:8" s="1" customFormat="1" ht="14.25">
      <c r="A25" s="2">
        <f t="shared" si="0"/>
        <v>16</v>
      </c>
      <c r="B25" s="25"/>
      <c r="C25" s="25" t="str">
        <f>+'V-K-1'!C25</f>
        <v>Oncor NTU NTS</v>
      </c>
      <c r="D25" s="4">
        <f>+'V-K-1'!D25</f>
        <v>5650000</v>
      </c>
      <c r="E25" s="5" t="str">
        <f>+'V-K-1'!E25</f>
        <v>Trans Exp - Electricity by Others</v>
      </c>
      <c r="F25" s="6">
        <f>+'V-K-1'!F25</f>
        <v>80434328</v>
      </c>
      <c r="G25" s="13">
        <f>+H25-F25</f>
        <v>-18507479</v>
      </c>
      <c r="H25" s="6">
        <v>61926849</v>
      </c>
    </row>
    <row r="26" spans="1:9" s="1" customFormat="1" ht="14.25">
      <c r="A26" s="2">
        <f t="shared" si="0"/>
        <v>17</v>
      </c>
      <c r="B26" s="25"/>
      <c r="C26" s="25" t="str">
        <f>+'V-K-1'!C26</f>
        <v>Oncor NTU WDSS</v>
      </c>
      <c r="D26" s="4">
        <f>+'V-K-1'!D26</f>
        <v>1824300</v>
      </c>
      <c r="E26" s="5" t="str">
        <f>+'V-K-1'!E26</f>
        <v>Reg Asset - WDSS</v>
      </c>
      <c r="F26" s="6">
        <f>+'V-K-1'!F26</f>
        <v>20879874</v>
      </c>
      <c r="G26" s="13">
        <f>+H26-F26</f>
        <v>-7584188</v>
      </c>
      <c r="H26" s="12">
        <v>13295686</v>
      </c>
      <c r="I26" s="33" t="s">
        <v>46</v>
      </c>
    </row>
    <row r="27" spans="1:8" s="1" customFormat="1" ht="15">
      <c r="A27" s="2">
        <f t="shared" si="0"/>
        <v>18</v>
      </c>
      <c r="B27" s="28" t="s">
        <v>209</v>
      </c>
      <c r="C27" s="28"/>
      <c r="D27" s="4"/>
      <c r="E27" s="5"/>
      <c r="F27" s="15">
        <f>+F25+F26</f>
        <v>101314202</v>
      </c>
      <c r="G27" s="15">
        <f>+G25+G26</f>
        <v>-26091667</v>
      </c>
      <c r="H27" s="15">
        <f>+H25+H26</f>
        <v>75222535</v>
      </c>
    </row>
    <row r="28" spans="1:8" s="1" customFormat="1" ht="15">
      <c r="A28" s="2">
        <f t="shared" si="0"/>
        <v>19</v>
      </c>
      <c r="B28" s="31" t="s">
        <v>37</v>
      </c>
      <c r="C28" s="28"/>
      <c r="D28" s="4"/>
      <c r="E28" s="5"/>
      <c r="F28" s="15"/>
      <c r="G28" s="15"/>
      <c r="H28" s="15"/>
    </row>
    <row r="29" spans="1:8" s="1" customFormat="1" ht="15">
      <c r="A29" s="2">
        <f t="shared" si="0"/>
        <v>20</v>
      </c>
      <c r="B29" s="31"/>
      <c r="C29" s="25" t="str">
        <f>+'V-K-1'!C29</f>
        <v>Oncor Cares Foundation</v>
      </c>
      <c r="D29" s="4">
        <f>+'V-K-1'!D29</f>
        <v>9210000</v>
      </c>
      <c r="E29" s="5" t="str">
        <f>+'V-K-1'!E29</f>
        <v>Office Supplies and Expenses</v>
      </c>
      <c r="F29" s="6">
        <f>+'V-K-1'!F29</f>
        <v>37</v>
      </c>
      <c r="G29" s="15">
        <v>0</v>
      </c>
      <c r="H29" s="13">
        <f>+F29+G29</f>
        <v>37</v>
      </c>
    </row>
    <row r="30" spans="1:8" s="1" customFormat="1" ht="15">
      <c r="A30" s="2">
        <f t="shared" si="0"/>
        <v>21</v>
      </c>
      <c r="B30" s="31"/>
      <c r="C30" s="25"/>
      <c r="D30" s="4">
        <f>+'V-K-1'!D30</f>
        <v>9302000</v>
      </c>
      <c r="E30" s="5" t="str">
        <f>+'V-K-1'!E30</f>
        <v>Misc. General Expense</v>
      </c>
      <c r="F30" s="6">
        <f>+'V-K-1'!F30</f>
        <v>26503</v>
      </c>
      <c r="G30" s="15">
        <v>0</v>
      </c>
      <c r="H30" s="13">
        <f>+F30+G30</f>
        <v>26503</v>
      </c>
    </row>
    <row r="31" spans="1:8" s="1" customFormat="1" ht="14.25">
      <c r="A31" s="2">
        <f t="shared" si="0"/>
        <v>22</v>
      </c>
      <c r="B31" s="25"/>
      <c r="C31" s="25"/>
      <c r="D31" s="4">
        <f>+'V-K-1'!D31</f>
        <v>9302000</v>
      </c>
      <c r="E31" s="5" t="str">
        <f>+'V-K-1'!E31</f>
        <v>Misc. General Exp. (contribution)</v>
      </c>
      <c r="F31" s="6">
        <f>+'V-K-1'!F31</f>
        <v>250000</v>
      </c>
      <c r="G31" s="13">
        <v>0</v>
      </c>
      <c r="H31" s="6">
        <f>+F31+G31</f>
        <v>250000</v>
      </c>
    </row>
    <row r="32" spans="1:8" s="1" customFormat="1" ht="15">
      <c r="A32" s="2">
        <f t="shared" si="0"/>
        <v>23</v>
      </c>
      <c r="B32" s="28" t="s">
        <v>47</v>
      </c>
      <c r="C32" s="28"/>
      <c r="D32" s="4"/>
      <c r="E32" s="5"/>
      <c r="F32" s="15">
        <f>SUM(F29:F31)</f>
        <v>276540</v>
      </c>
      <c r="G32" s="15">
        <f>+G31</f>
        <v>0</v>
      </c>
      <c r="H32" s="15">
        <f>SUM(H29:H31)</f>
        <v>276540</v>
      </c>
    </row>
    <row r="33" spans="1:8" s="1" customFormat="1" ht="14.25">
      <c r="A33" s="2">
        <f t="shared" si="0"/>
        <v>24</v>
      </c>
      <c r="B33" s="4"/>
      <c r="C33" s="4"/>
      <c r="D33" s="4"/>
      <c r="E33" s="5"/>
      <c r="F33" s="13"/>
      <c r="G33" s="13"/>
      <c r="H33" s="13"/>
    </row>
    <row r="34" spans="1:8" s="1" customFormat="1" ht="15">
      <c r="A34" s="2">
        <f t="shared" si="0"/>
        <v>25</v>
      </c>
      <c r="B34" s="8" t="s">
        <v>12</v>
      </c>
      <c r="C34" s="8"/>
      <c r="D34" s="4"/>
      <c r="E34" s="5"/>
      <c r="F34" s="15">
        <f>+F14+F18+F21+F24+F27+F32</f>
        <v>114845687</v>
      </c>
      <c r="G34" s="15">
        <f>+G14+G18+G21+G24+G27+G32</f>
        <v>-21336733</v>
      </c>
      <c r="H34" s="15">
        <f>+H14+H18+H21+H24+H27+H32</f>
        <v>93508954</v>
      </c>
    </row>
    <row r="35" spans="1:6" s="1" customFormat="1" ht="14.25">
      <c r="A35" s="2"/>
      <c r="D35" s="29"/>
      <c r="F35" s="16"/>
    </row>
    <row r="36" spans="1:4" ht="15">
      <c r="A36" s="23"/>
      <c r="B36" s="1" t="s">
        <v>226</v>
      </c>
      <c r="D36" s="30"/>
    </row>
    <row r="37" spans="1:8" ht="29.25" customHeight="1">
      <c r="A37" s="23"/>
      <c r="B37" s="148" t="s">
        <v>244</v>
      </c>
      <c r="C37" s="148"/>
      <c r="D37" s="148"/>
      <c r="E37" s="148"/>
      <c r="F37" s="148"/>
      <c r="G37" s="148"/>
      <c r="H37" s="148"/>
    </row>
  </sheetData>
  <mergeCells count="6">
    <mergeCell ref="B37:H37"/>
    <mergeCell ref="B1:H1"/>
    <mergeCell ref="B2:H2"/>
    <mergeCell ref="B3:H3"/>
    <mergeCell ref="B4:H4"/>
    <mergeCell ref="B5:H5"/>
  </mergeCells>
  <printOptions horizontalCentered="1"/>
  <pageMargins left="0.35" right="0.35" top="1.5" bottom="0.5" header="0.3" footer="0.3"/>
  <pageSetup orientation="landscape" scale="72" r:id="rId1"/>
  <headerFooter>
    <oddHeader>&amp;R
Schedule V-K-2
Page 1 of 1</oddHead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dimension ref="A1:E18"/>
  <sheetViews>
    <sheetView view="pageBreakPreview" zoomScaleNormal="90" zoomScaleSheetLayoutView="100" workbookViewId="0" topLeftCell="A1">
      <selection pane="topLeft" activeCell="F19" sqref="F19"/>
    </sheetView>
  </sheetViews>
  <sheetFormatPr defaultRowHeight="15"/>
  <cols>
    <col min="1" max="1" width="9.71428571428571" style="22" customWidth="1"/>
    <col min="2" max="2" width="14.8571428571429" style="22" customWidth="1"/>
    <col min="3" max="3" width="40.2857142857143" style="22" customWidth="1"/>
    <col min="4" max="4" width="15" style="22" customWidth="1"/>
    <col min="5" max="5" width="19" style="23" customWidth="1"/>
    <col min="6" max="16384" width="9.14285714285714" style="22"/>
  </cols>
  <sheetData>
    <row r="1" spans="2:5" ht="15.75">
      <c r="B1" s="147" t="s">
        <v>166</v>
      </c>
      <c r="C1" s="147"/>
      <c r="D1" s="147"/>
      <c r="E1" s="147"/>
    </row>
    <row r="2" spans="2:5" ht="15.75">
      <c r="B2" s="147" t="s">
        <v>11</v>
      </c>
      <c r="C2" s="147"/>
      <c r="D2" s="147"/>
      <c r="E2" s="147"/>
    </row>
    <row r="3" spans="2:5" ht="15.75">
      <c r="B3" s="147" t="s">
        <v>164</v>
      </c>
      <c r="C3" s="147"/>
      <c r="D3" s="147"/>
      <c r="E3" s="147"/>
    </row>
    <row r="4" spans="2:5" ht="15.75">
      <c r="B4" s="147" t="s">
        <v>167</v>
      </c>
      <c r="C4" s="147"/>
      <c r="D4" s="147"/>
      <c r="E4" s="147"/>
    </row>
    <row r="5" spans="2:5" ht="15.75">
      <c r="B5" s="147" t="s">
        <v>49</v>
      </c>
      <c r="C5" s="147"/>
      <c r="D5" s="147"/>
      <c r="E5" s="147"/>
    </row>
    <row r="7" spans="4:5" ht="15.75">
      <c r="D7" s="48"/>
      <c r="E7" s="48"/>
    </row>
    <row r="8" spans="1:5" s="1" customFormat="1" ht="15">
      <c r="A8" s="58"/>
      <c r="B8" s="58"/>
      <c r="C8" s="58"/>
      <c r="D8" s="114"/>
      <c r="E8" s="58"/>
    </row>
    <row r="9" spans="1:5" s="1" customFormat="1" ht="15">
      <c r="A9" s="51"/>
      <c r="B9" s="58"/>
      <c r="C9" s="58"/>
      <c r="D9" s="58"/>
      <c r="E9" s="58"/>
    </row>
    <row r="10" spans="1:5" s="1" customFormat="1" ht="14.25">
      <c r="A10" s="53"/>
      <c r="B10" s="139" t="s">
        <v>165</v>
      </c>
      <c r="C10" s="55"/>
      <c r="D10" s="56"/>
      <c r="E10" s="57"/>
    </row>
    <row r="11" spans="1:5" s="1" customFormat="1" ht="15">
      <c r="A11" s="53"/>
      <c r="B11" s="54"/>
      <c r="C11" s="58"/>
      <c r="D11" s="138"/>
      <c r="E11" s="57"/>
    </row>
    <row r="12" spans="1:5" s="1" customFormat="1" ht="15">
      <c r="A12" s="53"/>
      <c r="B12" s="58"/>
      <c r="C12" s="54"/>
      <c r="D12" s="56"/>
      <c r="E12" s="58"/>
    </row>
    <row r="13" spans="1:5" s="1" customFormat="1" ht="14.25">
      <c r="A13" s="30"/>
      <c r="B13" s="54"/>
      <c r="C13" s="30"/>
      <c r="D13" s="132"/>
      <c r="E13" s="54"/>
    </row>
    <row r="14" spans="1:5" s="1" customFormat="1" ht="14.25">
      <c r="A14" s="30"/>
      <c r="B14" s="54"/>
      <c r="C14" s="30"/>
      <c r="D14" s="132"/>
      <c r="E14" s="54"/>
    </row>
    <row r="15" spans="1:5" s="1" customFormat="1" ht="14.25">
      <c r="A15" s="30"/>
      <c r="B15" s="54"/>
      <c r="C15" s="30"/>
      <c r="D15" s="61"/>
      <c r="E15" s="2"/>
    </row>
    <row r="16" spans="1:4" ht="15.75">
      <c r="A16" s="62"/>
      <c r="B16" s="63"/>
      <c r="C16" s="62"/>
      <c r="D16" s="64"/>
    </row>
    <row r="17" spans="1:5" ht="80.25" customHeight="1">
      <c r="A17" s="62"/>
      <c r="B17" s="149"/>
      <c r="C17" s="149"/>
      <c r="D17" s="149"/>
      <c r="E17" s="149"/>
    </row>
    <row r="18" spans="1:4" ht="15">
      <c r="A18" s="62"/>
      <c r="B18" s="62"/>
      <c r="C18" s="62"/>
      <c r="D18" s="64"/>
    </row>
  </sheetData>
  <mergeCells count="6">
    <mergeCell ref="B17:E17"/>
    <mergeCell ref="B1:E1"/>
    <mergeCell ref="B2:E2"/>
    <mergeCell ref="B3:E3"/>
    <mergeCell ref="B4:E4"/>
    <mergeCell ref="B5:E5"/>
  </mergeCells>
  <printOptions horizontalCentered="1"/>
  <pageMargins left="0.35" right="0.35" top="1.5" bottom="0.5" header="0.3" footer="0.3"/>
  <pageSetup orientation="landscape" scale="85" r:id="rId1"/>
  <headerFooter>
    <oddHeader>&amp;R
Schedule V-K-3
Page 1 of 1</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dimension ref="A1:C25"/>
  <sheetViews>
    <sheetView view="pageBreakPreview" zoomScaleNormal="90" zoomScaleSheetLayoutView="100" workbookViewId="0" topLeftCell="A1">
      <selection pane="topLeft" activeCell="A6" sqref="A6"/>
    </sheetView>
  </sheetViews>
  <sheetFormatPr defaultRowHeight="15"/>
  <cols>
    <col min="1" max="1" width="22.2857142857143" style="22" customWidth="1"/>
    <col min="2" max="2" width="42.4285714285714" style="22" customWidth="1"/>
    <col min="3" max="3" width="73.4285714285714" style="22" customWidth="1"/>
    <col min="4" max="16384" width="9.14285714285714" style="22"/>
  </cols>
  <sheetData>
    <row r="1" spans="1:3" ht="15.75">
      <c r="A1" s="147" t="s">
        <v>166</v>
      </c>
      <c r="B1" s="147"/>
      <c r="C1" s="147"/>
    </row>
    <row r="2" spans="1:3" ht="15.75">
      <c r="A2" s="147" t="s">
        <v>11</v>
      </c>
      <c r="B2" s="147"/>
      <c r="C2" s="147"/>
    </row>
    <row r="3" spans="1:3" ht="15.75">
      <c r="A3" s="147" t="s">
        <v>48</v>
      </c>
      <c r="B3" s="147"/>
      <c r="C3" s="147"/>
    </row>
    <row r="4" spans="1:3" ht="15.75">
      <c r="A4" s="147" t="s">
        <v>167</v>
      </c>
      <c r="B4" s="147"/>
      <c r="C4" s="147"/>
    </row>
    <row r="5" spans="1:3" ht="15.75">
      <c r="A5" s="147" t="s">
        <v>49</v>
      </c>
      <c r="B5" s="147"/>
      <c r="C5" s="147"/>
    </row>
    <row r="7" spans="1:3" s="1" customFormat="1" ht="15">
      <c r="A7" s="18" t="s">
        <v>50</v>
      </c>
      <c r="B7" s="18" t="s">
        <v>3</v>
      </c>
      <c r="C7" s="18" t="s">
        <v>51</v>
      </c>
    </row>
    <row r="8" spans="1:3" s="1" customFormat="1" ht="20.25" customHeight="1">
      <c r="A8" s="34" t="s">
        <v>52</v>
      </c>
      <c r="B8" s="18"/>
      <c r="C8" s="18"/>
    </row>
    <row r="9" spans="1:3" s="1" customFormat="1" ht="59.25" customHeight="1">
      <c r="A9" s="35" t="s">
        <v>53</v>
      </c>
      <c r="B9" s="36" t="s">
        <v>54</v>
      </c>
      <c r="C9" s="37" t="s">
        <v>55</v>
      </c>
    </row>
    <row r="10" spans="1:3" s="1" customFormat="1" ht="30.75" customHeight="1">
      <c r="A10" s="38"/>
      <c r="B10" s="36" t="s">
        <v>56</v>
      </c>
      <c r="C10" s="37" t="s">
        <v>57</v>
      </c>
    </row>
    <row r="11" spans="1:3" s="1" customFormat="1" ht="47.25" customHeight="1">
      <c r="A11" s="39"/>
      <c r="B11" s="36" t="s">
        <v>58</v>
      </c>
      <c r="C11" s="37" t="s">
        <v>59</v>
      </c>
    </row>
    <row r="12" spans="1:3" s="1" customFormat="1" ht="20.25" customHeight="1">
      <c r="A12" s="40" t="s">
        <v>60</v>
      </c>
      <c r="B12" s="41"/>
      <c r="C12" s="42"/>
    </row>
    <row r="13" spans="1:3" s="1" customFormat="1" ht="75" customHeight="1">
      <c r="A13" s="36" t="s">
        <v>28</v>
      </c>
      <c r="B13" s="43" t="s">
        <v>61</v>
      </c>
      <c r="C13" s="37" t="s">
        <v>205</v>
      </c>
    </row>
    <row r="14" spans="1:3" s="1" customFormat="1" ht="42.75" customHeight="1">
      <c r="A14" s="36" t="s">
        <v>30</v>
      </c>
      <c r="B14" s="43" t="s">
        <v>61</v>
      </c>
      <c r="C14" s="37" t="s">
        <v>62</v>
      </c>
    </row>
    <row r="15" spans="1:3" s="1" customFormat="1" ht="20.25" customHeight="1">
      <c r="A15" s="40" t="s">
        <v>63</v>
      </c>
      <c r="B15" s="41"/>
      <c r="C15" s="42"/>
    </row>
    <row r="16" spans="1:3" s="1" customFormat="1" ht="36" customHeight="1">
      <c r="A16" s="36" t="s">
        <v>212</v>
      </c>
      <c r="B16" s="44" t="s">
        <v>65</v>
      </c>
      <c r="C16" s="37" t="s">
        <v>66</v>
      </c>
    </row>
    <row r="17" spans="1:3" s="1" customFormat="1" ht="33.75" customHeight="1">
      <c r="A17" s="35" t="s">
        <v>213</v>
      </c>
      <c r="B17" s="37" t="s">
        <v>65</v>
      </c>
      <c r="C17" s="37" t="s">
        <v>66</v>
      </c>
    </row>
    <row r="18" spans="1:3" s="1" customFormat="1" ht="51" customHeight="1">
      <c r="A18" s="38"/>
      <c r="B18" s="45" t="s">
        <v>67</v>
      </c>
      <c r="C18" s="46" t="s">
        <v>68</v>
      </c>
    </row>
    <row r="19" spans="1:3" s="1" customFormat="1" ht="20.25" customHeight="1">
      <c r="A19" s="40" t="s">
        <v>69</v>
      </c>
      <c r="B19" s="41"/>
      <c r="C19" s="42"/>
    </row>
    <row r="20" spans="1:3" s="1" customFormat="1" ht="34.5" customHeight="1">
      <c r="A20" s="36" t="s">
        <v>38</v>
      </c>
      <c r="B20" s="47" t="s">
        <v>70</v>
      </c>
      <c r="C20" s="37" t="s">
        <v>71</v>
      </c>
    </row>
    <row r="21" spans="1:1" s="1" customFormat="1" ht="4.5" customHeight="1">
      <c r="A21" s="2"/>
    </row>
    <row r="22" spans="1:1" ht="15">
      <c r="A22" s="23"/>
    </row>
    <row r="23" spans="1:1" ht="15">
      <c r="A23" s="23"/>
    </row>
    <row r="24" spans="1:1" ht="15">
      <c r="A24" s="23"/>
    </row>
    <row r="25" spans="1:1" ht="15">
      <c r="A25" s="23"/>
    </row>
  </sheetData>
  <mergeCells count="5">
    <mergeCell ref="A1:C1"/>
    <mergeCell ref="A2:C2"/>
    <mergeCell ref="A3:C3"/>
    <mergeCell ref="A4:C4"/>
    <mergeCell ref="A5:C5"/>
  </mergeCells>
  <printOptions horizontalCentered="1"/>
  <pageMargins left="0.35" right="0.35" top="1.5" bottom="0.5" header="0.3" footer="0.3"/>
  <pageSetup orientation="landscape" scale="75" r:id="rId1"/>
  <headerFooter>
    <oddHeader>&amp;R
Schedule V-K-4
Page 1 of 1</oddHead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dimension ref="A1:H18"/>
  <sheetViews>
    <sheetView view="pageBreakPreview" zoomScaleNormal="90" zoomScaleSheetLayoutView="100" workbookViewId="0" topLeftCell="A2">
      <selection pane="topLeft" activeCell="B6" sqref="B6"/>
    </sheetView>
  </sheetViews>
  <sheetFormatPr defaultRowHeight="15"/>
  <cols>
    <col min="1" max="1" width="9.71428571428571" style="22" customWidth="1"/>
    <col min="2" max="2" width="14.8571428571429" style="22" customWidth="1"/>
    <col min="3" max="3" width="40.2857142857143" style="22" customWidth="1"/>
    <col min="4" max="4" width="15" style="22" customWidth="1"/>
    <col min="5" max="5" width="19" style="23" customWidth="1"/>
    <col min="6" max="16384" width="9.14285714285714" style="22"/>
  </cols>
  <sheetData>
    <row r="1" spans="2:5" ht="15.75">
      <c r="B1" s="147" t="s">
        <v>166</v>
      </c>
      <c r="C1" s="147"/>
      <c r="D1" s="147"/>
      <c r="E1" s="147"/>
    </row>
    <row r="2" spans="2:5" ht="15.75">
      <c r="B2" s="147" t="s">
        <v>11</v>
      </c>
      <c r="C2" s="147"/>
      <c r="D2" s="147"/>
      <c r="E2" s="147"/>
    </row>
    <row r="3" spans="2:5" ht="15.75">
      <c r="B3" s="147" t="s">
        <v>72</v>
      </c>
      <c r="C3" s="147"/>
      <c r="D3" s="147"/>
      <c r="E3" s="147"/>
    </row>
    <row r="4" spans="2:5" ht="15.75">
      <c r="B4" s="147" t="s">
        <v>167</v>
      </c>
      <c r="C4" s="147"/>
      <c r="D4" s="147"/>
      <c r="E4" s="147"/>
    </row>
    <row r="5" spans="2:8" ht="15.75">
      <c r="B5" s="147" t="s">
        <v>15</v>
      </c>
      <c r="C5" s="147"/>
      <c r="D5" s="147"/>
      <c r="E5" s="147"/>
      <c r="F5" s="146"/>
      <c r="G5" s="146"/>
      <c r="H5" s="146"/>
    </row>
    <row r="7" spans="4:5" ht="15.75">
      <c r="D7" s="48" t="s">
        <v>6</v>
      </c>
      <c r="E7" s="48" t="s">
        <v>73</v>
      </c>
    </row>
    <row r="8" spans="1:5" s="1" customFormat="1" ht="15">
      <c r="A8" s="49" t="s">
        <v>2</v>
      </c>
      <c r="B8" s="49" t="s">
        <v>74</v>
      </c>
      <c r="C8" s="49" t="s">
        <v>75</v>
      </c>
      <c r="D8" s="50" t="s">
        <v>76</v>
      </c>
      <c r="E8" s="49" t="s">
        <v>77</v>
      </c>
    </row>
    <row r="9" spans="1:5" s="1" customFormat="1" ht="15">
      <c r="A9" s="51"/>
      <c r="B9" s="52" t="s">
        <v>7</v>
      </c>
      <c r="C9" s="52" t="s">
        <v>22</v>
      </c>
      <c r="D9" s="52" t="s">
        <v>8</v>
      </c>
      <c r="E9" s="52" t="s">
        <v>9</v>
      </c>
    </row>
    <row r="10" spans="1:5" s="1" customFormat="1" ht="14.25">
      <c r="A10" s="53">
        <v>1</v>
      </c>
      <c r="B10" s="54" t="s">
        <v>189</v>
      </c>
      <c r="C10" s="55" t="s">
        <v>241</v>
      </c>
      <c r="D10" s="56">
        <v>45700</v>
      </c>
      <c r="E10" s="144" t="s">
        <v>204</v>
      </c>
    </row>
    <row r="11" spans="1:5" s="1" customFormat="1" ht="15">
      <c r="A11" s="53">
        <f>+A10+1</f>
        <v>2</v>
      </c>
      <c r="B11" s="54"/>
      <c r="C11" s="58"/>
      <c r="D11" s="59"/>
      <c r="E11" s="57"/>
    </row>
    <row r="12" spans="1:5" s="1" customFormat="1" ht="15.75" thickBot="1">
      <c r="A12" s="53">
        <f>+A11+1</f>
        <v>3</v>
      </c>
      <c r="B12" s="58"/>
      <c r="C12" s="54" t="s">
        <v>6</v>
      </c>
      <c r="D12" s="60">
        <f>+D10+D11</f>
        <v>45700</v>
      </c>
      <c r="E12" s="58"/>
    </row>
    <row r="13" spans="1:5" s="1" customFormat="1" ht="15" thickTop="1">
      <c r="A13" s="30"/>
      <c r="B13" s="54"/>
      <c r="C13" s="30"/>
      <c r="D13" s="61"/>
      <c r="E13" s="2"/>
    </row>
    <row r="14" spans="1:5" s="1" customFormat="1" ht="14.25">
      <c r="A14" s="30"/>
      <c r="B14" s="54"/>
      <c r="C14" s="30"/>
      <c r="D14" s="61"/>
      <c r="E14" s="2"/>
    </row>
    <row r="15" spans="1:5" s="1" customFormat="1" ht="14.25">
      <c r="A15" s="30"/>
      <c r="B15" s="54"/>
      <c r="C15" s="30"/>
      <c r="D15" s="61"/>
      <c r="E15" s="2"/>
    </row>
    <row r="16" spans="1:4" ht="15.75">
      <c r="A16" s="62"/>
      <c r="B16" s="63" t="s">
        <v>78</v>
      </c>
      <c r="C16" s="62"/>
      <c r="D16" s="64"/>
    </row>
    <row r="17" spans="1:5" ht="80.25" customHeight="1">
      <c r="A17" s="62"/>
      <c r="B17" s="149" t="s">
        <v>206</v>
      </c>
      <c r="C17" s="149"/>
      <c r="D17" s="149"/>
      <c r="E17" s="149"/>
    </row>
    <row r="18" spans="1:4" ht="15">
      <c r="A18" s="62"/>
      <c r="B18" s="62"/>
      <c r="C18" s="62"/>
      <c r="D18" s="64"/>
    </row>
  </sheetData>
  <mergeCells count="6">
    <mergeCell ref="B17:E17"/>
    <mergeCell ref="B1:E1"/>
    <mergeCell ref="B2:E2"/>
    <mergeCell ref="B3:E3"/>
    <mergeCell ref="B4:E4"/>
    <mergeCell ref="B5:E5"/>
  </mergeCells>
  <printOptions horizontalCentered="1"/>
  <pageMargins left="0.35" right="0.35" top="1.5" bottom="0.5" header="0.3" footer="0.3"/>
  <pageSetup orientation="landscape" scale="85" r:id="rId1"/>
  <headerFooter>
    <oddHeader>&amp;R
Schedule V-K-5
Page 1 of 1</oddHead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dimension ref="A1:D32"/>
  <sheetViews>
    <sheetView view="pageBreakPreview" zoomScaleNormal="90" zoomScaleSheetLayoutView="100" workbookViewId="0" topLeftCell="A1">
      <selection pane="topLeft" activeCell="D25" sqref="D25"/>
    </sheetView>
  </sheetViews>
  <sheetFormatPr defaultRowHeight="15"/>
  <cols>
    <col min="1" max="1" width="9.14285714285714" style="22"/>
    <col min="2" max="2" width="42.7142857142857" style="22" customWidth="1"/>
    <col min="3" max="3" width="51" style="22" customWidth="1"/>
    <col min="4" max="4" width="15.8571428571429" style="24" customWidth="1"/>
    <col min="5" max="16384" width="9.14285714285714" style="22"/>
  </cols>
  <sheetData>
    <row r="1" spans="2:4" ht="15.75">
      <c r="B1" s="147" t="s">
        <v>166</v>
      </c>
      <c r="C1" s="147"/>
      <c r="D1" s="147"/>
    </row>
    <row r="2" spans="2:4" ht="15.75">
      <c r="B2" s="147" t="s">
        <v>11</v>
      </c>
      <c r="C2" s="147"/>
      <c r="D2" s="147"/>
    </row>
    <row r="3" spans="2:4" ht="15.75">
      <c r="B3" s="147" t="s">
        <v>79</v>
      </c>
      <c r="C3" s="147"/>
      <c r="D3" s="147"/>
    </row>
    <row r="4" spans="2:4" ht="15.75">
      <c r="B4" s="147" t="s">
        <v>167</v>
      </c>
      <c r="C4" s="147"/>
      <c r="D4" s="147"/>
    </row>
    <row r="5" spans="2:4" ht="15.75">
      <c r="B5" s="147" t="s">
        <v>15</v>
      </c>
      <c r="C5" s="147"/>
      <c r="D5" s="147"/>
    </row>
    <row r="7" spans="1:4" s="1" customFormat="1" ht="15">
      <c r="A7" s="2"/>
      <c r="B7" s="17"/>
      <c r="C7" s="17"/>
      <c r="D7" s="65" t="s">
        <v>6</v>
      </c>
    </row>
    <row r="8" spans="1:4" s="1" customFormat="1" ht="15">
      <c r="A8" s="18" t="s">
        <v>2</v>
      </c>
      <c r="B8" s="18" t="s">
        <v>5</v>
      </c>
      <c r="C8" s="18" t="s">
        <v>80</v>
      </c>
      <c r="D8" s="19" t="s">
        <v>81</v>
      </c>
    </row>
    <row r="9" spans="1:4" s="1" customFormat="1" ht="15">
      <c r="A9" s="2"/>
      <c r="B9" s="66" t="s">
        <v>7</v>
      </c>
      <c r="C9" s="66" t="s">
        <v>22</v>
      </c>
      <c r="D9" s="67" t="s">
        <v>8</v>
      </c>
    </row>
    <row r="10" spans="1:4" s="1" customFormat="1" ht="15">
      <c r="A10" s="2">
        <v>1</v>
      </c>
      <c r="B10" s="17" t="s">
        <v>53</v>
      </c>
      <c r="C10" s="68"/>
      <c r="D10" s="69"/>
    </row>
    <row r="11" spans="1:4" s="1" customFormat="1" ht="14.25">
      <c r="A11" s="2">
        <f>A10+1</f>
        <v>2</v>
      </c>
      <c r="B11" s="70" t="s">
        <v>168</v>
      </c>
      <c r="C11" s="55" t="s">
        <v>243</v>
      </c>
      <c r="D11" s="69">
        <f>+'V-K-2'!G14</f>
        <v>-4250</v>
      </c>
    </row>
    <row r="12" spans="1:4" s="1" customFormat="1" ht="14.25">
      <c r="A12" s="2">
        <f t="shared" si="0" ref="A12:A29">A11+1</f>
        <v>3</v>
      </c>
      <c r="B12" s="70"/>
      <c r="C12" s="55" t="s">
        <v>242</v>
      </c>
      <c r="D12" s="69"/>
    </row>
    <row r="13" spans="1:4" s="1" customFormat="1" ht="14.25">
      <c r="A13" s="2">
        <f t="shared" si="0"/>
        <v>4</v>
      </c>
      <c r="B13" s="2"/>
      <c r="C13" s="55"/>
      <c r="D13" s="71"/>
    </row>
    <row r="14" spans="1:4" s="1" customFormat="1" ht="15">
      <c r="A14" s="2">
        <f t="shared" si="0"/>
        <v>5</v>
      </c>
      <c r="B14" s="17" t="s">
        <v>28</v>
      </c>
      <c r="C14" s="55"/>
      <c r="D14" s="71"/>
    </row>
    <row r="15" spans="1:4" s="1" customFormat="1" ht="14.25">
      <c r="A15" s="2">
        <f t="shared" si="0"/>
        <v>6</v>
      </c>
      <c r="B15" s="70" t="s">
        <v>190</v>
      </c>
      <c r="C15" s="55" t="s">
        <v>191</v>
      </c>
      <c r="D15" s="71">
        <f>+'V-K-2'!G17</f>
        <v>-382923</v>
      </c>
    </row>
    <row r="16" spans="1:4" s="1" customFormat="1" ht="14.25">
      <c r="A16" s="2">
        <f t="shared" si="0"/>
        <v>7</v>
      </c>
      <c r="B16" s="2"/>
      <c r="C16" s="55"/>
      <c r="D16" s="71"/>
    </row>
    <row r="17" spans="1:4" s="1" customFormat="1" ht="15">
      <c r="A17" s="2">
        <f t="shared" si="0"/>
        <v>8</v>
      </c>
      <c r="B17" s="17" t="s">
        <v>30</v>
      </c>
      <c r="C17" s="73"/>
      <c r="D17" s="74"/>
    </row>
    <row r="18" spans="1:4" s="1" customFormat="1" ht="14.25">
      <c r="A18" s="2">
        <f t="shared" si="0"/>
        <v>9</v>
      </c>
      <c r="B18" s="70" t="s">
        <v>82</v>
      </c>
      <c r="C18" s="75" t="s">
        <v>83</v>
      </c>
      <c r="D18" s="74">
        <f>+'V-K-2'!G19</f>
        <v>22139</v>
      </c>
    </row>
    <row r="19" spans="1:4" s="1" customFormat="1" ht="14.25">
      <c r="A19" s="2">
        <f t="shared" si="0"/>
        <v>10</v>
      </c>
      <c r="B19" s="2"/>
      <c r="C19" s="73"/>
      <c r="D19" s="74"/>
    </row>
    <row r="20" spans="1:3" s="1" customFormat="1" ht="15">
      <c r="A20" s="2">
        <f t="shared" si="0"/>
        <v>11</v>
      </c>
      <c r="B20" s="17" t="s">
        <v>212</v>
      </c>
      <c r="C20" s="73"/>
    </row>
    <row r="21" spans="1:4" s="1" customFormat="1" ht="14.25">
      <c r="A21" s="2">
        <f t="shared" si="0"/>
        <v>12</v>
      </c>
      <c r="B21" s="70" t="s">
        <v>225</v>
      </c>
      <c r="C21" s="73" t="s">
        <v>237</v>
      </c>
      <c r="D21" s="74">
        <f>+'V-K-2'!G23</f>
        <v>5119968</v>
      </c>
    </row>
    <row r="22" spans="1:4" s="1" customFormat="1" ht="14.25">
      <c r="A22" s="2">
        <f t="shared" si="0"/>
        <v>13</v>
      </c>
      <c r="B22" s="70" t="s">
        <v>228</v>
      </c>
      <c r="C22" s="73" t="s">
        <v>238</v>
      </c>
      <c r="D22" s="74"/>
    </row>
    <row r="23" spans="1:4" s="1" customFormat="1" ht="14.25">
      <c r="A23" s="2">
        <f t="shared" si="0"/>
        <v>14</v>
      </c>
      <c r="B23" s="70"/>
      <c r="C23" s="73"/>
      <c r="D23" s="74"/>
    </row>
    <row r="24" spans="1:4" s="1" customFormat="1" ht="15">
      <c r="A24" s="2">
        <f t="shared" si="0"/>
        <v>15</v>
      </c>
      <c r="B24" s="17" t="s">
        <v>213</v>
      </c>
      <c r="C24" s="73"/>
      <c r="D24" s="74"/>
    </row>
    <row r="25" spans="1:4" s="1" customFormat="1" ht="14.25">
      <c r="A25" s="2">
        <f t="shared" si="0"/>
        <v>16</v>
      </c>
      <c r="B25" s="70" t="s">
        <v>224</v>
      </c>
      <c r="C25" s="73" t="s">
        <v>237</v>
      </c>
      <c r="D25" s="74">
        <f>+'V-K-2'!G25</f>
        <v>-18507479</v>
      </c>
    </row>
    <row r="26" spans="1:3" s="1" customFormat="1" ht="14.25">
      <c r="A26" s="2">
        <f t="shared" si="0"/>
        <v>17</v>
      </c>
      <c r="B26" s="2"/>
      <c r="C26" s="73" t="s">
        <v>238</v>
      </c>
    </row>
    <row r="27" spans="1:4" s="1" customFormat="1" ht="14.25">
      <c r="A27" s="2">
        <f t="shared" si="0"/>
        <v>18</v>
      </c>
      <c r="B27" s="70" t="s">
        <v>234</v>
      </c>
      <c r="C27" s="73" t="s">
        <v>239</v>
      </c>
      <c r="D27" s="74">
        <f>+'V-K-2'!G26</f>
        <v>-7584188</v>
      </c>
    </row>
    <row r="28" spans="1:4" s="1" customFormat="1" ht="14.25">
      <c r="A28" s="2">
        <f t="shared" si="0"/>
        <v>19</v>
      </c>
      <c r="B28" s="70"/>
      <c r="C28" s="73" t="s">
        <v>240</v>
      </c>
      <c r="D28" s="74"/>
    </row>
    <row r="29" spans="1:4" ht="16.5" thickBot="1">
      <c r="A29" s="2">
        <f t="shared" si="0"/>
        <v>20</v>
      </c>
      <c r="B29" s="23"/>
      <c r="D29" s="77">
        <f>SUM(D10:D27)</f>
        <v>-21336733</v>
      </c>
    </row>
    <row r="30" spans="1:2" ht="15.75" thickTop="1">
      <c r="A30" s="23"/>
      <c r="B30" s="23"/>
    </row>
    <row r="31" spans="2:2" ht="15">
      <c r="B31" s="23"/>
    </row>
    <row r="32" spans="2:2" ht="15">
      <c r="B32" s="23"/>
    </row>
  </sheetData>
  <mergeCells count="5">
    <mergeCell ref="B1:D1"/>
    <mergeCell ref="B2:D2"/>
    <mergeCell ref="B3:D3"/>
    <mergeCell ref="B4:D4"/>
    <mergeCell ref="B5:D5"/>
  </mergeCells>
  <printOptions horizontalCentered="1"/>
  <pageMargins left="0.35" right="0.35" top="1.5" bottom="0.5" header="0.3" footer="0.3"/>
  <pageSetup orientation="landscape" scale="85" r:id="rId1"/>
  <headerFooter>
    <oddHeader>&amp;R
Schedule V-K-6
Page 1 of 1</oddHead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dimension ref="A1:E18"/>
  <sheetViews>
    <sheetView view="pageBreakPreview" zoomScaleNormal="90" zoomScaleSheetLayoutView="100" workbookViewId="0" topLeftCell="A1">
      <selection pane="topLeft" activeCell="F19" sqref="F19"/>
    </sheetView>
  </sheetViews>
  <sheetFormatPr defaultRowHeight="15"/>
  <cols>
    <col min="1" max="1" width="9.71428571428571" style="22" customWidth="1"/>
    <col min="2" max="2" width="14.8571428571429" style="22" customWidth="1"/>
    <col min="3" max="3" width="40.2857142857143" style="22" customWidth="1"/>
    <col min="4" max="4" width="15" style="22" customWidth="1"/>
    <col min="5" max="5" width="19" style="23" customWidth="1"/>
    <col min="6" max="16384" width="9.14285714285714" style="22"/>
  </cols>
  <sheetData>
    <row r="1" spans="2:5" ht="15.75">
      <c r="B1" s="147" t="s">
        <v>166</v>
      </c>
      <c r="C1" s="147"/>
      <c r="D1" s="147"/>
      <c r="E1" s="147"/>
    </row>
    <row r="2" spans="2:5" ht="15.75">
      <c r="B2" s="147" t="s">
        <v>11</v>
      </c>
      <c r="C2" s="147"/>
      <c r="D2" s="147"/>
      <c r="E2" s="147"/>
    </row>
    <row r="3" spans="2:5" ht="15.75">
      <c r="B3" s="147" t="s">
        <v>161</v>
      </c>
      <c r="C3" s="147"/>
      <c r="D3" s="147"/>
      <c r="E3" s="147"/>
    </row>
    <row r="4" spans="2:5" ht="15.75">
      <c r="B4" s="147" t="s">
        <v>167</v>
      </c>
      <c r="C4" s="147"/>
      <c r="D4" s="147"/>
      <c r="E4" s="147"/>
    </row>
    <row r="5" spans="2:5" ht="15.75">
      <c r="B5" s="147" t="s">
        <v>49</v>
      </c>
      <c r="C5" s="147"/>
      <c r="D5" s="147"/>
      <c r="E5" s="147"/>
    </row>
    <row r="7" spans="4:5" ht="15.75">
      <c r="D7" s="48"/>
      <c r="E7" s="48"/>
    </row>
    <row r="8" spans="1:5" s="1" customFormat="1" ht="15">
      <c r="A8" s="58"/>
      <c r="B8" s="58"/>
      <c r="C8" s="58"/>
      <c r="D8" s="114"/>
      <c r="E8" s="58"/>
    </row>
    <row r="9" spans="1:5" s="1" customFormat="1" ht="15">
      <c r="A9" s="51"/>
      <c r="B9" s="58"/>
      <c r="C9" s="58"/>
      <c r="D9" s="58"/>
      <c r="E9" s="58"/>
    </row>
    <row r="10" spans="1:5" s="1" customFormat="1" ht="14.25">
      <c r="A10" s="53"/>
      <c r="B10" s="139" t="s">
        <v>160</v>
      </c>
      <c r="C10" s="55"/>
      <c r="D10" s="56"/>
      <c r="E10" s="57"/>
    </row>
    <row r="11" spans="1:5" s="1" customFormat="1" ht="15">
      <c r="A11" s="53"/>
      <c r="B11" s="54"/>
      <c r="C11" s="58"/>
      <c r="D11" s="138"/>
      <c r="E11" s="57"/>
    </row>
    <row r="12" spans="1:5" s="1" customFormat="1" ht="15">
      <c r="A12" s="53"/>
      <c r="B12" s="58"/>
      <c r="C12" s="54"/>
      <c r="D12" s="56"/>
      <c r="E12" s="58"/>
    </row>
    <row r="13" spans="1:5" s="1" customFormat="1" ht="14.25">
      <c r="A13" s="30"/>
      <c r="B13" s="54"/>
      <c r="C13" s="30"/>
      <c r="D13" s="132"/>
      <c r="E13" s="54"/>
    </row>
    <row r="14" spans="1:5" s="1" customFormat="1" ht="14.25">
      <c r="A14" s="30"/>
      <c r="B14" s="54"/>
      <c r="C14" s="30"/>
      <c r="D14" s="132"/>
      <c r="E14" s="54"/>
    </row>
    <row r="15" spans="1:5" s="1" customFormat="1" ht="14.25">
      <c r="A15" s="30"/>
      <c r="B15" s="54"/>
      <c r="C15" s="30"/>
      <c r="D15" s="61"/>
      <c r="E15" s="2"/>
    </row>
    <row r="16" spans="1:4" ht="15.75">
      <c r="A16" s="62"/>
      <c r="B16" s="63"/>
      <c r="C16" s="62"/>
      <c r="D16" s="64"/>
    </row>
    <row r="17" spans="1:5" ht="80.25" customHeight="1">
      <c r="A17" s="62"/>
      <c r="B17" s="149"/>
      <c r="C17" s="149"/>
      <c r="D17" s="149"/>
      <c r="E17" s="149"/>
    </row>
    <row r="18" spans="1:4" ht="15">
      <c r="A18" s="62"/>
      <c r="B18" s="62"/>
      <c r="C18" s="62"/>
      <c r="D18" s="64"/>
    </row>
  </sheetData>
  <mergeCells count="6">
    <mergeCell ref="B17:E17"/>
    <mergeCell ref="B1:E1"/>
    <mergeCell ref="B2:E2"/>
    <mergeCell ref="B3:E3"/>
    <mergeCell ref="B4:E4"/>
    <mergeCell ref="B5:E5"/>
  </mergeCells>
  <printOptions horizontalCentered="1"/>
  <pageMargins left="0.35" right="0.35" top="1.5" bottom="0.5" header="0.3" footer="0.3"/>
  <pageSetup orientation="landscape" scale="85" r:id="rId1"/>
  <headerFooter>
    <oddHeader>&amp;R
Schedule V-K-7
Page 1 of 1</oddHead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dimension ref="A1:H51"/>
  <sheetViews>
    <sheetView view="pageBreakPreview" zoomScaleNormal="90" zoomScaleSheetLayoutView="100" workbookViewId="0" topLeftCell="A1">
      <selection pane="topLeft" activeCell="F22" sqref="F22"/>
    </sheetView>
  </sheetViews>
  <sheetFormatPr defaultRowHeight="15"/>
  <cols>
    <col min="1" max="1" width="9.14285714285714" style="22"/>
    <col min="2" max="2" width="10.7142857142857" style="22" customWidth="1"/>
    <col min="3" max="3" width="27.2857142857143" style="22" customWidth="1"/>
    <col min="4" max="4" width="26.7142857142857" style="22" customWidth="1"/>
    <col min="5" max="5" width="51.8571428571429" style="22" customWidth="1"/>
    <col min="6" max="6" width="14.7142857142857" style="24" customWidth="1"/>
    <col min="7" max="7" width="1.85714285714286" style="22" customWidth="1"/>
    <col min="8" max="16384" width="9.14285714285714" style="22"/>
  </cols>
  <sheetData>
    <row r="1" spans="2:6" ht="15.75">
      <c r="B1" s="147" t="s">
        <v>166</v>
      </c>
      <c r="C1" s="147"/>
      <c r="D1" s="147"/>
      <c r="E1" s="147"/>
      <c r="F1" s="147"/>
    </row>
    <row r="2" spans="2:6" ht="15.75">
      <c r="B2" s="147" t="s">
        <v>11</v>
      </c>
      <c r="C2" s="147"/>
      <c r="D2" s="147"/>
      <c r="E2" s="147"/>
      <c r="F2" s="147"/>
    </row>
    <row r="3" spans="2:6" ht="15.75">
      <c r="B3" s="147" t="s">
        <v>84</v>
      </c>
      <c r="C3" s="147"/>
      <c r="D3" s="147"/>
      <c r="E3" s="147"/>
      <c r="F3" s="147"/>
    </row>
    <row r="4" spans="2:6" ht="15.75">
      <c r="B4" s="147" t="s">
        <v>167</v>
      </c>
      <c r="C4" s="147"/>
      <c r="D4" s="147"/>
      <c r="E4" s="147"/>
      <c r="F4" s="147"/>
    </row>
    <row r="5" spans="2:6" ht="15.75">
      <c r="B5" s="147" t="s">
        <v>15</v>
      </c>
      <c r="C5" s="147"/>
      <c r="D5" s="147"/>
      <c r="E5" s="147"/>
      <c r="F5" s="147"/>
    </row>
    <row r="7" spans="1:6" s="1" customFormat="1" ht="15">
      <c r="A7" s="2"/>
      <c r="B7" s="17" t="s">
        <v>0</v>
      </c>
      <c r="D7" s="17" t="s">
        <v>85</v>
      </c>
      <c r="E7" s="17"/>
      <c r="F7" s="65" t="s">
        <v>86</v>
      </c>
    </row>
    <row r="8" spans="1:6" s="1" customFormat="1" ht="15">
      <c r="A8" s="18" t="s">
        <v>2</v>
      </c>
      <c r="B8" s="18" t="s">
        <v>4</v>
      </c>
      <c r="C8" s="18" t="s">
        <v>87</v>
      </c>
      <c r="D8" s="18" t="s">
        <v>88</v>
      </c>
      <c r="E8" s="18" t="s">
        <v>89</v>
      </c>
      <c r="F8" s="19" t="s">
        <v>90</v>
      </c>
    </row>
    <row r="9" spans="1:6" s="1" customFormat="1" ht="15">
      <c r="A9" s="2"/>
      <c r="B9" s="66" t="s">
        <v>7</v>
      </c>
      <c r="C9" s="66" t="s">
        <v>22</v>
      </c>
      <c r="D9" s="66" t="s">
        <v>8</v>
      </c>
      <c r="E9" s="66" t="s">
        <v>9</v>
      </c>
      <c r="F9" s="67" t="s">
        <v>10</v>
      </c>
    </row>
    <row r="10" spans="1:6" s="1" customFormat="1" ht="15">
      <c r="A10" s="2">
        <v>1</v>
      </c>
      <c r="B10" s="2"/>
      <c r="C10" s="68" t="s">
        <v>91</v>
      </c>
      <c r="D10" s="68"/>
      <c r="E10" s="30"/>
      <c r="F10" s="71"/>
    </row>
    <row r="11" spans="1:6" s="1" customFormat="1" ht="14.25">
      <c r="A11" s="2">
        <f>A10+1</f>
        <v>2</v>
      </c>
      <c r="B11" s="2">
        <v>4569000</v>
      </c>
      <c r="C11" s="55" t="s">
        <v>92</v>
      </c>
      <c r="D11" s="55" t="s">
        <v>64</v>
      </c>
      <c r="E11" s="30" t="s">
        <v>93</v>
      </c>
      <c r="F11" s="69">
        <v>229346</v>
      </c>
    </row>
    <row r="12" spans="1:6" s="1" customFormat="1" ht="14.25">
      <c r="A12" s="2">
        <f t="shared" si="0" ref="A12:A43">A11+1</f>
        <v>3</v>
      </c>
      <c r="B12" s="2">
        <v>4569000</v>
      </c>
      <c r="C12" s="55" t="s">
        <v>92</v>
      </c>
      <c r="D12" s="55" t="s">
        <v>64</v>
      </c>
      <c r="E12" s="30" t="s">
        <v>193</v>
      </c>
      <c r="F12" s="69">
        <v>202037</v>
      </c>
    </row>
    <row r="13" spans="1:6" s="1" customFormat="1" ht="14.25">
      <c r="A13" s="2">
        <f t="shared" si="0"/>
        <v>4</v>
      </c>
      <c r="B13" s="2">
        <v>4569000</v>
      </c>
      <c r="C13" s="55" t="s">
        <v>92</v>
      </c>
      <c r="D13" s="55" t="s">
        <v>64</v>
      </c>
      <c r="E13" s="30" t="s">
        <v>194</v>
      </c>
      <c r="F13" s="69">
        <v>9895</v>
      </c>
    </row>
    <row r="14" spans="1:6" s="1" customFormat="1" ht="14.25">
      <c r="A14" s="2">
        <f t="shared" si="0"/>
        <v>5</v>
      </c>
      <c r="B14" s="2">
        <v>4569000</v>
      </c>
      <c r="C14" s="55" t="s">
        <v>92</v>
      </c>
      <c r="D14" s="55" t="s">
        <v>64</v>
      </c>
      <c r="E14" s="30" t="s">
        <v>195</v>
      </c>
      <c r="F14" s="69">
        <v>119</v>
      </c>
    </row>
    <row r="15" spans="1:6" s="1" customFormat="1" ht="14.25">
      <c r="A15" s="2">
        <f t="shared" si="0"/>
        <v>6</v>
      </c>
      <c r="B15" s="2">
        <v>4569000</v>
      </c>
      <c r="C15" s="55" t="s">
        <v>92</v>
      </c>
      <c r="D15" s="55" t="s">
        <v>64</v>
      </c>
      <c r="E15" s="30" t="s">
        <v>196</v>
      </c>
      <c r="F15" s="69">
        <v>116529</v>
      </c>
    </row>
    <row r="16" spans="1:6" s="1" customFormat="1" ht="14.25">
      <c r="A16" s="2">
        <f t="shared" si="0"/>
        <v>7</v>
      </c>
      <c r="B16" s="2">
        <v>4569000</v>
      </c>
      <c r="C16" s="55" t="s">
        <v>92</v>
      </c>
      <c r="D16" s="55" t="s">
        <v>64</v>
      </c>
      <c r="E16" s="30" t="s">
        <v>197</v>
      </c>
      <c r="F16" s="69">
        <v>5189</v>
      </c>
    </row>
    <row r="17" spans="1:6" s="1" customFormat="1" ht="14.25">
      <c r="A17" s="2">
        <f t="shared" si="0"/>
        <v>8</v>
      </c>
      <c r="B17" s="2">
        <v>4549000</v>
      </c>
      <c r="C17" s="55" t="s">
        <v>200</v>
      </c>
      <c r="D17" s="55" t="s">
        <v>64</v>
      </c>
      <c r="E17" s="30" t="s">
        <v>95</v>
      </c>
      <c r="F17" s="69">
        <v>49531</v>
      </c>
    </row>
    <row r="18" spans="1:6" s="1" customFormat="1" ht="14.25">
      <c r="A18" s="2">
        <f t="shared" si="0"/>
        <v>9</v>
      </c>
      <c r="B18" s="2">
        <v>2539000</v>
      </c>
      <c r="C18" s="55" t="s">
        <v>201</v>
      </c>
      <c r="D18" s="55" t="s">
        <v>64</v>
      </c>
      <c r="E18" s="30" t="s">
        <v>198</v>
      </c>
      <c r="F18" s="69">
        <v>3216</v>
      </c>
    </row>
    <row r="19" spans="1:6" s="1" customFormat="1" ht="14.25">
      <c r="A19" s="2">
        <f t="shared" si="0"/>
        <v>10</v>
      </c>
      <c r="B19" s="2">
        <v>2412700</v>
      </c>
      <c r="C19" s="55" t="s">
        <v>202</v>
      </c>
      <c r="D19" s="55" t="s">
        <v>64</v>
      </c>
      <c r="E19" s="30" t="s">
        <v>199</v>
      </c>
      <c r="F19" s="72">
        <v>10972</v>
      </c>
    </row>
    <row r="20" spans="1:6" s="1" customFormat="1" ht="15">
      <c r="A20" s="2">
        <f t="shared" si="0"/>
        <v>11</v>
      </c>
      <c r="B20" s="2"/>
      <c r="C20" s="55"/>
      <c r="D20" s="68" t="s">
        <v>215</v>
      </c>
      <c r="E20" s="30"/>
      <c r="F20" s="78">
        <f>SUM(F11:F19)</f>
        <v>626834</v>
      </c>
    </row>
    <row r="21" spans="1:6" s="1" customFormat="1" ht="15">
      <c r="A21" s="2">
        <f t="shared" si="0"/>
        <v>12</v>
      </c>
      <c r="B21" s="2"/>
      <c r="C21" s="79" t="s">
        <v>96</v>
      </c>
      <c r="D21" s="73"/>
      <c r="E21" s="80"/>
      <c r="F21" s="74"/>
    </row>
    <row r="22" spans="1:7" s="1" customFormat="1" ht="14.25">
      <c r="A22" s="2">
        <f t="shared" si="0"/>
        <v>13</v>
      </c>
      <c r="B22" s="2">
        <v>4569000</v>
      </c>
      <c r="C22" s="55" t="s">
        <v>92</v>
      </c>
      <c r="D22" s="73" t="s">
        <v>152</v>
      </c>
      <c r="E22" s="30" t="s">
        <v>93</v>
      </c>
      <c r="F22" s="74">
        <f>1441691+101990</f>
        <v>1543681</v>
      </c>
      <c r="G22" s="33" t="s">
        <v>46</v>
      </c>
    </row>
    <row r="23" spans="1:6" s="1" customFormat="1" ht="14.25">
      <c r="A23" s="2">
        <f t="shared" si="0"/>
        <v>14</v>
      </c>
      <c r="B23" s="2">
        <v>4569000</v>
      </c>
      <c r="C23" s="55" t="s">
        <v>92</v>
      </c>
      <c r="D23" s="73" t="s">
        <v>152</v>
      </c>
      <c r="E23" s="30" t="s">
        <v>195</v>
      </c>
      <c r="F23" s="74">
        <v>1347</v>
      </c>
    </row>
    <row r="24" spans="1:6" s="1" customFormat="1" ht="14.25">
      <c r="A24" s="2">
        <f t="shared" si="0"/>
        <v>15</v>
      </c>
      <c r="B24" s="2">
        <v>4569000</v>
      </c>
      <c r="C24" s="55" t="s">
        <v>92</v>
      </c>
      <c r="D24" s="73" t="s">
        <v>152</v>
      </c>
      <c r="E24" s="30" t="s">
        <v>196</v>
      </c>
      <c r="F24" s="74">
        <v>380962</v>
      </c>
    </row>
    <row r="25" spans="1:6" s="1" customFormat="1" ht="14.25">
      <c r="A25" s="2">
        <f t="shared" si="0"/>
        <v>16</v>
      </c>
      <c r="B25" s="2">
        <v>4549000</v>
      </c>
      <c r="C25" s="55" t="s">
        <v>94</v>
      </c>
      <c r="D25" s="73" t="s">
        <v>152</v>
      </c>
      <c r="E25" s="30" t="s">
        <v>95</v>
      </c>
      <c r="F25" s="74">
        <v>407363</v>
      </c>
    </row>
    <row r="26" spans="1:6" s="1" customFormat="1" ht="14.25">
      <c r="A26" s="2">
        <f t="shared" si="0"/>
        <v>17</v>
      </c>
      <c r="B26" s="2">
        <v>4569000</v>
      </c>
      <c r="C26" s="55" t="s">
        <v>92</v>
      </c>
      <c r="D26" s="73" t="s">
        <v>152</v>
      </c>
      <c r="E26" s="30" t="s">
        <v>199</v>
      </c>
      <c r="F26" s="74">
        <v>45449</v>
      </c>
    </row>
    <row r="27" spans="1:6" s="1" customFormat="1" ht="14.25">
      <c r="A27" s="2">
        <f t="shared" si="0"/>
        <v>18</v>
      </c>
      <c r="B27" s="2">
        <v>4569000</v>
      </c>
      <c r="C27" s="73" t="s">
        <v>92</v>
      </c>
      <c r="D27" s="73" t="s">
        <v>152</v>
      </c>
      <c r="E27" s="80" t="s">
        <v>203</v>
      </c>
      <c r="F27" s="74">
        <v>7312175</v>
      </c>
    </row>
    <row r="28" spans="1:6" s="1" customFormat="1" ht="15">
      <c r="A28" s="2">
        <f t="shared" si="0"/>
        <v>19</v>
      </c>
      <c r="B28" s="2"/>
      <c r="C28" s="79" t="s">
        <v>97</v>
      </c>
      <c r="D28" s="73"/>
      <c r="E28" s="80"/>
      <c r="F28" s="74"/>
    </row>
    <row r="29" spans="1:6" s="1" customFormat="1" ht="14.25">
      <c r="A29" s="2">
        <f t="shared" si="0"/>
        <v>20</v>
      </c>
      <c r="B29" s="2">
        <v>4190200</v>
      </c>
      <c r="C29" s="73" t="s">
        <v>98</v>
      </c>
      <c r="D29" s="73" t="s">
        <v>152</v>
      </c>
      <c r="E29" s="80" t="s">
        <v>99</v>
      </c>
      <c r="F29" s="74">
        <v>39891860</v>
      </c>
    </row>
    <row r="30" spans="1:6" s="1" customFormat="1" ht="15">
      <c r="A30" s="2">
        <f t="shared" si="0"/>
        <v>21</v>
      </c>
      <c r="B30" s="2"/>
      <c r="C30" s="79" t="s">
        <v>100</v>
      </c>
      <c r="D30" s="73"/>
      <c r="E30" s="80"/>
      <c r="F30" s="74"/>
    </row>
    <row r="31" spans="1:6" s="1" customFormat="1" ht="14.25">
      <c r="A31" s="2">
        <f t="shared" si="0"/>
        <v>22</v>
      </c>
      <c r="B31" s="2" t="s">
        <v>101</v>
      </c>
      <c r="C31" s="73" t="s">
        <v>102</v>
      </c>
      <c r="D31" s="73" t="s">
        <v>152</v>
      </c>
      <c r="E31" s="80" t="s">
        <v>231</v>
      </c>
      <c r="F31" s="76">
        <f>+'V-K-8.1'!D20</f>
        <v>646528</v>
      </c>
    </row>
    <row r="32" spans="1:6" s="1" customFormat="1" ht="15">
      <c r="A32" s="2">
        <f t="shared" si="0"/>
        <v>23</v>
      </c>
      <c r="B32" s="2"/>
      <c r="C32" s="73"/>
      <c r="D32" s="68" t="s">
        <v>214</v>
      </c>
      <c r="E32" s="80"/>
      <c r="F32" s="81">
        <f>SUM(F22:F31)</f>
        <v>50229365</v>
      </c>
    </row>
    <row r="33" spans="1:6" s="1" customFormat="1" ht="15">
      <c r="A33" s="2">
        <f t="shared" si="0"/>
        <v>24</v>
      </c>
      <c r="B33" s="2"/>
      <c r="C33" s="79" t="s">
        <v>103</v>
      </c>
      <c r="D33" s="73"/>
      <c r="E33" s="80"/>
      <c r="F33" s="74"/>
    </row>
    <row r="34" spans="1:6" s="1" customFormat="1" ht="14.25">
      <c r="A34" s="2">
        <f t="shared" si="0"/>
        <v>25</v>
      </c>
      <c r="B34" s="2">
        <v>4569000</v>
      </c>
      <c r="C34" s="55" t="s">
        <v>92</v>
      </c>
      <c r="D34" s="73" t="s">
        <v>104</v>
      </c>
      <c r="E34" s="80" t="s">
        <v>207</v>
      </c>
      <c r="F34" s="74">
        <v>13297</v>
      </c>
    </row>
    <row r="35" spans="1:6" s="1" customFormat="1" ht="15">
      <c r="A35" s="2">
        <f t="shared" si="0"/>
        <v>26</v>
      </c>
      <c r="B35" s="2"/>
      <c r="C35" s="79" t="s">
        <v>105</v>
      </c>
      <c r="D35" s="73"/>
      <c r="E35" s="80"/>
      <c r="F35" s="74"/>
    </row>
    <row r="36" spans="1:6" s="1" customFormat="1" ht="14.25">
      <c r="A36" s="2">
        <f t="shared" si="0"/>
        <v>27</v>
      </c>
      <c r="B36" s="2">
        <v>4569000</v>
      </c>
      <c r="C36" s="55" t="s">
        <v>92</v>
      </c>
      <c r="D36" s="73" t="s">
        <v>104</v>
      </c>
      <c r="E36" s="80" t="s">
        <v>106</v>
      </c>
      <c r="F36" s="76">
        <v>2810</v>
      </c>
    </row>
    <row r="37" spans="1:6" s="1" customFormat="1" ht="15">
      <c r="A37" s="2">
        <f t="shared" si="0"/>
        <v>28</v>
      </c>
      <c r="B37" s="2"/>
      <c r="C37" s="73"/>
      <c r="D37" s="79" t="s">
        <v>107</v>
      </c>
      <c r="E37" s="80"/>
      <c r="F37" s="81">
        <f>+F34+F36</f>
        <v>16107</v>
      </c>
    </row>
    <row r="38" spans="1:6" s="1" customFormat="1" ht="15">
      <c r="A38" s="2">
        <f t="shared" si="0"/>
        <v>29</v>
      </c>
      <c r="B38" s="2"/>
      <c r="C38" s="79" t="s">
        <v>170</v>
      </c>
      <c r="D38" s="79"/>
      <c r="E38" s="80"/>
      <c r="F38" s="81"/>
    </row>
    <row r="39" spans="1:6" s="1" customFormat="1" ht="14.25">
      <c r="A39" s="2">
        <f t="shared" si="0"/>
        <v>30</v>
      </c>
      <c r="B39" s="2">
        <v>1070000</v>
      </c>
      <c r="C39" s="73" t="s">
        <v>171</v>
      </c>
      <c r="D39" s="73" t="s">
        <v>229</v>
      </c>
      <c r="E39" s="80" t="s">
        <v>169</v>
      </c>
      <c r="F39" s="74">
        <f>34926+2246</f>
        <v>37172</v>
      </c>
    </row>
    <row r="40" spans="1:6" s="1" customFormat="1" ht="14.25">
      <c r="A40" s="2">
        <f t="shared" si="0"/>
        <v>31</v>
      </c>
      <c r="B40" s="2">
        <v>2412460</v>
      </c>
      <c r="C40" s="73" t="s">
        <v>172</v>
      </c>
      <c r="D40" s="73" t="s">
        <v>229</v>
      </c>
      <c r="E40" s="80" t="s">
        <v>169</v>
      </c>
      <c r="F40" s="76">
        <f>1397+90</f>
        <v>1487</v>
      </c>
    </row>
    <row r="41" spans="1:6" s="1" customFormat="1" ht="15">
      <c r="A41" s="2">
        <f t="shared" si="0"/>
        <v>32</v>
      </c>
      <c r="B41" s="2"/>
      <c r="C41" s="73"/>
      <c r="D41" s="79" t="s">
        <v>230</v>
      </c>
      <c r="E41" s="80"/>
      <c r="F41" s="81">
        <f>+F39+F40</f>
        <v>38659</v>
      </c>
    </row>
    <row r="42" spans="1:6" s="1" customFormat="1" ht="15">
      <c r="A42" s="2">
        <f t="shared" si="0"/>
        <v>33</v>
      </c>
      <c r="B42" s="2"/>
      <c r="C42" s="73"/>
      <c r="D42" s="79"/>
      <c r="E42" s="80"/>
      <c r="F42" s="76"/>
    </row>
    <row r="43" spans="1:6" s="1" customFormat="1" ht="15.75" thickBot="1">
      <c r="A43" s="2">
        <f t="shared" si="0"/>
        <v>34</v>
      </c>
      <c r="B43" s="2"/>
      <c r="C43" s="79" t="s">
        <v>108</v>
      </c>
      <c r="D43" s="73"/>
      <c r="E43" s="80"/>
      <c r="F43" s="82">
        <f>+F20+F32+F37+F41</f>
        <v>50910965</v>
      </c>
    </row>
    <row r="44" spans="1:6" s="1" customFormat="1" ht="15" thickTop="1">
      <c r="A44" s="2"/>
      <c r="B44" s="2"/>
      <c r="C44" s="73"/>
      <c r="D44" s="73"/>
      <c r="E44" s="80"/>
      <c r="F44" s="74"/>
    </row>
    <row r="45" spans="1:8" s="1" customFormat="1" ht="15">
      <c r="A45" s="83"/>
      <c r="B45" s="1" t="s">
        <v>226</v>
      </c>
      <c r="C45" s="22"/>
      <c r="D45" s="30"/>
      <c r="E45" s="22"/>
      <c r="F45" s="24"/>
      <c r="G45" s="22"/>
      <c r="H45" s="22"/>
    </row>
    <row r="46" spans="1:8" s="1" customFormat="1" ht="15.75" customHeight="1">
      <c r="A46" s="2"/>
      <c r="B46" s="150" t="s">
        <v>227</v>
      </c>
      <c r="C46" s="150"/>
      <c r="D46" s="150"/>
      <c r="E46" s="150"/>
      <c r="F46" s="150"/>
      <c r="G46" s="150"/>
      <c r="H46" s="150"/>
    </row>
    <row r="47" spans="1:6" s="1" customFormat="1" ht="14.25">
      <c r="A47" s="2"/>
      <c r="B47" s="2"/>
      <c r="C47" s="73"/>
      <c r="D47" s="73"/>
      <c r="E47" s="80"/>
      <c r="F47" s="74"/>
    </row>
    <row r="48" spans="1:2" ht="15">
      <c r="A48" s="23"/>
      <c r="B48" s="23"/>
    </row>
    <row r="49" spans="1:2" ht="15">
      <c r="A49" s="23"/>
      <c r="B49" s="23"/>
    </row>
    <row r="50" spans="1:2" ht="15">
      <c r="A50" s="23"/>
      <c r="B50" s="23"/>
    </row>
    <row r="51" spans="1:2" ht="15">
      <c r="A51" s="23"/>
      <c r="B51" s="23"/>
    </row>
  </sheetData>
  <mergeCells count="6">
    <mergeCell ref="B46:H46"/>
    <mergeCell ref="B1:F1"/>
    <mergeCell ref="B2:F2"/>
    <mergeCell ref="B3:F3"/>
    <mergeCell ref="B4:F4"/>
    <mergeCell ref="B5:F5"/>
  </mergeCells>
  <printOptions horizontalCentered="1"/>
  <pageMargins left="0.35" right="0.35" top="1.5" bottom="0.5" header="0.3" footer="0.3"/>
  <pageSetup orientation="landscape" scale="63" r:id="rId1"/>
  <headerFooter>
    <oddHeader>&amp;R
Schedule V-K-8
Page 1 of 1</oddHead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dimension ref="A1:E27"/>
  <sheetViews>
    <sheetView view="pageBreakPreview" zoomScaleNormal="90" zoomScaleSheetLayoutView="100" workbookViewId="0" topLeftCell="A1">
      <selection pane="topLeft" activeCell="B6" sqref="B6"/>
    </sheetView>
  </sheetViews>
  <sheetFormatPr defaultRowHeight="15"/>
  <cols>
    <col min="1" max="1" width="9.71428571428571" style="22" customWidth="1"/>
    <col min="2" max="2" width="14.8571428571429" style="22" customWidth="1"/>
    <col min="3" max="3" width="36" style="22" customWidth="1"/>
    <col min="4" max="4" width="13.5714285714286" style="22" customWidth="1"/>
    <col min="5" max="5" width="19" style="23" customWidth="1"/>
    <col min="6" max="16384" width="9.14285714285714" style="22"/>
  </cols>
  <sheetData>
    <row r="1" spans="2:5" ht="15.75">
      <c r="B1" s="147" t="s">
        <v>166</v>
      </c>
      <c r="C1" s="147"/>
      <c r="D1" s="147"/>
      <c r="E1" s="147"/>
    </row>
    <row r="2" spans="2:5" ht="15.75">
      <c r="B2" s="147" t="s">
        <v>11</v>
      </c>
      <c r="C2" s="147"/>
      <c r="D2" s="147"/>
      <c r="E2" s="147"/>
    </row>
    <row r="3" spans="2:5" ht="15.75">
      <c r="B3" s="147" t="s">
        <v>232</v>
      </c>
      <c r="C3" s="147"/>
      <c r="D3" s="147"/>
      <c r="E3" s="147"/>
    </row>
    <row r="4" spans="2:5" ht="15.75">
      <c r="B4" s="147" t="s">
        <v>167</v>
      </c>
      <c r="C4" s="147"/>
      <c r="D4" s="147"/>
      <c r="E4" s="147"/>
    </row>
    <row r="5" spans="2:5" ht="15.75">
      <c r="B5" s="147" t="s">
        <v>15</v>
      </c>
      <c r="C5" s="147"/>
      <c r="D5" s="147"/>
      <c r="E5" s="147"/>
    </row>
    <row r="7" spans="1:5" s="1" customFormat="1" ht="15">
      <c r="A7" s="2"/>
      <c r="D7" s="17" t="s">
        <v>6</v>
      </c>
      <c r="E7" s="65" t="s">
        <v>109</v>
      </c>
    </row>
    <row r="8" spans="1:5" s="1" customFormat="1" ht="15">
      <c r="A8" s="18" t="s">
        <v>2</v>
      </c>
      <c r="B8" s="18" t="s">
        <v>74</v>
      </c>
      <c r="C8" s="18" t="s">
        <v>146</v>
      </c>
      <c r="D8" s="18" t="s">
        <v>76</v>
      </c>
      <c r="E8" s="19" t="s">
        <v>77</v>
      </c>
    </row>
    <row r="9" spans="1:5" s="1" customFormat="1" ht="15">
      <c r="A9" s="2"/>
      <c r="B9" s="20" t="s">
        <v>7</v>
      </c>
      <c r="C9" s="20" t="s">
        <v>22</v>
      </c>
      <c r="D9" s="20" t="s">
        <v>8</v>
      </c>
      <c r="E9" s="21" t="s">
        <v>9</v>
      </c>
    </row>
    <row r="10" spans="1:5" s="1" customFormat="1" ht="14.25">
      <c r="A10" s="54">
        <v>1</v>
      </c>
      <c r="B10" s="54" t="s">
        <v>173</v>
      </c>
      <c r="C10" s="30" t="s">
        <v>185</v>
      </c>
      <c r="D10" s="84">
        <v>9064</v>
      </c>
      <c r="E10" s="85">
        <v>44321</v>
      </c>
    </row>
    <row r="11" spans="1:5" s="1" customFormat="1" ht="14.25">
      <c r="A11" s="54">
        <f>+A10+A10</f>
        <v>2</v>
      </c>
      <c r="B11" s="54" t="s">
        <v>174</v>
      </c>
      <c r="C11" s="80" t="s">
        <v>186</v>
      </c>
      <c r="D11" s="61">
        <v>172592</v>
      </c>
      <c r="E11" s="85">
        <v>44378</v>
      </c>
    </row>
    <row r="12" spans="1:5" s="1" customFormat="1" ht="14.25">
      <c r="A12" s="54">
        <f t="shared" si="0" ref="A12:A20">+A11+1</f>
        <v>3</v>
      </c>
      <c r="B12" s="54" t="s">
        <v>175</v>
      </c>
      <c r="C12" s="80" t="s">
        <v>176</v>
      </c>
      <c r="D12" s="61">
        <v>130494</v>
      </c>
      <c r="E12" s="85">
        <v>44453</v>
      </c>
    </row>
    <row r="13" spans="1:5" s="1" customFormat="1" ht="14.25">
      <c r="A13" s="54">
        <f t="shared" si="0"/>
        <v>4</v>
      </c>
      <c r="B13" s="54" t="s">
        <v>177</v>
      </c>
      <c r="C13" s="80" t="s">
        <v>187</v>
      </c>
      <c r="D13" s="61">
        <v>15489</v>
      </c>
      <c r="E13" s="85">
        <v>44461</v>
      </c>
    </row>
    <row r="14" spans="1:5" s="1" customFormat="1" ht="14.25">
      <c r="A14" s="54">
        <f t="shared" si="0"/>
        <v>5</v>
      </c>
      <c r="B14" s="54" t="s">
        <v>178</v>
      </c>
      <c r="C14" s="80" t="s">
        <v>110</v>
      </c>
      <c r="D14" s="61">
        <v>93439</v>
      </c>
      <c r="E14" s="85">
        <v>44470</v>
      </c>
    </row>
    <row r="15" spans="1:5" s="1" customFormat="1" ht="14.25">
      <c r="A15" s="54">
        <f t="shared" si="0"/>
        <v>6</v>
      </c>
      <c r="B15" s="54" t="s">
        <v>180</v>
      </c>
      <c r="C15" s="80" t="s">
        <v>179</v>
      </c>
      <c r="D15" s="61">
        <v>31103</v>
      </c>
      <c r="E15" s="85">
        <v>44484</v>
      </c>
    </row>
    <row r="16" spans="1:5" s="1" customFormat="1" ht="14.25">
      <c r="A16" s="54">
        <f t="shared" si="0"/>
        <v>7</v>
      </c>
      <c r="B16" s="54" t="s">
        <v>181</v>
      </c>
      <c r="C16" s="80" t="s">
        <v>179</v>
      </c>
      <c r="D16" s="61">
        <v>30985</v>
      </c>
      <c r="E16" s="85">
        <v>44508</v>
      </c>
    </row>
    <row r="17" spans="1:5" s="1" customFormat="1" ht="14.25">
      <c r="A17" s="54">
        <f t="shared" si="0"/>
        <v>8</v>
      </c>
      <c r="B17" s="54" t="s">
        <v>182</v>
      </c>
      <c r="C17" s="80" t="s">
        <v>183</v>
      </c>
      <c r="D17" s="61">
        <v>46563</v>
      </c>
      <c r="E17" s="85">
        <v>44543</v>
      </c>
    </row>
    <row r="18" spans="1:5" s="1" customFormat="1" ht="14.25">
      <c r="A18" s="54">
        <f t="shared" si="0"/>
        <v>9</v>
      </c>
      <c r="B18" s="54" t="s">
        <v>184</v>
      </c>
      <c r="C18" s="80" t="s">
        <v>179</v>
      </c>
      <c r="D18" s="61">
        <v>116799</v>
      </c>
      <c r="E18" s="85">
        <v>44544</v>
      </c>
    </row>
    <row r="19" spans="1:5" s="1" customFormat="1" ht="14.25">
      <c r="A19" s="54">
        <f t="shared" si="0"/>
        <v>10</v>
      </c>
      <c r="B19" s="54"/>
      <c r="C19" s="80"/>
      <c r="D19" s="86"/>
      <c r="E19" s="85"/>
    </row>
    <row r="20" spans="1:5" s="1" customFormat="1" ht="15">
      <c r="A20" s="54">
        <f t="shared" si="0"/>
        <v>11</v>
      </c>
      <c r="B20" s="54"/>
      <c r="C20" s="87" t="s">
        <v>6</v>
      </c>
      <c r="D20" s="88">
        <f>SUM(D10:D19)</f>
        <v>646528</v>
      </c>
      <c r="E20" s="2"/>
    </row>
    <row r="21" spans="1:5" s="1" customFormat="1" ht="14.25">
      <c r="A21" s="54"/>
      <c r="B21" s="54"/>
      <c r="C21" s="30"/>
      <c r="D21" s="61"/>
      <c r="E21" s="2"/>
    </row>
    <row r="22" spans="1:5" s="1" customFormat="1" ht="15">
      <c r="A22" s="51"/>
      <c r="B22" s="54"/>
      <c r="C22" s="30"/>
      <c r="D22" s="61"/>
      <c r="E22" s="2"/>
    </row>
    <row r="23" spans="1:5" s="1" customFormat="1" ht="14.25">
      <c r="A23" s="30"/>
      <c r="B23" s="54"/>
      <c r="C23" s="30"/>
      <c r="D23" s="61"/>
      <c r="E23" s="2"/>
    </row>
    <row r="24" spans="1:4" ht="15">
      <c r="A24" s="62"/>
      <c r="B24" s="30"/>
      <c r="C24" s="62"/>
      <c r="D24" s="64"/>
    </row>
    <row r="25" spans="1:4" ht="15">
      <c r="A25" s="62"/>
      <c r="B25" s="30"/>
      <c r="C25" s="62"/>
      <c r="D25" s="64"/>
    </row>
    <row r="26" spans="1:4" ht="15">
      <c r="A26" s="62"/>
      <c r="B26" s="62"/>
      <c r="C26" s="62"/>
      <c r="D26" s="64"/>
    </row>
    <row r="27" spans="1:4" ht="15">
      <c r="A27" s="62"/>
      <c r="B27" s="62"/>
      <c r="C27" s="62"/>
      <c r="D27" s="64"/>
    </row>
  </sheetData>
  <mergeCells count="5">
    <mergeCell ref="B1:E1"/>
    <mergeCell ref="B2:E2"/>
    <mergeCell ref="B3:E3"/>
    <mergeCell ref="B4:E4"/>
    <mergeCell ref="B5:E5"/>
  </mergeCells>
  <printOptions horizontalCentered="1"/>
  <pageMargins left="0.35" right="0.35" top="1.5" bottom="0.5" header="0.3" footer="0.3"/>
  <pageSetup orientation="landscape" scale="85" r:id="rId1"/>
  <headerFooter>
    <oddHeader>&amp;R
Schedule V-K-8.1
Page 1 of 1</oddHead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dimension ref="A1:E18"/>
  <sheetViews>
    <sheetView view="pageBreakPreview" zoomScaleNormal="90" zoomScaleSheetLayoutView="100" workbookViewId="0" topLeftCell="A1">
      <selection pane="topLeft" activeCell="C6" sqref="C6"/>
    </sheetView>
  </sheetViews>
  <sheetFormatPr defaultRowHeight="15"/>
  <cols>
    <col min="1" max="1" width="9.71428571428571" style="22" customWidth="1"/>
    <col min="2" max="2" width="14.8571428571429" style="22" customWidth="1"/>
    <col min="3" max="3" width="40.2857142857143" style="22" customWidth="1"/>
    <col min="4" max="4" width="15" style="22" customWidth="1"/>
    <col min="5" max="5" width="19" style="23" customWidth="1"/>
    <col min="6" max="16384" width="9.14285714285714" style="22"/>
  </cols>
  <sheetData>
    <row r="1" spans="2:5" ht="15.75">
      <c r="B1" s="147" t="s">
        <v>166</v>
      </c>
      <c r="C1" s="147"/>
      <c r="D1" s="147"/>
      <c r="E1" s="147"/>
    </row>
    <row r="2" spans="2:5" ht="15.75">
      <c r="B2" s="147" t="s">
        <v>11</v>
      </c>
      <c r="C2" s="147"/>
      <c r="D2" s="147"/>
      <c r="E2" s="147"/>
    </row>
    <row r="3" spans="2:5" ht="15.75">
      <c r="B3" s="147" t="s">
        <v>162</v>
      </c>
      <c r="C3" s="147"/>
      <c r="D3" s="147"/>
      <c r="E3" s="147"/>
    </row>
    <row r="4" spans="2:5" ht="15.75">
      <c r="B4" s="147" t="s">
        <v>167</v>
      </c>
      <c r="C4" s="147"/>
      <c r="D4" s="147"/>
      <c r="E4" s="147"/>
    </row>
    <row r="5" spans="2:5" ht="15.75">
      <c r="B5" s="147" t="s">
        <v>15</v>
      </c>
      <c r="C5" s="147"/>
      <c r="D5" s="147"/>
      <c r="E5" s="147"/>
    </row>
    <row r="7" spans="4:5" ht="15.75">
      <c r="D7" s="48"/>
      <c r="E7" s="48"/>
    </row>
    <row r="8" spans="1:5" s="1" customFormat="1" ht="15">
      <c r="A8" s="58"/>
      <c r="B8" s="58"/>
      <c r="C8" s="58"/>
      <c r="D8" s="114"/>
      <c r="E8" s="58"/>
    </row>
    <row r="9" spans="1:5" s="1" customFormat="1" ht="15">
      <c r="A9" s="51"/>
      <c r="B9" s="58"/>
      <c r="C9" s="58"/>
      <c r="D9" s="58"/>
      <c r="E9" s="58"/>
    </row>
    <row r="10" spans="1:5" s="1" customFormat="1" ht="14.25">
      <c r="A10" s="53"/>
      <c r="B10" s="139" t="s">
        <v>160</v>
      </c>
      <c r="C10" s="55"/>
      <c r="D10" s="56"/>
      <c r="E10" s="57"/>
    </row>
    <row r="11" spans="1:5" s="1" customFormat="1" ht="15">
      <c r="A11" s="53"/>
      <c r="B11" s="54"/>
      <c r="C11" s="58"/>
      <c r="D11" s="138"/>
      <c r="E11" s="57"/>
    </row>
    <row r="12" spans="1:5" s="1" customFormat="1" ht="15">
      <c r="A12" s="53"/>
      <c r="B12" s="58"/>
      <c r="C12" s="54"/>
      <c r="D12" s="56"/>
      <c r="E12" s="58"/>
    </row>
    <row r="13" spans="1:5" s="1" customFormat="1" ht="14.25">
      <c r="A13" s="30"/>
      <c r="B13" s="54"/>
      <c r="C13" s="30"/>
      <c r="D13" s="132"/>
      <c r="E13" s="54"/>
    </row>
    <row r="14" spans="1:5" s="1" customFormat="1" ht="14.25">
      <c r="A14" s="30"/>
      <c r="B14" s="54"/>
      <c r="C14" s="30"/>
      <c r="D14" s="132"/>
      <c r="E14" s="54"/>
    </row>
    <row r="15" spans="1:5" s="1" customFormat="1" ht="14.25">
      <c r="A15" s="30"/>
      <c r="B15" s="54"/>
      <c r="C15" s="30"/>
      <c r="D15" s="61"/>
      <c r="E15" s="2"/>
    </row>
    <row r="16" spans="1:4" ht="15.75">
      <c r="A16" s="62"/>
      <c r="B16" s="63"/>
      <c r="C16" s="62"/>
      <c r="D16" s="64"/>
    </row>
    <row r="17" spans="1:5" ht="80.25" customHeight="1">
      <c r="A17" s="62"/>
      <c r="B17" s="149"/>
      <c r="C17" s="149"/>
      <c r="D17" s="149"/>
      <c r="E17" s="149"/>
    </row>
    <row r="18" spans="1:4" ht="15">
      <c r="A18" s="62"/>
      <c r="B18" s="62"/>
      <c r="C18" s="62"/>
      <c r="D18" s="64"/>
    </row>
  </sheetData>
  <mergeCells count="6">
    <mergeCell ref="B17:E17"/>
    <mergeCell ref="B1:E1"/>
    <mergeCell ref="B2:E2"/>
    <mergeCell ref="B3:E3"/>
    <mergeCell ref="B4:E4"/>
    <mergeCell ref="B5:E5"/>
  </mergeCells>
  <printOptions horizontalCentered="1"/>
  <pageMargins left="0.35" right="0.35" top="1.5" bottom="0.5" header="0.3" footer="0.3"/>
  <pageSetup orientation="landscape" scale="85" r:id="rId1"/>
  <headerFooter>
    <oddHeader>&amp;R
Schedule V-K-9
Page 1 of 1</oddHead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dimension ref="A1:E18"/>
  <sheetViews>
    <sheetView view="pageBreakPreview" zoomScaleNormal="90" zoomScaleSheetLayoutView="100" workbookViewId="0" topLeftCell="A1">
      <selection pane="topLeft" activeCell="C6" sqref="C6"/>
    </sheetView>
  </sheetViews>
  <sheetFormatPr defaultRowHeight="15"/>
  <cols>
    <col min="1" max="1" width="9.71428571428571" style="22" customWidth="1"/>
    <col min="2" max="2" width="14.8571428571429" style="22" customWidth="1"/>
    <col min="3" max="3" width="40.2857142857143" style="22" customWidth="1"/>
    <col min="4" max="4" width="15" style="22" customWidth="1"/>
    <col min="5" max="5" width="19" style="23" customWidth="1"/>
    <col min="6" max="16384" width="9.14285714285714" style="22"/>
  </cols>
  <sheetData>
    <row r="1" spans="2:5" ht="15.75">
      <c r="B1" s="147" t="s">
        <v>166</v>
      </c>
      <c r="C1" s="147"/>
      <c r="D1" s="147"/>
      <c r="E1" s="147"/>
    </row>
    <row r="2" spans="2:5" ht="15.75">
      <c r="B2" s="147" t="s">
        <v>11</v>
      </c>
      <c r="C2" s="147"/>
      <c r="D2" s="147"/>
      <c r="E2" s="147"/>
    </row>
    <row r="3" spans="2:5" ht="15.75">
      <c r="B3" s="147" t="s">
        <v>163</v>
      </c>
      <c r="C3" s="147"/>
      <c r="D3" s="147"/>
      <c r="E3" s="147"/>
    </row>
    <row r="4" spans="2:5" ht="15.75">
      <c r="B4" s="147" t="s">
        <v>167</v>
      </c>
      <c r="C4" s="147"/>
      <c r="D4" s="147"/>
      <c r="E4" s="147"/>
    </row>
    <row r="5" spans="2:5" ht="15.75">
      <c r="B5" s="147" t="s">
        <v>15</v>
      </c>
      <c r="C5" s="147"/>
      <c r="D5" s="147"/>
      <c r="E5" s="147"/>
    </row>
    <row r="7" spans="4:5" ht="15.75">
      <c r="D7" s="48"/>
      <c r="E7" s="48"/>
    </row>
    <row r="8" spans="1:5" s="1" customFormat="1" ht="15">
      <c r="A8" s="58"/>
      <c r="B8" s="58"/>
      <c r="C8" s="58"/>
      <c r="D8" s="114"/>
      <c r="E8" s="58"/>
    </row>
    <row r="9" spans="1:5" s="1" customFormat="1" ht="15">
      <c r="A9" s="51"/>
      <c r="B9" s="58"/>
      <c r="C9" s="58"/>
      <c r="D9" s="58"/>
      <c r="E9" s="58"/>
    </row>
    <row r="10" spans="1:5" s="1" customFormat="1" ht="14.25">
      <c r="A10" s="53"/>
      <c r="B10" s="139" t="s">
        <v>160</v>
      </c>
      <c r="C10" s="55"/>
      <c r="D10" s="56"/>
      <c r="E10" s="57"/>
    </row>
    <row r="11" spans="1:5" s="1" customFormat="1" ht="15">
      <c r="A11" s="53"/>
      <c r="B11" s="54"/>
      <c r="C11" s="58"/>
      <c r="D11" s="138"/>
      <c r="E11" s="57"/>
    </row>
    <row r="12" spans="1:5" s="1" customFormat="1" ht="15">
      <c r="A12" s="53"/>
      <c r="B12" s="58"/>
      <c r="C12" s="54"/>
      <c r="D12" s="56"/>
      <c r="E12" s="58"/>
    </row>
    <row r="13" spans="1:5" s="1" customFormat="1" ht="14.25">
      <c r="A13" s="30"/>
      <c r="B13" s="54"/>
      <c r="C13" s="30"/>
      <c r="D13" s="132"/>
      <c r="E13" s="54"/>
    </row>
    <row r="14" spans="1:5" s="1" customFormat="1" ht="14.25">
      <c r="A14" s="30"/>
      <c r="B14" s="54"/>
      <c r="C14" s="30"/>
      <c r="D14" s="132"/>
      <c r="E14" s="54"/>
    </row>
    <row r="15" spans="1:5" s="1" customFormat="1" ht="14.25">
      <c r="A15" s="30"/>
      <c r="B15" s="54"/>
      <c r="C15" s="30"/>
      <c r="D15" s="61"/>
      <c r="E15" s="2"/>
    </row>
    <row r="16" spans="1:4" ht="15.75">
      <c r="A16" s="62"/>
      <c r="B16" s="63"/>
      <c r="C16" s="62"/>
      <c r="D16" s="64"/>
    </row>
    <row r="17" spans="1:5" ht="80.25" customHeight="1">
      <c r="A17" s="62"/>
      <c r="B17" s="149"/>
      <c r="C17" s="149"/>
      <c r="D17" s="149"/>
      <c r="E17" s="149"/>
    </row>
    <row r="18" spans="1:4" ht="15">
      <c r="A18" s="62"/>
      <c r="B18" s="62"/>
      <c r="C18" s="62"/>
      <c r="D18" s="64"/>
    </row>
  </sheetData>
  <mergeCells count="6">
    <mergeCell ref="B17:E17"/>
    <mergeCell ref="B1:E1"/>
    <mergeCell ref="B2:E2"/>
    <mergeCell ref="B3:E3"/>
    <mergeCell ref="B4:E4"/>
    <mergeCell ref="B5:E5"/>
  </mergeCells>
  <printOptions horizontalCentered="1"/>
  <pageMargins left="0.35" right="0.35" top="1.5" bottom="0.5" header="0.3" footer="0.3"/>
  <pageSetup orientation="landscape" scale="85" r:id="rId1"/>
  <headerFooter>
    <oddHeader>&amp;R
Schedule V-K-10
Page 1 of 1</oddHead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dimension ref="A1:D18"/>
  <sheetViews>
    <sheetView view="pageBreakPreview" zoomScale="90" zoomScaleNormal="90" zoomScaleSheetLayoutView="90" workbookViewId="0" topLeftCell="A1">
      <selection pane="topLeft" activeCell="B12" sqref="B12"/>
    </sheetView>
  </sheetViews>
  <sheetFormatPr defaultRowHeight="15"/>
  <cols>
    <col min="1" max="1" width="37.1428571428571" style="22" customWidth="1"/>
    <col min="2" max="2" width="69.8571428571429" style="22" customWidth="1"/>
    <col min="3" max="3" width="16.2857142857143" style="22" customWidth="1"/>
    <col min="4" max="4" width="22.7142857142857" style="22" customWidth="1"/>
    <col min="5" max="16384" width="9.14285714285714" style="22"/>
  </cols>
  <sheetData>
    <row r="1" spans="1:4" ht="15.75">
      <c r="A1" s="147" t="s">
        <v>166</v>
      </c>
      <c r="B1" s="147"/>
      <c r="C1" s="147"/>
      <c r="D1" s="147"/>
    </row>
    <row r="2" spans="1:4" ht="15.75">
      <c r="A2" s="147" t="s">
        <v>11</v>
      </c>
      <c r="B2" s="147"/>
      <c r="C2" s="147"/>
      <c r="D2" s="147"/>
    </row>
    <row r="3" spans="1:4" ht="15.75">
      <c r="A3" s="147" t="s">
        <v>111</v>
      </c>
      <c r="B3" s="147"/>
      <c r="C3" s="147"/>
      <c r="D3" s="147"/>
    </row>
    <row r="4" spans="1:4" ht="15.75">
      <c r="A4" s="147" t="s">
        <v>167</v>
      </c>
      <c r="B4" s="147"/>
      <c r="C4" s="147"/>
      <c r="D4" s="147"/>
    </row>
    <row r="5" spans="1:4" ht="15.75">
      <c r="A5" s="147" t="s">
        <v>49</v>
      </c>
      <c r="B5" s="147"/>
      <c r="C5" s="147"/>
      <c r="D5" s="147"/>
    </row>
    <row r="6" spans="1:2" ht="15.75">
      <c r="A6" s="89"/>
      <c r="B6" s="89"/>
    </row>
    <row r="7" spans="1:4" ht="15.75">
      <c r="A7" s="89"/>
      <c r="B7" s="89"/>
      <c r="C7" s="17" t="s">
        <v>112</v>
      </c>
      <c r="D7" s="17"/>
    </row>
    <row r="8" spans="3:4" ht="15.75">
      <c r="C8" s="17" t="s">
        <v>113</v>
      </c>
      <c r="D8" s="17" t="s">
        <v>114</v>
      </c>
    </row>
    <row r="9" spans="1:4" s="1" customFormat="1" ht="15">
      <c r="A9" s="18" t="s">
        <v>3</v>
      </c>
      <c r="B9" s="18" t="s">
        <v>114</v>
      </c>
      <c r="C9" s="17" t="s">
        <v>115</v>
      </c>
      <c r="D9" s="17" t="s">
        <v>116</v>
      </c>
    </row>
    <row r="10" spans="1:4" s="1" customFormat="1" ht="48.75" customHeight="1">
      <c r="A10" s="36" t="s">
        <v>117</v>
      </c>
      <c r="B10" s="90" t="s">
        <v>236</v>
      </c>
      <c r="C10" s="91" t="s">
        <v>118</v>
      </c>
      <c r="D10" s="91" t="s">
        <v>118</v>
      </c>
    </row>
    <row r="11" spans="1:4" s="1" customFormat="1" ht="48.75" customHeight="1">
      <c r="A11" s="36" t="s">
        <v>119</v>
      </c>
      <c r="B11" s="90" t="s">
        <v>236</v>
      </c>
      <c r="C11" s="91" t="s">
        <v>118</v>
      </c>
      <c r="D11" s="91" t="s">
        <v>118</v>
      </c>
    </row>
    <row r="12" spans="1:4" s="1" customFormat="1" ht="48.75" customHeight="1">
      <c r="A12" s="36" t="s">
        <v>120</v>
      </c>
      <c r="B12" s="90" t="s">
        <v>235</v>
      </c>
      <c r="C12" s="91" t="s">
        <v>118</v>
      </c>
      <c r="D12" s="91" t="s">
        <v>118</v>
      </c>
    </row>
    <row r="13" spans="1:4" s="1" customFormat="1" ht="40.5" customHeight="1">
      <c r="A13" s="36" t="s">
        <v>121</v>
      </c>
      <c r="B13" s="37" t="s">
        <v>122</v>
      </c>
      <c r="C13" s="91" t="s">
        <v>118</v>
      </c>
      <c r="D13" s="91" t="s">
        <v>118</v>
      </c>
    </row>
    <row r="14" spans="1:4" s="1" customFormat="1" ht="42.75" customHeight="1">
      <c r="A14" s="36" t="s">
        <v>123</v>
      </c>
      <c r="B14" s="37" t="s">
        <v>124</v>
      </c>
      <c r="C14" s="91" t="s">
        <v>118</v>
      </c>
      <c r="D14" s="91" t="s">
        <v>118</v>
      </c>
    </row>
    <row r="15" spans="1:4" s="1" customFormat="1" ht="62.25" customHeight="1">
      <c r="A15" s="43" t="s">
        <v>216</v>
      </c>
      <c r="B15" s="37" t="s">
        <v>219</v>
      </c>
      <c r="C15" s="91" t="s">
        <v>125</v>
      </c>
      <c r="D15" s="91" t="s">
        <v>125</v>
      </c>
    </row>
    <row r="16" spans="1:4" s="1" customFormat="1" ht="62.25" customHeight="1">
      <c r="A16" s="43" t="s">
        <v>217</v>
      </c>
      <c r="B16" s="37" t="s">
        <v>220</v>
      </c>
      <c r="C16" s="91" t="s">
        <v>125</v>
      </c>
      <c r="D16" s="91" t="s">
        <v>125</v>
      </c>
    </row>
    <row r="17" spans="1:4" s="1" customFormat="1" ht="93" customHeight="1">
      <c r="A17" s="92" t="s">
        <v>218</v>
      </c>
      <c r="B17" s="46" t="s">
        <v>221</v>
      </c>
      <c r="C17" s="93" t="s">
        <v>126</v>
      </c>
      <c r="D17" s="93" t="s">
        <v>126</v>
      </c>
    </row>
    <row r="18" spans="1:4" s="1" customFormat="1" ht="65.25" customHeight="1">
      <c r="A18" s="92" t="s">
        <v>38</v>
      </c>
      <c r="B18" s="46" t="s">
        <v>127</v>
      </c>
      <c r="C18" s="91" t="s">
        <v>118</v>
      </c>
      <c r="D18" s="91" t="s">
        <v>118</v>
      </c>
    </row>
    <row r="19" s="1" customFormat="1" ht="7.5" customHeight="1"/>
  </sheetData>
  <mergeCells count="5">
    <mergeCell ref="A1:D1"/>
    <mergeCell ref="A2:D2"/>
    <mergeCell ref="A3:D3"/>
    <mergeCell ref="A4:D4"/>
    <mergeCell ref="A5:D5"/>
  </mergeCells>
  <printOptions horizontalCentered="1"/>
  <pageMargins left="0.35" right="0.35" top="1.5" bottom="0.5" header="0.3" footer="0.3"/>
  <pageSetup orientation="landscape" scale="61" r:id="rId1"/>
  <headerFooter>
    <oddHeader>&amp;R
Schedule V-K-11
Page 1 of 1</oddHead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dimension ref="A1:H33"/>
  <sheetViews>
    <sheetView view="pageBreakPreview" zoomScaleNormal="90" zoomScaleSheetLayoutView="100" workbookViewId="0" topLeftCell="A1">
      <selection pane="topLeft" activeCell="B6" sqref="B6"/>
    </sheetView>
  </sheetViews>
  <sheetFormatPr defaultRowHeight="15"/>
  <cols>
    <col min="1" max="1" width="9.14285714285714" style="22"/>
    <col min="2" max="2" width="35.1428571428571" style="22" customWidth="1"/>
    <col min="3" max="3" width="37.7142857142857" style="22" customWidth="1"/>
    <col min="4" max="4" width="17.5714285714286" style="22" customWidth="1"/>
    <col min="5" max="6" width="14.7142857142857" style="22" customWidth="1"/>
    <col min="7" max="7" width="17.4285714285714" style="22" customWidth="1"/>
    <col min="8" max="8" width="12.7142857142857" style="22" customWidth="1"/>
    <col min="9" max="16384" width="9.14285714285714" style="22"/>
  </cols>
  <sheetData>
    <row r="1" spans="2:8" ht="15.75">
      <c r="B1" s="147" t="s">
        <v>166</v>
      </c>
      <c r="C1" s="147"/>
      <c r="D1" s="147"/>
      <c r="E1" s="147"/>
      <c r="F1" s="147"/>
      <c r="G1" s="147"/>
      <c r="H1" s="140"/>
    </row>
    <row r="2" spans="2:8" ht="15.75">
      <c r="B2" s="147" t="s">
        <v>11</v>
      </c>
      <c r="C2" s="147"/>
      <c r="D2" s="147"/>
      <c r="E2" s="147"/>
      <c r="F2" s="147"/>
      <c r="G2" s="147"/>
      <c r="H2" s="140"/>
    </row>
    <row r="3" spans="2:8" ht="15.75">
      <c r="B3" s="147" t="s">
        <v>128</v>
      </c>
      <c r="C3" s="147"/>
      <c r="D3" s="147"/>
      <c r="E3" s="147"/>
      <c r="F3" s="147"/>
      <c r="G3" s="147"/>
      <c r="H3" s="140"/>
    </row>
    <row r="4" spans="2:8" ht="15.75">
      <c r="B4" s="147" t="s">
        <v>167</v>
      </c>
      <c r="C4" s="147"/>
      <c r="D4" s="147"/>
      <c r="E4" s="147"/>
      <c r="F4" s="147"/>
      <c r="G4" s="147"/>
      <c r="H4" s="140"/>
    </row>
    <row r="5" spans="2:8" ht="15.75">
      <c r="B5" s="147" t="s">
        <v>15</v>
      </c>
      <c r="C5" s="147"/>
      <c r="D5" s="147"/>
      <c r="E5" s="147"/>
      <c r="F5" s="147"/>
      <c r="G5" s="147"/>
      <c r="H5" s="140"/>
    </row>
    <row r="6" spans="2:7" ht="15.75">
      <c r="B6" s="89"/>
      <c r="C6" s="89"/>
      <c r="D6" s="89"/>
      <c r="E6" s="89"/>
      <c r="F6" s="89"/>
      <c r="G6" s="89"/>
    </row>
    <row r="7" spans="2:7" ht="15.75">
      <c r="B7" s="89"/>
      <c r="C7" s="89"/>
      <c r="D7" s="94"/>
      <c r="E7" s="94"/>
      <c r="F7" s="95" t="s">
        <v>129</v>
      </c>
      <c r="G7" s="89"/>
    </row>
    <row r="8" spans="2:7" ht="15.75">
      <c r="B8" s="89"/>
      <c r="C8" s="89"/>
      <c r="D8" s="95" t="s">
        <v>129</v>
      </c>
      <c r="E8" s="95" t="s">
        <v>129</v>
      </c>
      <c r="F8" s="95" t="s">
        <v>130</v>
      </c>
      <c r="G8" s="89"/>
    </row>
    <row r="9" spans="1:8" ht="15.75">
      <c r="A9" s="2"/>
      <c r="D9" s="17" t="s">
        <v>131</v>
      </c>
      <c r="E9" s="17" t="s">
        <v>132</v>
      </c>
      <c r="F9" s="17" t="s">
        <v>131</v>
      </c>
      <c r="G9" s="17" t="s">
        <v>6</v>
      </c>
      <c r="H9" s="58"/>
    </row>
    <row r="10" spans="1:8" s="1" customFormat="1" ht="15">
      <c r="A10" s="18" t="s">
        <v>2</v>
      </c>
      <c r="B10" s="18" t="s">
        <v>3</v>
      </c>
      <c r="C10" s="96" t="s">
        <v>21</v>
      </c>
      <c r="D10" s="96" t="s">
        <v>133</v>
      </c>
      <c r="E10" s="96" t="s">
        <v>134</v>
      </c>
      <c r="F10" s="96" t="s">
        <v>135</v>
      </c>
      <c r="G10" s="96" t="s">
        <v>129</v>
      </c>
      <c r="H10" s="58"/>
    </row>
    <row r="11" spans="1:8" s="1" customFormat="1" ht="15.75" customHeight="1">
      <c r="A11" s="2"/>
      <c r="B11" s="97" t="s">
        <v>34</v>
      </c>
      <c r="C11" s="37" t="s">
        <v>136</v>
      </c>
      <c r="D11" s="98">
        <f>+'V-K-1'!F11</f>
        <v>27000</v>
      </c>
      <c r="E11" s="37"/>
      <c r="F11" s="37"/>
      <c r="G11" s="98">
        <f>SUM(D11:F11)</f>
        <v>27000</v>
      </c>
      <c r="H11" s="99"/>
    </row>
    <row r="12" spans="1:8" s="1" customFormat="1" ht="15.75" customHeight="1">
      <c r="A12" s="2">
        <v>1</v>
      </c>
      <c r="B12" s="43"/>
      <c r="C12" s="37" t="s">
        <v>23</v>
      </c>
      <c r="D12" s="98">
        <f>+'V-K-1'!F12</f>
        <v>67250</v>
      </c>
      <c r="E12" s="37"/>
      <c r="F12" s="37"/>
      <c r="G12" s="100">
        <f>SUM(D12:F12)</f>
        <v>67250</v>
      </c>
      <c r="H12" s="99"/>
    </row>
    <row r="13" spans="1:8" s="1" customFormat="1" ht="15.75" customHeight="1">
      <c r="A13" s="2">
        <f>A12+1</f>
        <v>2</v>
      </c>
      <c r="B13" s="43"/>
      <c r="C13" s="37" t="s">
        <v>137</v>
      </c>
      <c r="D13" s="98">
        <f>+'V-K-1'!F13</f>
        <v>25750</v>
      </c>
      <c r="E13" s="37"/>
      <c r="F13" s="37"/>
      <c r="G13" s="100">
        <f>SUM(D13:F13)</f>
        <v>25750</v>
      </c>
      <c r="H13" s="99"/>
    </row>
    <row r="14" spans="1:8" s="105" customFormat="1" ht="15.75" customHeight="1">
      <c r="A14" s="2">
        <f t="shared" si="0" ref="A14:A33">A13+1</f>
        <v>3</v>
      </c>
      <c r="B14" s="101"/>
      <c r="C14" s="101" t="s">
        <v>138</v>
      </c>
      <c r="D14" s="102">
        <f>+D11+D12+D13</f>
        <v>120000</v>
      </c>
      <c r="E14" s="103"/>
      <c r="F14" s="103"/>
      <c r="G14" s="102">
        <f>+G11+G12+G13</f>
        <v>120000</v>
      </c>
      <c r="H14" s="104"/>
    </row>
    <row r="15" spans="1:8" s="105" customFormat="1" ht="15.75" customHeight="1">
      <c r="A15" s="2">
        <f t="shared" si="0"/>
        <v>4</v>
      </c>
      <c r="B15" s="106"/>
      <c r="C15" s="106"/>
      <c r="D15" s="107"/>
      <c r="E15" s="108"/>
      <c r="F15" s="108"/>
      <c r="G15" s="107"/>
      <c r="H15" s="104"/>
    </row>
    <row r="16" spans="1:7" s="1" customFormat="1" ht="15">
      <c r="A16" s="2">
        <f t="shared" si="0"/>
        <v>5</v>
      </c>
      <c r="B16" s="97" t="s">
        <v>35</v>
      </c>
      <c r="C16" s="37" t="s">
        <v>139</v>
      </c>
      <c r="D16" s="98">
        <f>+'V-K-1'!F18</f>
        <v>2896972</v>
      </c>
      <c r="E16" s="37"/>
      <c r="F16" s="37"/>
      <c r="G16" s="98">
        <f>SUM(D16:F16)</f>
        <v>2896972</v>
      </c>
    </row>
    <row r="17" spans="1:7" s="105" customFormat="1" ht="15">
      <c r="A17" s="2">
        <f t="shared" si="0"/>
        <v>6</v>
      </c>
      <c r="B17" s="109"/>
      <c r="C17" s="109" t="s">
        <v>140</v>
      </c>
      <c r="D17" s="110">
        <f>+D16</f>
        <v>2896972</v>
      </c>
      <c r="E17" s="103"/>
      <c r="F17" s="103"/>
      <c r="G17" s="102">
        <f>+G16</f>
        <v>2896972</v>
      </c>
    </row>
    <row r="18" spans="1:3" ht="15">
      <c r="A18" s="2">
        <f t="shared" si="0"/>
        <v>7</v>
      </c>
      <c r="C18" s="1"/>
    </row>
    <row r="19" spans="1:7" ht="15">
      <c r="A19" s="2">
        <f t="shared" si="0"/>
        <v>8</v>
      </c>
      <c r="B19" s="97" t="s">
        <v>35</v>
      </c>
      <c r="C19" s="37" t="s">
        <v>30</v>
      </c>
      <c r="D19" s="98">
        <f>+'V-K-1'!F21-E19</f>
        <v>685233</v>
      </c>
      <c r="E19" s="100">
        <f>45700+8613</f>
        <v>54313</v>
      </c>
      <c r="F19" s="37"/>
      <c r="G19" s="98">
        <f>+D19+E19+F19</f>
        <v>739546</v>
      </c>
    </row>
    <row r="20" spans="1:7" s="111" customFormat="1" ht="15.75">
      <c r="A20" s="2">
        <f t="shared" si="0"/>
        <v>9</v>
      </c>
      <c r="B20" s="109"/>
      <c r="C20" s="109" t="s">
        <v>141</v>
      </c>
      <c r="D20" s="110">
        <f>+D19</f>
        <v>685233</v>
      </c>
      <c r="E20" s="112">
        <f>+E19</f>
        <v>54313</v>
      </c>
      <c r="F20" s="103"/>
      <c r="G20" s="102">
        <f>+G19</f>
        <v>739546</v>
      </c>
    </row>
    <row r="21" spans="1:1" ht="15">
      <c r="A21" s="2">
        <f t="shared" si="0"/>
        <v>10</v>
      </c>
    </row>
    <row r="22" spans="1:1" ht="15">
      <c r="A22" s="2">
        <f t="shared" si="0"/>
        <v>11</v>
      </c>
    </row>
    <row r="23" spans="1:7" ht="15">
      <c r="A23" s="2">
        <f t="shared" si="0"/>
        <v>12</v>
      </c>
      <c r="B23" s="97" t="s">
        <v>36</v>
      </c>
      <c r="C23" s="37" t="s">
        <v>31</v>
      </c>
      <c r="D23" s="98">
        <f>+'V-K-1'!F23</f>
        <v>9498427</v>
      </c>
      <c r="E23" s="37"/>
      <c r="F23" s="37"/>
      <c r="G23" s="98">
        <f>SUM(D23:F23)</f>
        <v>9498427</v>
      </c>
    </row>
    <row r="24" spans="1:7" s="111" customFormat="1" ht="15.75">
      <c r="A24" s="2">
        <f t="shared" si="0"/>
        <v>13</v>
      </c>
      <c r="B24" s="109"/>
      <c r="C24" s="109" t="s">
        <v>222</v>
      </c>
      <c r="D24" s="110">
        <f>+D23</f>
        <v>9498427</v>
      </c>
      <c r="E24" s="103"/>
      <c r="F24" s="103"/>
      <c r="G24" s="112">
        <f>+G23</f>
        <v>9498427</v>
      </c>
    </row>
    <row r="25" spans="1:1" ht="15">
      <c r="A25" s="2">
        <f t="shared" si="0"/>
        <v>14</v>
      </c>
    </row>
    <row r="26" spans="1:7" ht="15">
      <c r="A26" s="2">
        <f t="shared" si="0"/>
        <v>15</v>
      </c>
      <c r="B26" s="97" t="s">
        <v>36</v>
      </c>
      <c r="C26" s="37" t="s">
        <v>32</v>
      </c>
      <c r="D26" s="98">
        <f>+'V-K-1'!F25</f>
        <v>80434328</v>
      </c>
      <c r="E26" s="37"/>
      <c r="F26" s="37"/>
      <c r="G26" s="98">
        <f>SUM(D26:F26)</f>
        <v>80434328</v>
      </c>
    </row>
    <row r="27" spans="1:7" ht="15">
      <c r="A27" s="2">
        <f t="shared" si="0"/>
        <v>16</v>
      </c>
      <c r="B27" s="113"/>
      <c r="C27" s="37" t="s">
        <v>33</v>
      </c>
      <c r="D27" s="98">
        <f>+'V-K-1'!F26</f>
        <v>20879874</v>
      </c>
      <c r="E27" s="37"/>
      <c r="F27" s="37"/>
      <c r="G27" s="100">
        <f>SUM(D27:F27)</f>
        <v>20879874</v>
      </c>
    </row>
    <row r="28" spans="1:7" s="111" customFormat="1" ht="15.75">
      <c r="A28" s="2">
        <f t="shared" si="0"/>
        <v>17</v>
      </c>
      <c r="B28" s="109"/>
      <c r="C28" s="109" t="s">
        <v>223</v>
      </c>
      <c r="D28" s="102">
        <f>+D26+D27</f>
        <v>101314202</v>
      </c>
      <c r="E28" s="103"/>
      <c r="F28" s="103"/>
      <c r="G28" s="102">
        <f>+G26+G27</f>
        <v>101314202</v>
      </c>
    </row>
    <row r="29" spans="1:8" ht="15.75">
      <c r="A29" s="2">
        <f t="shared" si="0"/>
        <v>18</v>
      </c>
      <c r="H29" s="58"/>
    </row>
    <row r="30" spans="1:8" ht="15">
      <c r="A30" s="2">
        <f t="shared" si="0"/>
        <v>19</v>
      </c>
      <c r="B30" s="97" t="s">
        <v>37</v>
      </c>
      <c r="C30" s="37" t="s">
        <v>38</v>
      </c>
      <c r="D30" s="98">
        <f>+'V-K-1'!F32</f>
        <v>276540</v>
      </c>
      <c r="E30" s="37"/>
      <c r="F30" s="37"/>
      <c r="G30" s="98">
        <f>SUM(D30:F30)</f>
        <v>276540</v>
      </c>
      <c r="H30" s="141"/>
    </row>
    <row r="31" spans="1:8" ht="15.75">
      <c r="A31" s="2">
        <f t="shared" si="0"/>
        <v>20</v>
      </c>
      <c r="B31" s="109"/>
      <c r="C31" s="109" t="s">
        <v>143</v>
      </c>
      <c r="D31" s="110">
        <f>+D30</f>
        <v>276540</v>
      </c>
      <c r="E31" s="103"/>
      <c r="F31" s="103"/>
      <c r="G31" s="102">
        <f>+G30</f>
        <v>276540</v>
      </c>
      <c r="H31" s="142"/>
    </row>
    <row r="32" spans="1:1" ht="14.25" customHeight="1">
      <c r="A32" s="2">
        <f t="shared" si="0"/>
        <v>21</v>
      </c>
    </row>
    <row r="33" spans="1:7" ht="15.75">
      <c r="A33" s="2">
        <f t="shared" si="0"/>
        <v>22</v>
      </c>
      <c r="B33" s="17" t="s">
        <v>192</v>
      </c>
      <c r="D33" s="143">
        <f>+D14+D17+D20+D24+D28+D31</f>
        <v>114791374</v>
      </c>
      <c r="E33" s="143">
        <f>+E14+E17+E20+E24+E28+E31</f>
        <v>54313</v>
      </c>
      <c r="F33" s="143">
        <f>+F14+F17+F20+F24+F28+F31</f>
        <v>0</v>
      </c>
      <c r="G33" s="143">
        <f>+G14+G17+G20+G24+G28+G31</f>
        <v>114845687</v>
      </c>
    </row>
  </sheetData>
  <mergeCells count="5">
    <mergeCell ref="B1:G1"/>
    <mergeCell ref="B2:G2"/>
    <mergeCell ref="B3:G3"/>
    <mergeCell ref="B4:G4"/>
    <mergeCell ref="B5:G5"/>
  </mergeCells>
  <printOptions horizontalCentered="1"/>
  <pageMargins left="0.35" right="0.35" top="1.5" bottom="0.5" header="0.3" footer="0.3"/>
  <pageSetup orientation="landscape" scale="85" r:id="rId1"/>
  <headerFooter>
    <oddHeader>&amp;R
Schedule V-K-12
Page 1 of 1</oddHead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dimension ref="A1:D40"/>
  <sheetViews>
    <sheetView view="pageBreakPreview" zoomScaleNormal="90" zoomScaleSheetLayoutView="100" workbookViewId="0" topLeftCell="A1">
      <selection pane="topLeft" activeCell="A6" sqref="A6"/>
    </sheetView>
  </sheetViews>
  <sheetFormatPr defaultRowHeight="15"/>
  <cols>
    <col min="1" max="1" width="32" style="23" customWidth="1"/>
    <col min="2" max="2" width="15.7142857142857" style="24" customWidth="1"/>
    <col min="3" max="3" width="18.5714285714286" style="23" customWidth="1"/>
    <col min="4" max="4" width="30.7142857142857" style="22" customWidth="1"/>
    <col min="5" max="16384" width="9.14285714285714" style="22"/>
  </cols>
  <sheetData>
    <row r="1" spans="1:4" ht="15.75">
      <c r="A1" s="147" t="s">
        <v>166</v>
      </c>
      <c r="B1" s="147"/>
      <c r="C1" s="147"/>
      <c r="D1" s="147"/>
    </row>
    <row r="2" spans="1:4" ht="15.75">
      <c r="A2" s="147" t="s">
        <v>11</v>
      </c>
      <c r="B2" s="147"/>
      <c r="C2" s="147"/>
      <c r="D2" s="147"/>
    </row>
    <row r="3" spans="1:4" ht="15.75">
      <c r="A3" s="147" t="s">
        <v>144</v>
      </c>
      <c r="B3" s="147"/>
      <c r="C3" s="147"/>
      <c r="D3" s="147"/>
    </row>
    <row r="4" spans="1:4" ht="15.75">
      <c r="A4" s="147" t="s">
        <v>167</v>
      </c>
      <c r="B4" s="147"/>
      <c r="C4" s="147"/>
      <c r="D4" s="147"/>
    </row>
    <row r="5" spans="1:4" ht="15.75">
      <c r="A5" s="147" t="s">
        <v>15</v>
      </c>
      <c r="B5" s="147"/>
      <c r="C5" s="147"/>
      <c r="D5" s="147"/>
    </row>
    <row r="7" spans="1:4" s="1" customFormat="1" ht="15">
      <c r="A7" s="58"/>
      <c r="B7" s="114" t="s">
        <v>145</v>
      </c>
      <c r="C7" s="115"/>
      <c r="D7" s="17" t="s">
        <v>50</v>
      </c>
    </row>
    <row r="8" spans="1:4" s="1" customFormat="1" ht="15">
      <c r="A8" s="49" t="s">
        <v>146</v>
      </c>
      <c r="B8" s="50" t="s">
        <v>147</v>
      </c>
      <c r="C8" s="50" t="s">
        <v>148</v>
      </c>
      <c r="D8" s="49" t="s">
        <v>149</v>
      </c>
    </row>
    <row r="9" spans="1:4" s="1" customFormat="1" ht="15">
      <c r="A9" s="116" t="s">
        <v>7</v>
      </c>
      <c r="B9" s="116" t="s">
        <v>8</v>
      </c>
      <c r="C9" s="116" t="s">
        <v>9</v>
      </c>
      <c r="D9" s="116" t="s">
        <v>44</v>
      </c>
    </row>
    <row r="10" spans="1:4" ht="32.25" customHeight="1">
      <c r="A10" s="117" t="s">
        <v>54</v>
      </c>
      <c r="B10" s="118" t="s">
        <v>150</v>
      </c>
      <c r="C10" s="119">
        <v>43769</v>
      </c>
      <c r="D10" s="120" t="s">
        <v>142</v>
      </c>
    </row>
    <row r="11" spans="1:4" ht="32.25" customHeight="1">
      <c r="A11" s="117" t="s">
        <v>56</v>
      </c>
      <c r="B11" s="118" t="s">
        <v>150</v>
      </c>
      <c r="C11" s="119">
        <v>43769</v>
      </c>
      <c r="D11" s="120" t="s">
        <v>142</v>
      </c>
    </row>
    <row r="12" spans="1:4" ht="32.25" customHeight="1">
      <c r="A12" s="117" t="s">
        <v>58</v>
      </c>
      <c r="B12" s="118" t="s">
        <v>150</v>
      </c>
      <c r="C12" s="119">
        <v>43769</v>
      </c>
      <c r="D12" s="120" t="s">
        <v>142</v>
      </c>
    </row>
    <row r="13" spans="1:4" ht="30" customHeight="1">
      <c r="A13" s="121" t="s">
        <v>61</v>
      </c>
      <c r="B13" s="118" t="s">
        <v>150</v>
      </c>
      <c r="C13" s="119">
        <v>43591</v>
      </c>
      <c r="D13" s="122" t="s">
        <v>28</v>
      </c>
    </row>
    <row r="14" spans="1:4" ht="30" customHeight="1">
      <c r="A14" s="121" t="s">
        <v>61</v>
      </c>
      <c r="B14" s="118" t="s">
        <v>150</v>
      </c>
      <c r="C14" s="123">
        <v>42282</v>
      </c>
      <c r="D14" s="120" t="s">
        <v>30</v>
      </c>
    </row>
    <row r="15" spans="1:4" ht="32.25" customHeight="1">
      <c r="A15" s="122" t="s">
        <v>151</v>
      </c>
      <c r="B15" s="118" t="s">
        <v>150</v>
      </c>
      <c r="C15" s="119">
        <v>43602</v>
      </c>
      <c r="D15" s="120" t="s">
        <v>64</v>
      </c>
    </row>
    <row r="16" spans="1:4" ht="32.25" customHeight="1">
      <c r="A16" s="122" t="s">
        <v>151</v>
      </c>
      <c r="B16" s="118" t="s">
        <v>150</v>
      </c>
      <c r="C16" s="124">
        <v>43602</v>
      </c>
      <c r="D16" s="120" t="s">
        <v>152</v>
      </c>
    </row>
    <row r="17" spans="1:4" ht="30" customHeight="1">
      <c r="A17" s="122" t="s">
        <v>70</v>
      </c>
      <c r="B17" s="118" t="s">
        <v>150</v>
      </c>
      <c r="C17" s="119">
        <v>43983</v>
      </c>
      <c r="D17" s="120" t="s">
        <v>38</v>
      </c>
    </row>
    <row r="18" spans="3:3" ht="15">
      <c r="C18" s="125"/>
    </row>
    <row r="19" spans="3:3" ht="15">
      <c r="C19" s="125"/>
    </row>
    <row r="20" spans="3:3" ht="15">
      <c r="C20" s="125"/>
    </row>
    <row r="21" spans="3:3" ht="15">
      <c r="C21" s="125"/>
    </row>
    <row r="22" spans="3:3" ht="15">
      <c r="C22" s="125"/>
    </row>
    <row r="23" spans="3:3" ht="15">
      <c r="C23" s="125"/>
    </row>
    <row r="24" spans="3:3" ht="15">
      <c r="C24" s="125"/>
    </row>
    <row r="25" spans="3:3" ht="15">
      <c r="C25" s="125"/>
    </row>
    <row r="26" spans="3:3" ht="15">
      <c r="C26" s="125"/>
    </row>
    <row r="27" spans="3:3" ht="15">
      <c r="C27" s="125"/>
    </row>
    <row r="28" spans="3:3" ht="15">
      <c r="C28" s="125"/>
    </row>
    <row r="29" spans="3:3" ht="15">
      <c r="C29" s="125"/>
    </row>
    <row r="30" spans="3:3" ht="15">
      <c r="C30" s="125"/>
    </row>
    <row r="31" spans="3:3" ht="15">
      <c r="C31" s="125"/>
    </row>
    <row r="32" spans="3:3" ht="15">
      <c r="C32" s="125"/>
    </row>
    <row r="33" spans="3:3" ht="15">
      <c r="C33" s="125"/>
    </row>
    <row r="34" spans="3:3" ht="15">
      <c r="C34" s="125"/>
    </row>
    <row r="35" spans="3:3" ht="15">
      <c r="C35" s="125"/>
    </row>
    <row r="36" spans="3:3" ht="15">
      <c r="C36" s="125"/>
    </row>
    <row r="37" spans="3:3" ht="15">
      <c r="C37" s="125"/>
    </row>
    <row r="38" spans="3:3" ht="15">
      <c r="C38" s="125"/>
    </row>
    <row r="39" spans="3:3" ht="15">
      <c r="C39" s="125"/>
    </row>
    <row r="40" spans="3:3" ht="15">
      <c r="C40" s="125"/>
    </row>
  </sheetData>
  <mergeCells count="5">
    <mergeCell ref="A1:D1"/>
    <mergeCell ref="A2:D2"/>
    <mergeCell ref="A3:D3"/>
    <mergeCell ref="A4:D4"/>
    <mergeCell ref="A5:D5"/>
  </mergeCells>
  <printOptions horizontalCentered="1"/>
  <pageMargins left="0.35" right="0.35" top="1.5" bottom="0.5" header="0.3" footer="0.3"/>
  <pageSetup orientation="landscape" scale="85" r:id="rId1"/>
  <headerFooter>
    <oddHeader>&amp;R
Schedule V-K-13
Page 1 of 1</oddHead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dimension ref="A1:G19"/>
  <sheetViews>
    <sheetView view="pageBreakPreview" zoomScaleNormal="90" zoomScaleSheetLayoutView="100" workbookViewId="0" topLeftCell="A1">
      <selection pane="topLeft" activeCell="H7" sqref="H7"/>
    </sheetView>
  </sheetViews>
  <sheetFormatPr defaultRowHeight="15"/>
  <cols>
    <col min="1" max="1" width="9.71428571428571" style="22" customWidth="1"/>
    <col min="2" max="2" width="14.8571428571429" style="22" customWidth="1"/>
    <col min="3" max="3" width="35" style="22" customWidth="1"/>
    <col min="4" max="4" width="13.5714285714286" style="24" customWidth="1"/>
    <col min="5" max="5" width="31.8571428571429" style="22" customWidth="1"/>
    <col min="6" max="6" width="16.1428571428571" style="23" customWidth="1"/>
    <col min="7" max="16384" width="9.14285714285714" style="22"/>
  </cols>
  <sheetData>
    <row r="1" spans="2:6" ht="15.75">
      <c r="B1" s="147" t="s">
        <v>166</v>
      </c>
      <c r="C1" s="147"/>
      <c r="D1" s="147"/>
      <c r="E1" s="147"/>
      <c r="F1" s="147"/>
    </row>
    <row r="2" spans="2:6" ht="15.75">
      <c r="B2" s="147" t="s">
        <v>11</v>
      </c>
      <c r="C2" s="147"/>
      <c r="D2" s="147"/>
      <c r="E2" s="147"/>
      <c r="F2" s="147"/>
    </row>
    <row r="3" spans="2:6" ht="15.75">
      <c r="B3" s="147" t="s">
        <v>153</v>
      </c>
      <c r="C3" s="147"/>
      <c r="D3" s="147"/>
      <c r="E3" s="147"/>
      <c r="F3" s="147"/>
    </row>
    <row r="4" spans="2:6" ht="15.75">
      <c r="B4" s="147" t="s">
        <v>167</v>
      </c>
      <c r="C4" s="147"/>
      <c r="D4" s="147"/>
      <c r="E4" s="147"/>
      <c r="F4" s="147"/>
    </row>
    <row r="5" spans="2:7" ht="15.75">
      <c r="B5" s="147" t="s">
        <v>15</v>
      </c>
      <c r="C5" s="147"/>
      <c r="D5" s="147"/>
      <c r="E5" s="147"/>
      <c r="F5" s="147"/>
      <c r="G5" s="146"/>
    </row>
    <row r="7" spans="1:6" s="1" customFormat="1" ht="15">
      <c r="A7" s="126"/>
      <c r="B7" s="126" t="s">
        <v>154</v>
      </c>
      <c r="C7" s="126"/>
      <c r="D7" s="127" t="s">
        <v>0</v>
      </c>
      <c r="E7" s="128" t="s">
        <v>1</v>
      </c>
      <c r="F7" s="129"/>
    </row>
    <row r="8" spans="1:6" s="1" customFormat="1" ht="15">
      <c r="A8" s="130" t="s">
        <v>2</v>
      </c>
      <c r="B8" s="130" t="s">
        <v>155</v>
      </c>
      <c r="C8" s="130" t="s">
        <v>21</v>
      </c>
      <c r="D8" s="131" t="s">
        <v>4</v>
      </c>
      <c r="E8" s="131" t="s">
        <v>5</v>
      </c>
      <c r="F8" s="130" t="s">
        <v>86</v>
      </c>
    </row>
    <row r="9" spans="1:6" s="1" customFormat="1" ht="14.25">
      <c r="A9" s="30"/>
      <c r="B9" s="54"/>
      <c r="C9" s="30"/>
      <c r="D9" s="132"/>
      <c r="E9" s="61"/>
      <c r="F9" s="2"/>
    </row>
    <row r="10" spans="1:5" ht="15">
      <c r="A10" s="133">
        <v>1</v>
      </c>
      <c r="B10" s="30" t="s">
        <v>156</v>
      </c>
      <c r="C10" s="62" t="s">
        <v>25</v>
      </c>
      <c r="D10" s="134"/>
      <c r="E10" s="64"/>
    </row>
    <row r="11" spans="1:5" ht="15">
      <c r="A11" s="133">
        <f>+A10+1</f>
        <v>2</v>
      </c>
      <c r="B11" s="30"/>
      <c r="C11" s="62" t="s">
        <v>23</v>
      </c>
      <c r="D11" s="134"/>
      <c r="E11" s="64"/>
    </row>
    <row r="12" spans="1:6" ht="15">
      <c r="A12" s="133">
        <f t="shared" si="0" ref="A12:A14">+A11+1</f>
        <v>3</v>
      </c>
      <c r="B12" s="62"/>
      <c r="C12" s="145" t="s">
        <v>24</v>
      </c>
      <c r="D12" s="135">
        <v>9200000</v>
      </c>
      <c r="E12" s="64" t="s">
        <v>157</v>
      </c>
      <c r="F12" s="136">
        <v>90000</v>
      </c>
    </row>
    <row r="13" spans="1:3" ht="15">
      <c r="A13" s="133">
        <f t="shared" si="0"/>
        <v>4</v>
      </c>
      <c r="C13" s="145"/>
    </row>
    <row r="14" spans="1:6" ht="15.75">
      <c r="A14" s="133">
        <f t="shared" si="0"/>
        <v>5</v>
      </c>
      <c r="B14" s="111" t="s">
        <v>158</v>
      </c>
      <c r="F14" s="137">
        <f>+F12</f>
        <v>90000</v>
      </c>
    </row>
    <row r="19" spans="2:5" ht="102.75" customHeight="1">
      <c r="B19" s="151" t="s">
        <v>159</v>
      </c>
      <c r="C19" s="151"/>
      <c r="D19" s="151"/>
      <c r="E19" s="151"/>
    </row>
  </sheetData>
  <mergeCells count="6">
    <mergeCell ref="B19:E19"/>
    <mergeCell ref="B1:F1"/>
    <mergeCell ref="B2:F2"/>
    <mergeCell ref="B3:F3"/>
    <mergeCell ref="B4:F4"/>
    <mergeCell ref="B5:F5"/>
  </mergeCells>
  <printOptions horizontalCentered="1"/>
  <pageMargins left="0.35" right="0.35" top="1.5" bottom="0.5" header="0.3" footer="0.3"/>
  <pageSetup orientation="landscape" scale="85" r:id="rId1"/>
  <headerFooter>
    <oddHeader>&amp;R
Schedule V-K-14
Page 1 of 1</oddHeader>
  </headerFooter>
</worksheet>
</file>

<file path=docProps/app.xml><?xml version="1.0" encoding="utf-8"?>
<Properties xmlns="http://schemas.openxmlformats.org/officeDocument/2006/extended-properties" xmlns:vt="http://schemas.openxmlformats.org/officeDocument/2006/docPropsVTypes">
  <Application>Microsoft Excel</Application>
  <AppVersion>15.0300</AppVersion>
  <DocSecurity>0</DocSecurity>
  <ScaleCrop>false</ScaleCrop>
  <HeadingPairs>
    <vt:vector size="2" baseType="variant">
      <vt:variant>
        <vt:lpstr>Worksheets</vt:lpstr>
      </vt:variant>
      <vt:variant>
        <vt:i4>15</vt:i4>
      </vt:variant>
    </vt:vector>
  </HeadingPairs>
  <TitlesOfParts>
    <vt:vector size="15" baseType="lpstr">
      <vt:lpstr>V-K-1</vt:lpstr>
      <vt:lpstr>V-K-2</vt:lpstr>
      <vt:lpstr>V-K-3</vt:lpstr>
      <vt:lpstr>V-K-4</vt:lpstr>
      <vt:lpstr>V-K-5</vt:lpstr>
      <vt:lpstr>V-K-6</vt:lpstr>
      <vt:lpstr>V-K-7</vt:lpstr>
      <vt:lpstr>V-K-8</vt:lpstr>
      <vt:lpstr>V-K-8.1</vt:lpstr>
      <vt:lpstr>V-K-9</vt:lpstr>
      <vt:lpstr>V-K-10</vt:lpstr>
      <vt:lpstr>V-K-11</vt:lpstr>
      <vt:lpstr>V-K-12</vt:lpstr>
      <vt:lpstr>V-K-13</vt:lpstr>
      <vt:lpstr>V-K-14</vt:lpstr>
    </vt:vector>
  </TitlesOfParts>
  <Template/>
  <Manager/>
  <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