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V (Rate Design)\Section V Workpapers\"/>
    </mc:Choice>
  </mc:AlternateContent>
  <bookViews>
    <workbookView xWindow="0" yWindow="0" windowWidth="23040" windowHeight="9360" activeTab="1"/>
  </bookViews>
  <sheets>
    <sheet name="Cost by Light Type - IV-J-7|5" sheetId="2" r:id="rId2"/>
    <sheet name="Scenarios-IV-J-7|6" sheetId="4" r:id="rId3"/>
  </sheets>
  <definedNames>
    <definedName name="_xlnm.Print_Area" localSheetId="0">'Cost by Light Type - IV-J-7|5'!$B$2:$G$98</definedName>
    <definedName name="_xlnm.Print_Area" localSheetId="1">'Scenarios-IV-J-7|6'!$B$2:$I$45</definedName>
    <definedName name="_xlnm.Print_Titles" localSheetId="0">'Cost by Light Type - IV-J-7|5'!$2:$8</definedName>
    <definedName name="_xlnm.Print_Titles" localSheetId="1">'Scenarios-IV-J-7|6'!$2:$10</definedName>
  </definedNames>
  <calcPr calcId="152511"/>
</workbook>
</file>

<file path=xl/calcChain.xml><?xml version="1.0" encoding="utf-8"?>
<calcChain xmlns="http://schemas.openxmlformats.org/spreadsheetml/2006/main">
  <c r="E96" i="2" l="1"/>
</calcChain>
</file>

<file path=xl/sharedStrings.xml><?xml version="1.0" encoding="utf-8"?>
<sst xmlns="http://schemas.openxmlformats.org/spreadsheetml/2006/main" count="257" uniqueCount="120">
  <si>
    <t>Material</t>
  </si>
  <si>
    <t>Labor</t>
  </si>
  <si>
    <t>Total</t>
  </si>
  <si>
    <t>30% OH</t>
  </si>
  <si>
    <t xml:space="preserve">DESCRIPTION </t>
  </si>
  <si>
    <t>SCHEDULE  A</t>
  </si>
  <si>
    <t>Light Type</t>
  </si>
  <si>
    <t>Wattage</t>
  </si>
  <si>
    <t>Installed Cost</t>
  </si>
  <si>
    <t>Basis</t>
  </si>
  <si>
    <t>HPS</t>
  </si>
  <si>
    <t xml:space="preserve">100 W </t>
  </si>
  <si>
    <t xml:space="preserve">150 W </t>
  </si>
  <si>
    <t xml:space="preserve">200 W </t>
  </si>
  <si>
    <t xml:space="preserve">250 W </t>
  </si>
  <si>
    <t xml:space="preserve">400 W </t>
  </si>
  <si>
    <t xml:space="preserve">1000 W </t>
  </si>
  <si>
    <t>MH</t>
  </si>
  <si>
    <t xml:space="preserve">175 W </t>
  </si>
  <si>
    <t>MV</t>
  </si>
  <si>
    <t xml:space="preserve"> HISTORICAL, RECTANGULAR, POST-TOP, and INCANDESCENT</t>
  </si>
  <si>
    <t>HISTORICAL:</t>
  </si>
  <si>
    <t>RECTANGULAR:</t>
  </si>
  <si>
    <t>INCANDESCENT</t>
  </si>
  <si>
    <t>SCHEDULE  B</t>
  </si>
  <si>
    <t>INSTALLED  COST  OF  STREET  LIGHTS  BY  TYPE,  WATTAGE,  &amp;  SCHEDULE</t>
  </si>
  <si>
    <t>ONCOR  ELECTRIC  DELIVERY  COMPANY  LLC</t>
  </si>
  <si>
    <t>INSTALLED  COST  OF  STREET  LIGHTS  BY  TYPE,  WATTAGE,  &amp;  SCHEDULE - INSTALLATION COST SCENARIOS</t>
  </si>
  <si>
    <t xml:space="preserve">POST TOP:       </t>
  </si>
  <si>
    <t xml:space="preserve">56- 100 W </t>
  </si>
  <si>
    <t xml:space="preserve">101 - 140 W </t>
  </si>
  <si>
    <t xml:space="preserve">141 - 180 W </t>
  </si>
  <si>
    <t xml:space="preserve">181 - 265 W </t>
  </si>
  <si>
    <t xml:space="preserve">0 - 56 W </t>
  </si>
  <si>
    <t>LED Cobra Head</t>
  </si>
  <si>
    <t>0 - 55W, LED, cobra, with arm, fuse, photocell, 35' wood pole and 120' span of 4 AL duplex</t>
  </si>
  <si>
    <t>56 - 100W, LED, cobra, with arm, fuse, photocell, 35' wood pole and 120' span of 4 AL duplex</t>
  </si>
  <si>
    <t>101 - 140W, LED, cobra, with arm, fuse, photocell, 35' wood pole and 120' span of 4 AL duplex</t>
  </si>
  <si>
    <t xml:space="preserve">141 - 180W, LED, cobra, with arm, fuse, photocell, 35' wood pole and 120' span of 4 AL duplex </t>
  </si>
  <si>
    <t>181 - 265W, LED, cobra, with arm, fuse, photocell, 35' wood pole and 120' span of 4 AL duplex</t>
  </si>
  <si>
    <t>LED Rectangular</t>
  </si>
  <si>
    <t>LED Post Top</t>
  </si>
  <si>
    <t>LED Historical</t>
  </si>
  <si>
    <t>0 - 55W, LED, Post Top with fuse, photocell, 20' fiberglass pole, 120' span of 4 AL duplex w/ trench and conduit</t>
  </si>
  <si>
    <t>56 - 100W, LED, Post Top with fuse, photocell, 20' fiberglass pole, 120' span of 4 AL duplex w/ trench and conduit</t>
  </si>
  <si>
    <t>0 - 55W, LED, Rectangular with fuse, photocell, 25' square steel anchor based pole, 120' span of 4 AL duplex w/ trench and conduit</t>
  </si>
  <si>
    <t>56- 100W, LED, Rectangular with fuse, photocell, 25' square steel anchor based pole, 120' span of 4 AL duplex w/ trench and conduit</t>
  </si>
  <si>
    <t>101 - 140W, LED, Rectangular with fuse, photocell, 25' square steel anchor based pole, 120' span of 4 AL duplex w/ trench and conduit</t>
  </si>
  <si>
    <t>0 - 55W, LED, Historical with fuse, photocell, 11' AL Historical anchor based pole, 120' span of 4 AL duplex w/ trench and conduit</t>
  </si>
  <si>
    <t>56 - 100W, LED, Historical with fuse, photocell, 11' AL Historical anchor based pole, 120' span of 4 AL duplex w/ trench and conduit</t>
  </si>
  <si>
    <t>SPONSOR :  Matthew A. Troxle</t>
  </si>
  <si>
    <t>Scenario #</t>
  </si>
  <si>
    <t xml:space="preserve"> - - - - - Costs - - - - -</t>
  </si>
  <si>
    <r>
      <t>Basis</t>
    </r>
    <r>
      <rPr>
        <b/>
        <vertAlign val="superscript"/>
        <sz val="11"/>
        <color theme="1"/>
        <rFont val="Tahoma"/>
        <family val="2"/>
      </rPr>
      <t>1</t>
    </r>
  </si>
  <si>
    <t>page break</t>
  </si>
  <si>
    <t>1 - The installed costs for Non-LED lights are based on the equivalent LED lights as shown in the Mercury Vapor and Metal Halide Conversion Table in the Company's Lighting Service Tariff.</t>
  </si>
  <si>
    <t>STREET  LIGHT  INSTALLED  COST  ESTIMATES</t>
  </si>
  <si>
    <t>Schedule B Installations</t>
  </si>
  <si>
    <t>1 - Also applicable to comparable non-LED lights as shown in the Mercury Vapor and Metal Halide Conversion Table in the Company's Lighting Service Tariff.</t>
  </si>
  <si>
    <r>
      <t>100W HPS</t>
    </r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(using 0-55W LED Cobra Head costs) mounted on a 30' round, steel, anchor base pole &amp; 120' of 4 Al duplex</t>
    </r>
  </si>
  <si>
    <r>
      <t>100W HPS</t>
    </r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(using 0-55W LED Cobra Head costs) mounted on a 20' fiberglass base pole &amp; 120' of 4 Al duplex w/ trench &amp; conduit</t>
    </r>
  </si>
  <si>
    <r>
      <t>150W HPS</t>
    </r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(using 56-100W LED Cobra Head costs) mounted on a 30' round, steel, anchor base pole &amp; 120' of 4 Al duplex</t>
    </r>
  </si>
  <si>
    <r>
      <t>200W HPS</t>
    </r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(using 101-140W LED Cobra Head costs) mounted on a 30' round, steel, anchor base pole &amp; 120' of 4 Al duplex</t>
    </r>
  </si>
  <si>
    <r>
      <t>250W HPS</t>
    </r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(using 141-180W LED Cobra Head costs) mounted on a 30' round, steel, anchor base pole &amp; 120' of 4 Al duplex</t>
    </r>
  </si>
  <si>
    <r>
      <t>400W HPS</t>
    </r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(using 181-265W LED Cobra Head costs) mounted on a 30' round, steel, anchor base pole &amp; 120' of 4 Al duplex</t>
    </r>
  </si>
  <si>
    <t>2022  RATE  CASE</t>
  </si>
  <si>
    <t>FOR  THE  TEST  YEAR  ENDING  DECEMBER  31, 2021</t>
  </si>
  <si>
    <t>22.01</t>
  </si>
  <si>
    <t>22.02</t>
  </si>
  <si>
    <t>22.05</t>
  </si>
  <si>
    <t>22.03</t>
  </si>
  <si>
    <t>22.04</t>
  </si>
  <si>
    <t>22.06</t>
  </si>
  <si>
    <t>22.07</t>
  </si>
  <si>
    <t>22.08</t>
  </si>
  <si>
    <t>22.09</t>
  </si>
  <si>
    <t>22.10</t>
  </si>
  <si>
    <t>22.11</t>
  </si>
  <si>
    <t>22.12</t>
  </si>
  <si>
    <t>22.13</t>
  </si>
  <si>
    <t>22.14</t>
  </si>
  <si>
    <t>22.15</t>
  </si>
  <si>
    <t>22.16</t>
  </si>
  <si>
    <t>22.17</t>
  </si>
  <si>
    <t>22.18</t>
  </si>
  <si>
    <t>Scenario 22.01 ; standard installation on a 35' wood pole.</t>
  </si>
  <si>
    <t>Scenario 22.02 ; standard installation on a 35' wood pole.</t>
  </si>
  <si>
    <t>Scenario 22.03 ; standard installation on a 35' wood pole.</t>
  </si>
  <si>
    <t>Scenario 22.04 ; standard installation on a 35' wood pole.</t>
  </si>
  <si>
    <t>Scenario 22.05 ; standard installation on a 35' wood pole.</t>
  </si>
  <si>
    <t>same as Scenario 22.01</t>
  </si>
  <si>
    <t>same as Scenario 22.03</t>
  </si>
  <si>
    <t>same as Scenario 22.05</t>
  </si>
  <si>
    <t>same as Scenario 22.04</t>
  </si>
  <si>
    <t>same as Scenario 22.02</t>
  </si>
  <si>
    <t>Scenario 22.06 ; standard installation on a 30' steel pole.</t>
  </si>
  <si>
    <t>Scenario 22.07 ; standard installation on a 30' steel pole.</t>
  </si>
  <si>
    <t>Scenario 22.08 ; standard installation on a 30' steel pole.</t>
  </si>
  <si>
    <t>same as Scenario 22.06</t>
  </si>
  <si>
    <t>same as Scenario 22.08</t>
  </si>
  <si>
    <t>Scenario 22.09 ; standard installation on a 20' fiberglass pole.</t>
  </si>
  <si>
    <t>Scenario 22.10 ; standard installation on a 20' fiberglass pole.</t>
  </si>
  <si>
    <t>same as Scenario 22.09</t>
  </si>
  <si>
    <t>Scenario 22.11 ; standard installation on a 11' aluminum pole.</t>
  </si>
  <si>
    <t>Scenario 22.12 ; standard installation on a 11' aluminum pole.</t>
  </si>
  <si>
    <t>same as Scenario 22.11</t>
  </si>
  <si>
    <t>same as Scenario 22.12</t>
  </si>
  <si>
    <t>based on 60% of standard installations on a 30' steel pole and 40% on a 20' fiberglass pole.  Refer to Scenarios 22.13 &amp; 22.14.</t>
  </si>
  <si>
    <t>same as Scenario 22.16</t>
  </si>
  <si>
    <t>same as Scenario 22.18</t>
  </si>
  <si>
    <t>same as Scenario 22.15</t>
  </si>
  <si>
    <t>same as Scenario 22.17</t>
  </si>
  <si>
    <t>Line #</t>
  </si>
  <si>
    <t>[A]</t>
  </si>
  <si>
    <t>[B]</t>
  </si>
  <si>
    <t>[C]</t>
  </si>
  <si>
    <t>[D]</t>
  </si>
  <si>
    <t>[E]</t>
  </si>
  <si>
    <t>[F]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</si>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</sst>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26"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Tahoma"/>
      <family val="2"/>
    </font>
    <font>
      <b/>
      <sz val="10"/>
      <name val="Arial"/>
      <family val="2"/>
    </font>
    <font>
      <sz val="9"/>
      <color indexed="8"/>
      <name val="Tahoma"/>
      <family val="2"/>
    </font>
    <font>
      <b/>
      <u val="single"/>
      <sz val="10"/>
      <name val="Tahoma"/>
      <family val="2"/>
    </font>
    <font>
      <sz val="10"/>
      <name val="Tahoma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Verdana"/>
      <family val="2"/>
    </font>
    <font>
      <sz val="9"/>
      <name val="Arial"/>
      <family val="2"/>
    </font>
    <font>
      <b/>
      <sz val="10"/>
      <color theme="1"/>
      <name val="Tahoma"/>
      <family val="2"/>
    </font>
    <font>
      <b/>
      <sz val="11"/>
      <color theme="1"/>
      <name val="Tahoma"/>
      <family val="2"/>
    </font>
    <font>
      <b/>
      <sz val="12"/>
      <name val="Arial"/>
      <family val="2"/>
    </font>
    <font>
      <sz val="10"/>
      <color rgb="FFFFFF00"/>
      <name val="Arial"/>
      <family val="2"/>
    </font>
    <font>
      <b/>
      <sz val="11"/>
      <name val="Verdana"/>
      <family val="2"/>
    </font>
    <font>
      <b/>
      <vertAlign val="superscript"/>
      <sz val="11"/>
      <color theme="1"/>
      <name val="Tahoma"/>
      <family val="2"/>
    </font>
    <font>
      <b/>
      <sz val="14"/>
      <name val="Arial"/>
      <family val="2"/>
    </font>
    <font>
      <sz val="14"/>
      <name val="Arial"/>
      <family val="2"/>
    </font>
    <font>
      <vertAlign val="superscript"/>
      <sz val="9"/>
      <name val="Arial"/>
      <family val="2"/>
    </font>
    <font>
      <b/>
      <sz val="12"/>
      <color rgb="FFFF99FF"/>
      <name val="Arial"/>
      <family val="2"/>
    </font>
    <font>
      <u val="single"/>
      <sz val="9"/>
      <name val="Tahoma"/>
      <family val="2"/>
    </font>
    <font>
      <sz val="9"/>
      <name val="Tahoma"/>
      <family val="2"/>
    </font>
    <font>
      <u val="single"/>
      <sz val="10"/>
      <name val="Arial"/>
      <family val="2"/>
    </font>
    <font>
      <sz val="9"/>
      <color rgb="FFFF0000"/>
      <name val="Tahoma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</border>
    <border>
      <left style="medium">
        <color auto="1"/>
      </left>
      <right/>
      <top/>
      <bottom style="thin">
        <color auto="1"/>
      </bottom>
    </border>
    <border>
      <left/>
      <right/>
      <top style="medium">
        <color auto="1"/>
      </top>
      <bottom/>
    </border>
    <border>
      <left/>
      <right/>
      <top style="thin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/>
      <top style="medium">
        <color auto="1"/>
      </top>
      <bottom/>
    </border>
    <border>
      <left/>
      <right style="medium">
        <color auto="1"/>
      </right>
      <top/>
      <bottom/>
    </border>
    <border>
      <left style="medium">
        <color auto="1"/>
      </left>
      <right/>
      <top/>
      <bottom/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/>
      <bottom style="thin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  <bottom/>
    </border>
    <border>
      <left style="medium">
        <color auto="1"/>
      </left>
      <right style="medium">
        <color auto="1"/>
      </right>
      <top/>
      <bottom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 style="medium">
        <color auto="1"/>
      </left>
      <right/>
      <top style="thin">
        <color auto="1"/>
      </top>
      <bottom style="medium">
        <color auto="1"/>
      </bottom>
    </border>
    <border>
      <left/>
      <right/>
      <top style="thin">
        <color auto="1"/>
      </top>
      <bottom style="medium">
        <color auto="1"/>
      </bottom>
    </border>
    <border>
      <left style="medium">
        <color auto="1"/>
      </left>
      <right/>
      <top/>
      <bottom style="medium">
        <color auto="1"/>
      </bottom>
    </border>
    <border>
      <left style="medium">
        <color auto="1"/>
      </left>
      <right style="medium">
        <color auto="1"/>
      </right>
      <top/>
      <bottom style="medium">
        <color auto="1"/>
      </bottom>
    </border>
    <border>
      <left style="medium">
        <color auto="1"/>
      </left>
      <right/>
      <top style="medium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/>
      <right/>
      <top style="medium">
        <color auto="1"/>
      </top>
      <bottom style="thin">
        <color auto="1"/>
      </bottom>
    </border>
    <border>
      <left/>
      <right/>
      <top/>
      <bottom style="medium">
        <color auto="1"/>
      </bottom>
    </border>
    <border>
      <left/>
      <right style="medium">
        <color auto="1"/>
      </right>
      <top style="thin">
        <color auto="1"/>
      </top>
      <bottom style="thin">
        <color auto="1"/>
      </bottom>
    </border>
    <border>
      <left/>
      <right style="medium">
        <color auto="1"/>
      </right>
      <top style="thin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/>
    </border>
    <border>
      <left/>
      <right style="medium">
        <color auto="1"/>
      </right>
      <top style="medium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/>
      <bottom style="medium">
        <color auto="1"/>
      </bottom>
    </border>
    <border>
      <left style="thin">
        <color auto="1"/>
      </left>
      <right style="thin">
        <color auto="1"/>
      </right>
      <top/>
      <bottom style="medium">
        <color auto="1"/>
      </bottom>
    </border>
    <border>
      <left style="thin">
        <color auto="1"/>
      </left>
      <right style="medium">
        <color auto="1"/>
      </right>
      <top/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medium">
        <color auto="1"/>
      </bottom>
    </border>
  </borders>
  <cellStyleXfs count="20">
    <xf numFmtId="0" fontId="0" fillId="0" borderId="0" applyBorder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6">
    <xf numFmtId="0" fontId="0" fillId="0" borderId="0" xfId="0"/>
    <xf numFmtId="0" fontId="0" fillId="0" borderId="0" xfId="0" applyBorder="1"/>
    <xf numFmtId="0" fontId="0" fillId="0" borderId="0" xfId="0" applyFont="1" applyFill="1" applyAlignment="1">
      <alignment horizontal="right"/>
    </xf>
    <xf numFmtId="0" fontId="0" fillId="0" borderId="0" xfId="0" applyFon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top"/>
    </xf>
    <xf numFmtId="0" fontId="0" fillId="0" borderId="0" xfId="0" applyFill="1"/>
    <xf numFmtId="44" fontId="0" fillId="0" borderId="0" xfId="16" applyFont="1" applyFill="1" applyAlignment="1">
      <alignment horizontal="right"/>
    </xf>
    <xf numFmtId="44" fontId="0" fillId="0" borderId="0" xfId="16" applyFont="1" applyFill="1" applyBorder="1" applyAlignment="1">
      <alignment horizontal="right"/>
    </xf>
    <xf numFmtId="0" fontId="12" fillId="0" borderId="0" xfId="0" applyFont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Font="1" applyFill="1"/>
    <xf numFmtId="165" fontId="2" fillId="0" borderId="0" xfId="0" applyNumberFormat="1" applyFont="1" applyFill="1" applyBorder="1" applyAlignment="1" applyProtection="1">
      <alignment horizontal="center"/>
      <protection/>
    </xf>
    <xf numFmtId="0" fontId="0" fillId="0" borderId="1" xfId="0" applyBorder="1"/>
    <xf numFmtId="0" fontId="0" fillId="0" borderId="2" xfId="0" applyBorder="1" applyAlignment="1">
      <alignment horizontal="center"/>
    </xf>
    <xf numFmtId="165" fontId="2" fillId="0" borderId="3" xfId="0" applyNumberFormat="1" applyFont="1" applyFill="1" applyBorder="1" applyAlignment="1" applyProtection="1">
      <alignment horizontal="center"/>
      <protection/>
    </xf>
    <xf numFmtId="165" fontId="2" fillId="0" borderId="4" xfId="0" applyNumberFormat="1" applyFont="1" applyFill="1" applyBorder="1" applyAlignment="1" applyProtection="1">
      <alignment horizontal="center"/>
      <protection/>
    </xf>
    <xf numFmtId="0" fontId="0" fillId="0" borderId="5" xfId="0" applyBorder="1" applyAlignment="1">
      <alignment horizontal="center"/>
    </xf>
    <xf numFmtId="0" fontId="5" fillId="0" borderId="6" xfId="0" applyFont="1" applyBorder="1"/>
    <xf numFmtId="0" fontId="6" fillId="0" borderId="0" xfId="0" applyFont="1" applyBorder="1"/>
    <xf numFmtId="0" fontId="6" fillId="0" borderId="7" xfId="0" applyFont="1" applyBorder="1"/>
    <xf numFmtId="0" fontId="5" fillId="0" borderId="8" xfId="0" applyFont="1" applyBorder="1"/>
    <xf numFmtId="0" fontId="11" fillId="0" borderId="9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11" fillId="0" borderId="6" xfId="0" applyFont="1" applyBorder="1" applyAlignment="1">
      <alignment horizontal="center" wrapText="1"/>
    </xf>
    <xf numFmtId="165" fontId="11" fillId="0" borderId="12" xfId="0" applyNumberFormat="1" applyFont="1" applyFill="1" applyBorder="1" applyAlignment="1">
      <alignment horizontal="center" wrapText="1"/>
    </xf>
    <xf numFmtId="0" fontId="11" fillId="0" borderId="12" xfId="0" applyFont="1" applyBorder="1" applyAlignment="1">
      <alignment horizontal="center"/>
    </xf>
    <xf numFmtId="0" fontId="6" fillId="0" borderId="12" xfId="0" applyFont="1" applyBorder="1"/>
    <xf numFmtId="0" fontId="6" fillId="0" borderId="13" xfId="0" applyFont="1" applyBorder="1"/>
    <xf numFmtId="0" fontId="11" fillId="0" borderId="14" xfId="0" applyFont="1" applyBorder="1" applyAlignment="1">
      <alignment horizontal="center"/>
    </xf>
    <xf numFmtId="0" fontId="0" fillId="0" borderId="0" xfId="0" applyAlignment="1">
      <alignment/>
    </xf>
    <xf numFmtId="0" fontId="9" fillId="0" borderId="0" xfId="0" applyFont="1" applyAlignment="1">
      <alignment horizontal="center"/>
    </xf>
    <xf numFmtId="0" fontId="7" fillId="0" borderId="8" xfId="0" applyFont="1" applyFill="1" applyBorder="1" applyAlignment="1">
      <alignment horizontal="center" vertical="top"/>
    </xf>
    <xf numFmtId="0" fontId="0" fillId="0" borderId="15" xfId="0" applyBorder="1" applyAlignment="1">
      <alignment horizontal="center"/>
    </xf>
    <xf numFmtId="0" fontId="0" fillId="0" borderId="0" xfId="0" applyFont="1" applyFill="1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165" fontId="11" fillId="0" borderId="16" xfId="0" applyNumberFormat="1" applyFont="1" applyFill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0" xfId="0" applyBorder="1" applyAlignment="1" quotePrefix="1">
      <alignment horizontal="center"/>
    </xf>
    <xf numFmtId="0" fontId="0" fillId="0" borderId="10" xfId="0" applyFont="1" applyBorder="1" applyAlignment="1">
      <alignment horizontal="center"/>
    </xf>
    <xf numFmtId="165" fontId="2" fillId="0" borderId="18" xfId="0" applyNumberFormat="1" applyFont="1" applyFill="1" applyBorder="1" applyAlignment="1" applyProtection="1">
      <alignment horizontal="center"/>
      <protection/>
    </xf>
    <xf numFmtId="3" fontId="11" fillId="0" borderId="14" xfId="0" applyNumberFormat="1" applyFont="1" applyFill="1" applyBorder="1" applyAlignment="1">
      <alignment horizontal="center" wrapText="1"/>
    </xf>
    <xf numFmtId="3" fontId="2" fillId="0" borderId="11" xfId="0" applyNumberFormat="1" applyFont="1" applyFill="1" applyBorder="1" applyAlignment="1" applyProtection="1">
      <alignment/>
      <protection/>
    </xf>
    <xf numFmtId="3" fontId="2" fillId="0" borderId="10" xfId="0" applyNumberFormat="1" applyFont="1" applyFill="1" applyBorder="1" applyAlignment="1" applyProtection="1">
      <alignment/>
      <protection/>
    </xf>
    <xf numFmtId="3" fontId="2" fillId="0" borderId="15" xfId="0" applyNumberFormat="1" applyFont="1" applyFill="1" applyBorder="1" applyAlignment="1" applyProtection="1">
      <alignment/>
      <protection/>
    </xf>
    <xf numFmtId="0" fontId="6" fillId="0" borderId="0" xfId="0" applyFont="1" applyBorder="1" applyAlignment="1">
      <alignment horizontal="center"/>
    </xf>
    <xf numFmtId="3" fontId="11" fillId="0" borderId="12" xfId="0" applyNumberFormat="1" applyFont="1" applyFill="1" applyBorder="1" applyAlignment="1">
      <alignment horizontal="center" wrapText="1"/>
    </xf>
    <xf numFmtId="0" fontId="11" fillId="0" borderId="19" xfId="0" applyFont="1" applyBorder="1" applyAlignment="1">
      <alignment horizontal="center" wrapText="1"/>
    </xf>
    <xf numFmtId="0" fontId="11" fillId="0" borderId="20" xfId="0" applyFont="1" applyBorder="1" applyAlignment="1">
      <alignment horizontal="center"/>
    </xf>
    <xf numFmtId="3" fontId="11" fillId="0" borderId="20" xfId="0" applyNumberFormat="1" applyFont="1" applyFill="1" applyBorder="1" applyAlignment="1">
      <alignment horizontal="center" wrapText="1"/>
    </xf>
    <xf numFmtId="165" fontId="11" fillId="0" borderId="20" xfId="0" applyNumberFormat="1" applyFont="1" applyFill="1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5" fontId="2" fillId="0" borderId="23" xfId="0" applyNumberFormat="1" applyFont="1" applyFill="1" applyBorder="1" applyAlignment="1" applyProtection="1">
      <alignment horizontal="center"/>
      <protection/>
    </xf>
    <xf numFmtId="3" fontId="2" fillId="0" borderId="22" xfId="0" applyNumberFormat="1" applyFont="1" applyFill="1" applyBorder="1" applyAlignment="1" applyProtection="1">
      <alignment/>
      <protection/>
    </xf>
    <xf numFmtId="0" fontId="5" fillId="0" borderId="9" xfId="0" applyFont="1" applyBorder="1" applyAlignment="1">
      <alignment vertical="center"/>
    </xf>
    <xf numFmtId="165" fontId="6" fillId="0" borderId="14" xfId="0" applyNumberFormat="1" applyFont="1" applyBorder="1" applyAlignment="1">
      <alignment horizontal="center" vertical="center"/>
    </xf>
    <xf numFmtId="3" fontId="2" fillId="0" borderId="14" xfId="0" applyNumberFormat="1" applyFont="1" applyFill="1" applyBorder="1" applyAlignment="1" applyProtection="1">
      <alignment vertical="center"/>
      <protection/>
    </xf>
    <xf numFmtId="0" fontId="6" fillId="0" borderId="24" xfId="0" applyFont="1" applyBorder="1" applyAlignment="1">
      <alignment horizontal="center"/>
    </xf>
    <xf numFmtId="0" fontId="7" fillId="0" borderId="0" xfId="0" applyFont="1" applyFill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3" fontId="2" fillId="0" borderId="25" xfId="0" applyNumberFormat="1" applyFont="1" applyFill="1" applyBorder="1" applyAlignment="1" applyProtection="1">
      <alignment/>
      <protection/>
    </xf>
    <xf numFmtId="3" fontId="2" fillId="0" borderId="26" xfId="0" applyNumberFormat="1" applyFont="1" applyFill="1" applyBorder="1" applyAlignment="1" applyProtection="1">
      <alignment/>
      <protection/>
    </xf>
    <xf numFmtId="165" fontId="2" fillId="0" borderId="10" xfId="0" applyNumberFormat="1" applyFont="1" applyFill="1" applyBorder="1" applyAlignment="1" applyProtection="1">
      <alignment horizontal="center"/>
      <protection/>
    </xf>
    <xf numFmtId="165" fontId="2" fillId="0" borderId="15" xfId="0" applyNumberFormat="1" applyFont="1" applyFill="1" applyBorder="1" applyAlignment="1" applyProtection="1">
      <alignment horizontal="center"/>
      <protection/>
    </xf>
    <xf numFmtId="165" fontId="0" fillId="0" borderId="0" xfId="0" applyNumberFormat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165" fontId="6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Fill="1" applyBorder="1" applyAlignment="1" applyProtection="1">
      <alignment vertical="center"/>
      <protection/>
    </xf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6" fillId="0" borderId="27" xfId="0" applyFont="1" applyBorder="1"/>
    <xf numFmtId="0" fontId="6" fillId="0" borderId="28" xfId="0" applyFont="1" applyBorder="1" applyAlignment="1">
      <alignment vertical="center"/>
    </xf>
    <xf numFmtId="0" fontId="14" fillId="2" borderId="0" xfId="0" applyFont="1" applyFill="1"/>
    <xf numFmtId="3" fontId="11" fillId="0" borderId="27" xfId="0" applyNumberFormat="1" applyFont="1" applyFill="1" applyBorder="1" applyAlignment="1">
      <alignment horizontal="center" wrapText="1"/>
    </xf>
    <xf numFmtId="3" fontId="4" fillId="0" borderId="29" xfId="0" applyNumberFormat="1" applyFont="1" applyFill="1" applyBorder="1" applyAlignment="1" applyProtection="1" quotePrefix="1">
      <alignment horizontal="left" wrapText="1"/>
      <protection/>
    </xf>
    <xf numFmtId="3" fontId="4" fillId="0" borderId="25" xfId="0" applyNumberFormat="1" applyFont="1" applyFill="1" applyBorder="1" applyAlignment="1" applyProtection="1" quotePrefix="1">
      <alignment horizontal="left" wrapText="1"/>
      <protection/>
    </xf>
    <xf numFmtId="0" fontId="13" fillId="0" borderId="30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/>
    </xf>
    <xf numFmtId="44" fontId="13" fillId="0" borderId="32" xfId="16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0" fontId="7" fillId="0" borderId="0" xfId="0" applyFont="1" applyFill="1" applyBorder="1" applyAlignment="1" quotePrefix="1">
      <alignment horizontal="center"/>
    </xf>
    <xf numFmtId="0" fontId="0" fillId="0" borderId="0" xfId="0" applyFont="1" applyFill="1" applyBorder="1" quotePrefix="1"/>
    <xf numFmtId="165" fontId="2" fillId="0" borderId="1" xfId="0" applyNumberFormat="1" applyFont="1" applyFill="1" applyBorder="1" applyAlignment="1" applyProtection="1">
      <alignment horizontal="center"/>
      <protection/>
    </xf>
    <xf numFmtId="0" fontId="0" fillId="0" borderId="34" xfId="0" applyBorder="1" applyAlignment="1">
      <alignment horizontal="center"/>
    </xf>
    <xf numFmtId="165" fontId="2" fillId="0" borderId="34" xfId="0" applyNumberFormat="1" applyFont="1" applyFill="1" applyBorder="1" applyAlignment="1" applyProtection="1">
      <alignment horizontal="center"/>
      <protection/>
    </xf>
    <xf numFmtId="0" fontId="0" fillId="0" borderId="34" xfId="0" applyBorder="1" applyAlignment="1" quotePrefix="1">
      <alignment horizontal="center"/>
    </xf>
    <xf numFmtId="0" fontId="6" fillId="0" borderId="34" xfId="0" applyFont="1" applyBorder="1" applyAlignment="1">
      <alignment horizontal="center"/>
    </xf>
    <xf numFmtId="3" fontId="2" fillId="0" borderId="24" xfId="0" applyNumberFormat="1" applyFont="1" applyFill="1" applyBorder="1" applyAlignment="1" applyProtection="1">
      <alignment horizontal="left"/>
      <protection/>
    </xf>
    <xf numFmtId="0" fontId="0" fillId="0" borderId="35" xfId="0" applyBorder="1" applyAlignment="1">
      <alignment horizontal="center"/>
    </xf>
    <xf numFmtId="3" fontId="2" fillId="0" borderId="36" xfId="0" applyNumberFormat="1" applyFont="1" applyFill="1" applyBorder="1" applyAlignment="1" applyProtection="1">
      <alignment/>
      <protection/>
    </xf>
    <xf numFmtId="0" fontId="6" fillId="0" borderId="35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165" fontId="2" fillId="0" borderId="37" xfId="0" applyNumberFormat="1" applyFont="1" applyFill="1" applyBorder="1" applyAlignment="1" applyProtection="1">
      <alignment horizontal="center"/>
      <protection/>
    </xf>
    <xf numFmtId="3" fontId="2" fillId="0" borderId="38" xfId="0" applyNumberFormat="1" applyFont="1" applyFill="1" applyBorder="1" applyAlignment="1" applyProtection="1">
      <alignment/>
      <protection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165" fontId="2" fillId="0" borderId="40" xfId="0" applyNumberFormat="1" applyFont="1" applyFill="1" applyBorder="1" applyAlignment="1" applyProtection="1">
      <alignment horizontal="center"/>
      <protection/>
    </xf>
    <xf numFmtId="3" fontId="2" fillId="0" borderId="41" xfId="0" applyNumberFormat="1" applyFont="1" applyFill="1" applyBorder="1" applyAlignment="1" applyProtection="1">
      <alignment/>
      <protection/>
    </xf>
    <xf numFmtId="3" fontId="2" fillId="0" borderId="3" xfId="0" applyNumberFormat="1" applyFont="1" applyFill="1" applyBorder="1" applyAlignment="1" applyProtection="1">
      <alignment/>
      <protection/>
    </xf>
    <xf numFmtId="0" fontId="6" fillId="0" borderId="24" xfId="0" applyFont="1" applyBorder="1"/>
    <xf numFmtId="165" fontId="2" fillId="0" borderId="22" xfId="0" applyNumberFormat="1" applyFont="1" applyFill="1" applyBorder="1" applyAlignment="1" applyProtection="1" quotePrefix="1">
      <alignment horizontal="center"/>
      <protection/>
    </xf>
    <xf numFmtId="0" fontId="10" fillId="0" borderId="35" xfId="0" applyFont="1" applyFill="1" applyBorder="1"/>
    <xf numFmtId="0" fontId="7" fillId="0" borderId="42" xfId="0" applyFont="1" applyFill="1" applyBorder="1" applyAlignment="1" quotePrefix="1">
      <alignment horizontal="center"/>
    </xf>
    <xf numFmtId="44" fontId="0" fillId="0" borderId="36" xfId="16" applyFont="1" applyFill="1" applyBorder="1" applyAlignment="1">
      <alignment horizontal="right"/>
    </xf>
    <xf numFmtId="0" fontId="10" fillId="0" borderId="33" xfId="0" applyFont="1" applyFill="1" applyBorder="1"/>
    <xf numFmtId="0" fontId="7" fillId="0" borderId="43" xfId="0" applyFont="1" applyFill="1" applyBorder="1" applyAlignment="1" quotePrefix="1">
      <alignment horizontal="center"/>
    </xf>
    <xf numFmtId="44" fontId="0" fillId="0" borderId="38" xfId="16" applyFont="1" applyFill="1" applyBorder="1" applyAlignment="1">
      <alignment horizontal="right"/>
    </xf>
    <xf numFmtId="0" fontId="20" fillId="0" borderId="0" xfId="0" applyFont="1" applyFill="1"/>
    <xf numFmtId="0" fontId="14" fillId="0" borderId="0" xfId="0" applyFont="1" applyFill="1"/>
    <xf numFmtId="0" fontId="3" fillId="0" borderId="0" xfId="0" applyFont="1" applyFill="1" quotePrefix="1"/>
    <xf numFmtId="0" fontId="3" fillId="0" borderId="0" xfId="0" applyFont="1" applyFill="1"/>
    <xf numFmtId="0" fontId="0" fillId="0" borderId="35" xfId="0" applyFont="1" applyFill="1" applyBorder="1"/>
    <xf numFmtId="0" fontId="0" fillId="0" borderId="35" xfId="0" applyFont="1" applyFill="1" applyBorder="1" quotePrefix="1"/>
    <xf numFmtId="0" fontId="0" fillId="0" borderId="33" xfId="0" applyFont="1" applyFill="1" applyBorder="1"/>
    <xf numFmtId="0" fontId="0" fillId="0" borderId="0" xfId="0" applyFill="1" applyBorder="1"/>
    <xf numFmtId="7" fontId="0" fillId="0" borderId="34" xfId="0" applyNumberFormat="1" applyFont="1" applyFill="1" applyBorder="1" applyAlignment="1">
      <alignment horizontal="center"/>
    </xf>
    <xf numFmtId="7" fontId="0" fillId="0" borderId="37" xfId="0" applyNumberFormat="1" applyFont="1" applyFill="1" applyBorder="1" applyAlignment="1">
      <alignment horizontal="center"/>
    </xf>
    <xf numFmtId="7" fontId="0" fillId="0" borderId="34" xfId="0" applyNumberFormat="1" applyFont="1" applyFill="1" applyBorder="1" applyAlignment="1">
      <alignment horizontal="right"/>
    </xf>
    <xf numFmtId="7" fontId="0" fillId="0" borderId="37" xfId="0" applyNumberFormat="1" applyFont="1" applyFill="1" applyBorder="1" applyAlignment="1">
      <alignment horizontal="righ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 quotePrefix="1">
      <alignment horizontal="center" vertical="center"/>
    </xf>
    <xf numFmtId="3" fontId="22" fillId="0" borderId="0" xfId="0" applyNumberFormat="1" applyFont="1" applyFill="1" applyAlignment="1" quotePrefix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 wrapText="1"/>
    </xf>
    <xf numFmtId="0" fontId="24" fillId="0" borderId="0" xfId="0" applyFont="1" applyAlignment="1">
      <alignment horizontal="center"/>
    </xf>
    <xf numFmtId="0" fontId="25" fillId="0" borderId="0" xfId="0" applyFont="1"/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9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17" fillId="0" borderId="6" xfId="0" applyFont="1" applyFill="1" applyBorder="1" applyAlignment="1">
      <alignment horizontal="center" vertical="top"/>
    </xf>
    <xf numFmtId="0" fontId="17" fillId="0" borderId="3" xfId="0" applyFont="1" applyFill="1" applyBorder="1" applyAlignment="1">
      <alignment horizontal="center" vertical="top"/>
    </xf>
    <xf numFmtId="0" fontId="18" fillId="0" borderId="3" xfId="0" applyFont="1" applyFill="1" applyBorder="1" applyAlignment="1">
      <alignment horizontal="center" vertical="top"/>
    </xf>
    <xf numFmtId="0" fontId="18" fillId="0" borderId="27" xfId="0" applyFont="1" applyFill="1" applyBorder="1" applyAlignment="1">
      <alignment horizontal="center" vertical="top"/>
    </xf>
    <xf numFmtId="0" fontId="8" fillId="0" borderId="9" xfId="0" applyFont="1" applyFill="1" applyBorder="1" applyAlignment="1" quotePrefix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3" fillId="0" borderId="21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tyles" Target="styles.xml" /><Relationship Id="rId6" Type="http://schemas.openxmlformats.org/officeDocument/2006/relationships/calcChain" Target="calcChain.xml" /><Relationship Id="rId3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3:Q120"/>
  <sheetViews>
    <sheetView workbookViewId="0" topLeftCell="A1">
      <selection pane="topLeft" activeCell="F1" sqref="F1"/>
    </sheetView>
  </sheetViews>
  <sheetFormatPr defaultRowHeight="12.75"/>
  <cols>
    <col min="2" max="2" width="5.57142857142857" style="140" customWidth="1"/>
    <col min="3" max="3" width="15.8571428571429" customWidth="1"/>
    <col min="4" max="4" width="12.5714285714286" customWidth="1"/>
    <col min="5" max="5" width="11.8571428571429" customWidth="1"/>
    <col min="6" max="6" width="52.8571428571429" customWidth="1"/>
    <col min="7" max="7" width="4.57142857142857" customWidth="1"/>
  </cols>
  <sheetData>
    <row r="3" spans="3:6" ht="12.75">
      <c r="C3" s="147" t="s">
        <v>65</v>
      </c>
      <c r="D3" s="148"/>
      <c r="E3" s="148"/>
      <c r="F3" s="148"/>
    </row>
    <row r="4" spans="3:10" ht="12.75">
      <c r="C4" s="149" t="s">
        <v>26</v>
      </c>
      <c r="D4" s="150"/>
      <c r="E4" s="150"/>
      <c r="F4" s="150"/>
      <c r="G4" s="36"/>
      <c r="H4" s="36"/>
      <c r="I4" s="36"/>
      <c r="J4" s="36"/>
    </row>
    <row r="5" spans="3:10" ht="12.75">
      <c r="C5" s="149" t="s">
        <v>25</v>
      </c>
      <c r="D5" s="151"/>
      <c r="E5" s="151"/>
      <c r="F5" s="151"/>
      <c r="G5" s="35"/>
      <c r="H5" s="35"/>
      <c r="I5" s="35"/>
      <c r="J5" s="35"/>
    </row>
    <row r="6" spans="3:10" ht="12.75">
      <c r="C6" s="147" t="s">
        <v>66</v>
      </c>
      <c r="D6" s="152"/>
      <c r="E6" s="152"/>
      <c r="F6" s="152"/>
      <c r="G6" s="35"/>
      <c r="H6" s="35"/>
      <c r="I6" s="35"/>
      <c r="J6" s="35"/>
    </row>
    <row r="7" spans="3:10" ht="9" customHeight="1">
      <c r="C7" s="36"/>
      <c r="D7" s="35"/>
      <c r="E7" s="35"/>
      <c r="F7" s="35"/>
      <c r="G7" s="35"/>
      <c r="H7" s="35"/>
      <c r="I7" s="35"/>
      <c r="J7" s="35"/>
    </row>
    <row r="8" spans="3:10" ht="12.75">
      <c r="C8" s="149" t="s">
        <v>50</v>
      </c>
      <c r="D8" s="151"/>
      <c r="E8" s="151"/>
      <c r="F8" s="151"/>
      <c r="G8" s="35"/>
      <c r="H8" s="35"/>
      <c r="I8" s="35"/>
      <c r="J8" s="35"/>
    </row>
    <row r="9" ht="6" customHeight="1"/>
    <row r="10" spans="2:6" ht="21" customHeight="1">
      <c r="B10" s="136"/>
      <c r="C10" s="137"/>
      <c r="D10" s="137"/>
      <c r="E10" s="138"/>
      <c r="F10" s="138"/>
    </row>
    <row r="11" spans="2:6" ht="32.1" customHeight="1">
      <c r="B11" s="136" t="s">
        <v>112</v>
      </c>
      <c r="C11" s="137" t="s">
        <v>113</v>
      </c>
      <c r="D11" s="137" t="s">
        <v>114</v>
      </c>
      <c r="E11" s="138" t="s">
        <v>115</v>
      </c>
      <c r="F11" s="138" t="s">
        <v>116</v>
      </c>
    </row>
    <row r="12" spans="3:3" s="139" customFormat="1" ht="20.1" customHeight="1" thickBot="1">
      <c r="C12" s="11" t="s">
        <v>5</v>
      </c>
    </row>
    <row r="13" spans="2:6" ht="29.25" customHeight="1" thickBot="1">
      <c r="B13" s="141"/>
      <c r="C13" s="24" t="s">
        <v>6</v>
      </c>
      <c r="D13" s="34" t="s">
        <v>7</v>
      </c>
      <c r="E13" s="42" t="s">
        <v>8</v>
      </c>
      <c r="F13" s="47" t="s">
        <v>53</v>
      </c>
    </row>
    <row r="14" spans="2:6" ht="16.7" customHeight="1">
      <c r="B14" s="141">
        <v>1</v>
      </c>
      <c r="C14" s="16" t="s">
        <v>34</v>
      </c>
      <c r="D14" s="26" t="s">
        <v>33</v>
      </c>
      <c r="E14" s="98">
        <f>'Scenarios-IV-J-7|6'!H17</f>
        <v>2393.6500000000001</v>
      </c>
      <c r="F14" s="48" t="s">
        <v>85</v>
      </c>
    </row>
    <row r="15" spans="2:6" ht="18" customHeight="1">
      <c r="B15" s="141">
        <f t="shared" si="0" ref="B15:B35">1+B14</f>
        <v>2</v>
      </c>
      <c r="C15" s="19" t="s">
        <v>34</v>
      </c>
      <c r="D15" s="44" t="s">
        <v>29</v>
      </c>
      <c r="E15" s="98">
        <f>'Scenarios-IV-J-7|6'!H18</f>
        <v>2429.4299999999998</v>
      </c>
      <c r="F15" s="49" t="s">
        <v>86</v>
      </c>
    </row>
    <row r="16" spans="2:6" ht="18" customHeight="1">
      <c r="B16" s="141">
        <f t="shared" si="0"/>
        <v>3</v>
      </c>
      <c r="C16" s="19" t="s">
        <v>34</v>
      </c>
      <c r="D16" s="25" t="s">
        <v>30</v>
      </c>
      <c r="E16" s="98">
        <f>'Scenarios-IV-J-7|6'!H19</f>
        <v>2635.8699999999999</v>
      </c>
      <c r="F16" s="49" t="s">
        <v>87</v>
      </c>
    </row>
    <row r="17" spans="2:6" ht="18" customHeight="1">
      <c r="B17" s="141">
        <f t="shared" si="0"/>
        <v>4</v>
      </c>
      <c r="C17" s="19" t="s">
        <v>34</v>
      </c>
      <c r="D17" s="44" t="s">
        <v>31</v>
      </c>
      <c r="E17" s="98">
        <f>'Scenarios-IV-J-7|6'!H20</f>
        <v>2812.6200000000003</v>
      </c>
      <c r="F17" s="49" t="s">
        <v>88</v>
      </c>
    </row>
    <row r="18" spans="2:6" ht="18" customHeight="1">
      <c r="B18" s="141">
        <f t="shared" si="0"/>
        <v>5</v>
      </c>
      <c r="C18" s="19" t="s">
        <v>34</v>
      </c>
      <c r="D18" s="44" t="s">
        <v>32</v>
      </c>
      <c r="E18" s="98">
        <f>'Scenarios-IV-J-7|6'!H21</f>
        <v>2980.9899999999998</v>
      </c>
      <c r="F18" s="49" t="s">
        <v>89</v>
      </c>
    </row>
    <row r="19" spans="2:6" ht="18" customHeight="1">
      <c r="B19" s="141">
        <f t="shared" si="0"/>
        <v>6</v>
      </c>
      <c r="C19" s="19"/>
      <c r="D19" s="25"/>
      <c r="E19" s="18"/>
      <c r="F19" s="49"/>
    </row>
    <row r="20" spans="2:6" ht="18" customHeight="1">
      <c r="B20" s="141">
        <f t="shared" si="0"/>
        <v>7</v>
      </c>
      <c r="C20" s="19" t="s">
        <v>19</v>
      </c>
      <c r="D20" s="25" t="s">
        <v>18</v>
      </c>
      <c r="E20" s="18">
        <f>E14</f>
        <v>2393.6500000000001</v>
      </c>
      <c r="F20" s="49" t="s">
        <v>90</v>
      </c>
    </row>
    <row r="21" spans="2:6" ht="18" customHeight="1">
      <c r="B21" s="141">
        <f t="shared" si="0"/>
        <v>8</v>
      </c>
      <c r="C21" s="19" t="s">
        <v>19</v>
      </c>
      <c r="D21" s="25" t="s">
        <v>15</v>
      </c>
      <c r="E21" s="18">
        <f>E16</f>
        <v>2635.8699999999999</v>
      </c>
      <c r="F21" s="49" t="s">
        <v>91</v>
      </c>
    </row>
    <row r="22" spans="2:6" ht="18" customHeight="1">
      <c r="B22" s="141">
        <f t="shared" si="0"/>
        <v>9</v>
      </c>
      <c r="C22" s="19" t="s">
        <v>19</v>
      </c>
      <c r="D22" s="25" t="s">
        <v>16</v>
      </c>
      <c r="E22" s="18">
        <f>E18</f>
        <v>2980.9899999999998</v>
      </c>
      <c r="F22" s="49" t="s">
        <v>92</v>
      </c>
    </row>
    <row r="23" spans="2:6" ht="18" customHeight="1">
      <c r="B23" s="141">
        <f t="shared" si="0"/>
        <v>10</v>
      </c>
      <c r="C23" s="19"/>
      <c r="D23" s="25"/>
      <c r="E23" s="18"/>
      <c r="F23" s="49"/>
    </row>
    <row r="24" spans="2:6" ht="18" customHeight="1">
      <c r="B24" s="141">
        <f t="shared" si="0"/>
        <v>11</v>
      </c>
      <c r="C24" s="19" t="s">
        <v>10</v>
      </c>
      <c r="D24" s="45" t="s">
        <v>11</v>
      </c>
      <c r="E24" s="18">
        <f>E14</f>
        <v>2393.6500000000001</v>
      </c>
      <c r="F24" s="49" t="s">
        <v>90</v>
      </c>
    </row>
    <row r="25" spans="2:6" ht="18" customHeight="1">
      <c r="B25" s="141">
        <f t="shared" si="0"/>
        <v>12</v>
      </c>
      <c r="C25" s="19" t="s">
        <v>10</v>
      </c>
      <c r="D25" s="25" t="s">
        <v>12</v>
      </c>
      <c r="E25" s="18">
        <f t="shared" si="1" ref="E25:E28">E15</f>
        <v>2429.4299999999998</v>
      </c>
      <c r="F25" s="49" t="s">
        <v>94</v>
      </c>
    </row>
    <row r="26" spans="2:6" ht="18" customHeight="1">
      <c r="B26" s="141">
        <f t="shared" si="0"/>
        <v>13</v>
      </c>
      <c r="C26" s="19" t="s">
        <v>10</v>
      </c>
      <c r="D26" s="25" t="s">
        <v>13</v>
      </c>
      <c r="E26" s="18">
        <f t="shared" si="1"/>
        <v>2635.8699999999999</v>
      </c>
      <c r="F26" s="49" t="s">
        <v>91</v>
      </c>
    </row>
    <row r="27" spans="2:6" ht="18" customHeight="1">
      <c r="B27" s="141">
        <f t="shared" si="0"/>
        <v>14</v>
      </c>
      <c r="C27" s="73" t="s">
        <v>10</v>
      </c>
      <c r="D27" s="25" t="s">
        <v>14</v>
      </c>
      <c r="E27" s="18">
        <f t="shared" si="1"/>
        <v>2812.6200000000003</v>
      </c>
      <c r="F27" s="49" t="s">
        <v>93</v>
      </c>
    </row>
    <row r="28" spans="2:6" ht="18" customHeight="1">
      <c r="B28" s="141">
        <f t="shared" si="0"/>
        <v>15</v>
      </c>
      <c r="C28" s="19" t="s">
        <v>10</v>
      </c>
      <c r="D28" s="25" t="s">
        <v>15</v>
      </c>
      <c r="E28" s="18">
        <f t="shared" si="1"/>
        <v>2980.9899999999998</v>
      </c>
      <c r="F28" s="49" t="s">
        <v>92</v>
      </c>
    </row>
    <row r="29" spans="2:6" ht="18" customHeight="1">
      <c r="B29" s="141">
        <f t="shared" si="0"/>
        <v>16</v>
      </c>
      <c r="C29" s="19" t="s">
        <v>10</v>
      </c>
      <c r="D29" s="25" t="s">
        <v>16</v>
      </c>
      <c r="E29" s="18">
        <f>E18</f>
        <v>2980.9899999999998</v>
      </c>
      <c r="F29" s="49" t="s">
        <v>92</v>
      </c>
    </row>
    <row r="30" spans="2:6" ht="18" customHeight="1">
      <c r="B30" s="141">
        <f t="shared" si="0"/>
        <v>17</v>
      </c>
      <c r="C30" s="19"/>
      <c r="D30" s="25"/>
      <c r="E30" s="18"/>
      <c r="F30" s="49"/>
    </row>
    <row r="31" spans="2:6" ht="18" customHeight="1">
      <c r="B31" s="141">
        <f t="shared" si="0"/>
        <v>18</v>
      </c>
      <c r="C31" s="19" t="s">
        <v>17</v>
      </c>
      <c r="D31" s="25" t="s">
        <v>12</v>
      </c>
      <c r="E31" s="18">
        <f>E15</f>
        <v>2429.4299999999998</v>
      </c>
      <c r="F31" s="49" t="s">
        <v>94</v>
      </c>
    </row>
    <row r="32" spans="2:6" ht="18" customHeight="1">
      <c r="B32" s="141">
        <f t="shared" si="0"/>
        <v>19</v>
      </c>
      <c r="C32" s="19" t="s">
        <v>17</v>
      </c>
      <c r="D32" s="25" t="s">
        <v>18</v>
      </c>
      <c r="E32" s="18">
        <f>E15</f>
        <v>2429.4299999999998</v>
      </c>
      <c r="F32" s="49" t="s">
        <v>94</v>
      </c>
    </row>
    <row r="33" spans="2:6" ht="18" customHeight="1">
      <c r="B33" s="141">
        <f t="shared" si="0"/>
        <v>20</v>
      </c>
      <c r="C33" s="19" t="s">
        <v>17</v>
      </c>
      <c r="D33" s="25" t="s">
        <v>14</v>
      </c>
      <c r="E33" s="18">
        <f>E17</f>
        <v>2812.6200000000003</v>
      </c>
      <c r="F33" s="49" t="s">
        <v>93</v>
      </c>
    </row>
    <row r="34" spans="2:6" ht="18" customHeight="1">
      <c r="B34" s="141">
        <f t="shared" si="0"/>
        <v>21</v>
      </c>
      <c r="C34" s="19" t="s">
        <v>17</v>
      </c>
      <c r="D34" s="25" t="s">
        <v>15</v>
      </c>
      <c r="E34" s="18">
        <f>E18</f>
        <v>2980.9899999999998</v>
      </c>
      <c r="F34" s="49" t="s">
        <v>92</v>
      </c>
    </row>
    <row r="35" spans="2:6" ht="18" customHeight="1" thickBot="1">
      <c r="B35" s="141">
        <f t="shared" si="0"/>
        <v>22</v>
      </c>
      <c r="C35" s="43" t="s">
        <v>17</v>
      </c>
      <c r="D35" s="38" t="s">
        <v>16</v>
      </c>
      <c r="E35" s="46">
        <f>E18</f>
        <v>2980.9899999999998</v>
      </c>
      <c r="F35" s="50" t="s">
        <v>92</v>
      </c>
    </row>
    <row r="36" ht="10.5" customHeight="1"/>
    <row r="37" spans="3:4" ht="15.95" customHeight="1">
      <c r="C37" s="15"/>
      <c r="D37" s="15"/>
    </row>
    <row r="38" spans="3:4" ht="7.7" customHeight="1">
      <c r="C38" s="1"/>
      <c r="D38" s="1"/>
    </row>
    <row r="39" spans="3:6" ht="38.45" customHeight="1">
      <c r="C39" s="145" t="s">
        <v>55</v>
      </c>
      <c r="D39" s="146"/>
      <c r="E39" s="146"/>
      <c r="F39" s="146"/>
    </row>
    <row r="40" spans="8:9" ht="14.45" customHeight="1">
      <c r="H40" s="87" t="s">
        <v>54</v>
      </c>
      <c r="I40" s="87"/>
    </row>
    <row r="41" ht="3.95" customHeight="1"/>
    <row r="42" spans="2:6" ht="32.1" customHeight="1">
      <c r="B42" s="136" t="s">
        <v>112</v>
      </c>
      <c r="C42" s="137" t="s">
        <v>113</v>
      </c>
      <c r="D42" s="137" t="s">
        <v>114</v>
      </c>
      <c r="E42" s="138" t="s">
        <v>115</v>
      </c>
      <c r="F42" s="138" t="s">
        <v>116</v>
      </c>
    </row>
    <row r="43" spans="2:6" s="139" customFormat="1" ht="20.1" customHeight="1" thickBot="1">
      <c r="B43" s="140"/>
      <c r="C43" s="11" t="s">
        <v>20</v>
      </c>
      <c r="D43" s="12"/>
      <c r="E43" s="13"/>
      <c r="F43" s="13"/>
    </row>
    <row r="44" spans="3:6" ht="29.25" customHeight="1">
      <c r="C44" s="29" t="s">
        <v>6</v>
      </c>
      <c r="D44" s="31" t="s">
        <v>7</v>
      </c>
      <c r="E44" s="30" t="s">
        <v>8</v>
      </c>
      <c r="F44" s="52" t="s">
        <v>9</v>
      </c>
    </row>
    <row r="45" spans="3:6" ht="3.6" customHeight="1" thickBot="1">
      <c r="C45" s="53"/>
      <c r="D45" s="54"/>
      <c r="E45" s="56"/>
      <c r="F45" s="55"/>
    </row>
    <row r="46" spans="3:6" ht="4.5" customHeight="1">
      <c r="C46" s="27"/>
      <c r="D46" s="1"/>
      <c r="E46" s="41"/>
      <c r="F46" s="28"/>
    </row>
    <row r="47" spans="3:6" ht="15.95" customHeight="1">
      <c r="C47" s="23" t="s">
        <v>22</v>
      </c>
      <c r="D47" s="21"/>
      <c r="E47" s="14"/>
      <c r="F47" s="22"/>
    </row>
    <row r="48" spans="3:6" ht="5.45" customHeight="1" thickBot="1">
      <c r="C48" s="23"/>
      <c r="D48" s="21"/>
      <c r="E48" s="14"/>
      <c r="F48" s="22"/>
    </row>
    <row r="49" spans="2:15" ht="21" customHeight="1">
      <c r="B49" s="141">
        <v>23</v>
      </c>
      <c r="C49" s="111" t="s">
        <v>40</v>
      </c>
      <c r="D49" s="112" t="s">
        <v>33</v>
      </c>
      <c r="E49" s="113">
        <f>'Scenarios-IV-J-7|6'!H24</f>
        <v>5415.7399999999998</v>
      </c>
      <c r="F49" s="114" t="s">
        <v>95</v>
      </c>
      <c r="H49" s="8"/>
      <c r="I49" s="8"/>
      <c r="J49" s="8"/>
      <c r="K49" s="8"/>
      <c r="L49" s="8"/>
      <c r="M49" s="8"/>
      <c r="N49" s="8"/>
      <c r="O49" s="8"/>
    </row>
    <row r="50" spans="2:15" ht="18" customHeight="1">
      <c r="B50" s="141">
        <f>1+B49</f>
        <v>24</v>
      </c>
      <c r="C50" s="104" t="s">
        <v>40</v>
      </c>
      <c r="D50" s="101" t="s">
        <v>29</v>
      </c>
      <c r="E50" s="100">
        <f>'Scenarios-IV-J-7|6'!H25</f>
        <v>5586.3099999999995</v>
      </c>
      <c r="F50" s="105" t="s">
        <v>96</v>
      </c>
      <c r="H50" s="8"/>
      <c r="I50" s="8"/>
      <c r="J50" s="8"/>
      <c r="K50" s="8"/>
      <c r="L50" s="8"/>
      <c r="M50" s="8"/>
      <c r="N50" s="8"/>
      <c r="O50" s="8"/>
    </row>
    <row r="51" spans="2:15" ht="18" customHeight="1">
      <c r="B51" s="141">
        <f t="shared" si="2" ref="B51:B75">1+B50</f>
        <v>25</v>
      </c>
      <c r="C51" s="104" t="s">
        <v>40</v>
      </c>
      <c r="D51" s="99" t="s">
        <v>30</v>
      </c>
      <c r="E51" s="100">
        <f>'Scenarios-IV-J-7|6'!H26</f>
        <v>5661.8000000000002</v>
      </c>
      <c r="F51" s="105" t="s">
        <v>97</v>
      </c>
      <c r="H51" s="8"/>
      <c r="I51" s="124"/>
      <c r="J51" s="125"/>
      <c r="K51" s="125"/>
      <c r="L51" s="125"/>
      <c r="M51" s="125"/>
      <c r="N51" s="8"/>
      <c r="O51" s="8"/>
    </row>
    <row r="52" spans="2:15" ht="18" customHeight="1">
      <c r="B52" s="141">
        <f t="shared" si="2"/>
        <v>26</v>
      </c>
      <c r="C52" s="106" t="s">
        <v>19</v>
      </c>
      <c r="D52" s="102" t="s">
        <v>18</v>
      </c>
      <c r="E52" s="100">
        <f>E49</f>
        <v>5415.7399999999998</v>
      </c>
      <c r="F52" s="105" t="s">
        <v>98</v>
      </c>
      <c r="H52" s="126"/>
      <c r="I52" s="8"/>
      <c r="J52" s="8"/>
      <c r="K52" s="8"/>
      <c r="L52" s="8"/>
      <c r="M52" s="8"/>
      <c r="N52" s="8"/>
      <c r="O52" s="8"/>
    </row>
    <row r="53" spans="2:15" ht="18" customHeight="1">
      <c r="B53" s="141">
        <f t="shared" si="2"/>
        <v>27</v>
      </c>
      <c r="C53" s="106" t="s">
        <v>10</v>
      </c>
      <c r="D53" s="102" t="s">
        <v>11</v>
      </c>
      <c r="E53" s="100">
        <f>E49</f>
        <v>5415.7399999999998</v>
      </c>
      <c r="F53" s="105" t="s">
        <v>98</v>
      </c>
      <c r="H53" s="126"/>
      <c r="I53" s="8"/>
      <c r="J53" s="8"/>
      <c r="K53" s="8"/>
      <c r="L53" s="8"/>
      <c r="M53" s="8"/>
      <c r="N53" s="8"/>
      <c r="O53" s="8"/>
    </row>
    <row r="54" spans="2:15" ht="18" customHeight="1">
      <c r="B54" s="141">
        <f t="shared" si="2"/>
        <v>28</v>
      </c>
      <c r="C54" s="106" t="s">
        <v>10</v>
      </c>
      <c r="D54" s="102" t="s">
        <v>14</v>
      </c>
      <c r="E54" s="100">
        <f>E51</f>
        <v>5661.8000000000002</v>
      </c>
      <c r="F54" s="105" t="s">
        <v>99</v>
      </c>
      <c r="H54" s="126"/>
      <c r="I54" s="8"/>
      <c r="J54" s="8"/>
      <c r="K54" s="8"/>
      <c r="L54" s="8"/>
      <c r="M54" s="8"/>
      <c r="N54" s="8"/>
      <c r="O54" s="8"/>
    </row>
    <row r="55" spans="2:15" ht="18" customHeight="1">
      <c r="B55" s="141">
        <f t="shared" si="2"/>
        <v>29</v>
      </c>
      <c r="C55" s="106" t="s">
        <v>17</v>
      </c>
      <c r="D55" s="102" t="s">
        <v>15</v>
      </c>
      <c r="E55" s="100">
        <f>E51</f>
        <v>5661.8000000000002</v>
      </c>
      <c r="F55" s="105" t="s">
        <v>99</v>
      </c>
      <c r="H55" s="126"/>
      <c r="I55" s="127"/>
      <c r="J55" s="127"/>
      <c r="K55" s="127"/>
      <c r="L55" s="127"/>
      <c r="M55" s="127"/>
      <c r="N55" s="127"/>
      <c r="O55" s="8"/>
    </row>
    <row r="56" spans="2:17" ht="18" customHeight="1" thickBot="1">
      <c r="B56" s="141">
        <f t="shared" si="2"/>
        <v>30</v>
      </c>
      <c r="C56" s="107" t="s">
        <v>17</v>
      </c>
      <c r="D56" s="108" t="s">
        <v>16</v>
      </c>
      <c r="E56" s="109">
        <f>E51</f>
        <v>5661.8000000000002</v>
      </c>
      <c r="F56" s="110" t="s">
        <v>99</v>
      </c>
      <c r="H56" s="126"/>
      <c r="I56" s="8"/>
      <c r="J56" s="8"/>
      <c r="K56" s="8"/>
      <c r="L56" s="8"/>
      <c r="M56" s="8"/>
      <c r="N56" s="8"/>
      <c r="O56" s="8"/>
      <c r="Q56" s="1"/>
    </row>
    <row r="57" spans="2:15" ht="18" customHeight="1" thickBot="1">
      <c r="B57" s="141">
        <f t="shared" si="2"/>
        <v>31</v>
      </c>
      <c r="C57" s="51"/>
      <c r="D57" s="51"/>
      <c r="E57" s="14"/>
      <c r="F57" s="103"/>
      <c r="H57" s="8"/>
      <c r="I57" s="8"/>
      <c r="J57" s="8"/>
      <c r="K57" s="8"/>
      <c r="L57" s="8"/>
      <c r="M57" s="8"/>
      <c r="N57" s="8"/>
      <c r="O57" s="8"/>
    </row>
    <row r="58" spans="2:15" ht="18" customHeight="1">
      <c r="B58" s="141">
        <f t="shared" si="2"/>
        <v>32</v>
      </c>
      <c r="C58" s="20" t="s">
        <v>28</v>
      </c>
      <c r="D58" s="32"/>
      <c r="E58" s="17"/>
      <c r="F58" s="32"/>
      <c r="H58" s="8"/>
      <c r="I58" s="8"/>
      <c r="J58" s="8"/>
      <c r="K58" s="8"/>
      <c r="L58" s="8"/>
      <c r="M58" s="8"/>
      <c r="N58" s="8"/>
      <c r="O58" s="8"/>
    </row>
    <row r="59" spans="2:15" ht="12" customHeight="1" thickBot="1">
      <c r="B59" s="141">
        <f t="shared" si="2"/>
        <v>33</v>
      </c>
      <c r="C59" s="23"/>
      <c r="D59" s="33"/>
      <c r="E59" s="14"/>
      <c r="F59" s="33"/>
      <c r="H59" s="8"/>
      <c r="I59" s="8"/>
      <c r="J59" s="8"/>
      <c r="K59" s="8"/>
      <c r="L59" s="8"/>
      <c r="M59" s="8"/>
      <c r="N59" s="8"/>
      <c r="O59" s="8"/>
    </row>
    <row r="60" spans="2:15" ht="18" customHeight="1">
      <c r="B60" s="141">
        <f t="shared" si="2"/>
        <v>34</v>
      </c>
      <c r="C60" s="57" t="s">
        <v>41</v>
      </c>
      <c r="D60" s="60" t="s">
        <v>33</v>
      </c>
      <c r="E60" s="63">
        <f>'Scenarios-IV-J-7|6'!H29</f>
        <v>3368.6300000000001</v>
      </c>
      <c r="F60" s="64" t="s">
        <v>100</v>
      </c>
      <c r="H60" s="8"/>
      <c r="I60" s="8"/>
      <c r="J60" s="8"/>
      <c r="K60" s="8"/>
      <c r="L60" s="8"/>
      <c r="M60" s="8"/>
      <c r="N60" s="8"/>
      <c r="O60" s="8"/>
    </row>
    <row r="61" spans="2:15" ht="18" customHeight="1">
      <c r="B61" s="141">
        <f t="shared" si="2"/>
        <v>35</v>
      </c>
      <c r="C61" s="19" t="s">
        <v>41</v>
      </c>
      <c r="D61" s="44" t="s">
        <v>29</v>
      </c>
      <c r="E61" s="18">
        <f>'Scenarios-IV-J-7|6'!H30</f>
        <v>3386.9000000000001</v>
      </c>
      <c r="F61" s="49" t="s">
        <v>101</v>
      </c>
      <c r="H61" s="8"/>
      <c r="I61" s="8"/>
      <c r="J61" s="8"/>
      <c r="K61" s="8"/>
      <c r="L61" s="8"/>
      <c r="M61" s="8"/>
      <c r="N61" s="8"/>
      <c r="O61" s="8"/>
    </row>
    <row r="62" spans="2:15" ht="18" customHeight="1">
      <c r="B62" s="141">
        <f t="shared" si="2"/>
        <v>36</v>
      </c>
      <c r="C62" s="58" t="s">
        <v>19</v>
      </c>
      <c r="D62" s="61" t="s">
        <v>18</v>
      </c>
      <c r="E62" s="18">
        <f>E60</f>
        <v>3368.6300000000001</v>
      </c>
      <c r="F62" s="49" t="s">
        <v>102</v>
      </c>
      <c r="H62" s="126"/>
      <c r="I62" s="8"/>
      <c r="J62" s="8"/>
      <c r="K62" s="8"/>
      <c r="L62" s="8"/>
      <c r="M62" s="8"/>
      <c r="N62" s="8"/>
      <c r="O62" s="8"/>
    </row>
    <row r="63" spans="2:15" ht="18" customHeight="1" thickBot="1">
      <c r="B63" s="141">
        <f t="shared" si="2"/>
        <v>37</v>
      </c>
      <c r="C63" s="59" t="s">
        <v>10</v>
      </c>
      <c r="D63" s="62" t="s">
        <v>11</v>
      </c>
      <c r="E63" s="46">
        <f>E60</f>
        <v>3368.6300000000001</v>
      </c>
      <c r="F63" s="50" t="s">
        <v>102</v>
      </c>
      <c r="H63" s="126"/>
      <c r="I63" s="8"/>
      <c r="J63" s="8"/>
      <c r="K63" s="8"/>
      <c r="L63" s="8"/>
      <c r="M63" s="8"/>
      <c r="N63" s="8"/>
      <c r="O63" s="8"/>
    </row>
    <row r="64" spans="2:15" ht="11.45" customHeight="1">
      <c r="B64" s="141">
        <f t="shared" si="2"/>
        <v>38</v>
      </c>
      <c r="C64" s="51"/>
      <c r="D64" s="51"/>
      <c r="E64" s="14"/>
      <c r="F64" s="115"/>
      <c r="H64" s="126"/>
      <c r="I64" s="8"/>
      <c r="J64" s="8"/>
      <c r="K64" s="8"/>
      <c r="L64" s="8"/>
      <c r="M64" s="8"/>
      <c r="N64" s="8"/>
      <c r="O64" s="8"/>
    </row>
    <row r="65" spans="2:15" ht="12.6" customHeight="1" thickBot="1">
      <c r="B65" s="141">
        <f t="shared" si="2"/>
        <v>39</v>
      </c>
      <c r="C65" s="68"/>
      <c r="D65" s="68"/>
      <c r="E65" s="68"/>
      <c r="F65" s="116"/>
      <c r="G65" s="1"/>
      <c r="H65" s="8"/>
      <c r="I65" s="8"/>
      <c r="J65" s="8"/>
      <c r="K65" s="8"/>
      <c r="L65" s="8"/>
      <c r="M65" s="8"/>
      <c r="N65" s="8"/>
      <c r="O65" s="8"/>
    </row>
    <row r="66" spans="2:15" ht="15.95" customHeight="1">
      <c r="B66" s="141">
        <f t="shared" si="2"/>
        <v>40</v>
      </c>
      <c r="C66" s="20" t="s">
        <v>21</v>
      </c>
      <c r="D66" s="83"/>
      <c r="E66" s="84"/>
      <c r="F66" s="85"/>
      <c r="H66" s="8"/>
      <c r="I66" s="8"/>
      <c r="J66" s="8"/>
      <c r="K66" s="8"/>
      <c r="L66" s="8"/>
      <c r="M66" s="8"/>
      <c r="N66" s="8"/>
      <c r="O66" s="8"/>
    </row>
    <row r="67" spans="2:15" ht="12" customHeight="1" thickBot="1">
      <c r="B67" s="141">
        <f t="shared" si="2"/>
        <v>41</v>
      </c>
      <c r="C67" s="23"/>
      <c r="D67" s="21"/>
      <c r="E67" s="51"/>
      <c r="F67" s="22"/>
      <c r="H67" s="8"/>
      <c r="I67" s="8"/>
      <c r="J67" s="8"/>
      <c r="K67" s="8"/>
      <c r="L67" s="8"/>
      <c r="M67" s="8"/>
      <c r="N67" s="8"/>
      <c r="O67" s="8"/>
    </row>
    <row r="68" spans="2:15" ht="18" customHeight="1">
      <c r="B68" s="141">
        <f t="shared" si="2"/>
        <v>42</v>
      </c>
      <c r="C68" s="57" t="s">
        <v>42</v>
      </c>
      <c r="D68" s="60" t="s">
        <v>33</v>
      </c>
      <c r="E68" s="63">
        <f>'Scenarios-IV-J-7|6'!H33</f>
        <v>7315.3899999999994</v>
      </c>
      <c r="F68" s="64" t="s">
        <v>103</v>
      </c>
      <c r="H68" s="8"/>
      <c r="I68" s="8"/>
      <c r="J68" s="8"/>
      <c r="K68" s="8"/>
      <c r="L68" s="8"/>
      <c r="M68" s="8"/>
      <c r="N68" s="8"/>
      <c r="O68" s="8"/>
    </row>
    <row r="69" spans="2:15" ht="18" customHeight="1">
      <c r="B69" s="141">
        <f t="shared" si="2"/>
        <v>43</v>
      </c>
      <c r="C69" s="19" t="s">
        <v>42</v>
      </c>
      <c r="D69" s="44" t="s">
        <v>29</v>
      </c>
      <c r="E69" s="18">
        <f>'Scenarios-IV-J-7|6'!H34</f>
        <v>7315.3899999999994</v>
      </c>
      <c r="F69" s="49" t="s">
        <v>104</v>
      </c>
      <c r="H69" s="8"/>
      <c r="I69" s="8"/>
      <c r="J69" s="8"/>
      <c r="K69" s="8"/>
      <c r="L69" s="8"/>
      <c r="M69" s="8"/>
      <c r="N69" s="8"/>
      <c r="O69" s="8"/>
    </row>
    <row r="70" spans="2:15" ht="18" customHeight="1">
      <c r="B70" s="141">
        <f t="shared" si="2"/>
        <v>44</v>
      </c>
      <c r="C70" s="58" t="s">
        <v>19</v>
      </c>
      <c r="D70" s="61" t="s">
        <v>18</v>
      </c>
      <c r="E70" s="18">
        <f>E68</f>
        <v>7315.3899999999994</v>
      </c>
      <c r="F70" s="49" t="s">
        <v>105</v>
      </c>
      <c r="H70" s="126"/>
      <c r="I70" s="8"/>
      <c r="J70" s="8"/>
      <c r="K70" s="8"/>
      <c r="L70" s="8"/>
      <c r="M70" s="8"/>
      <c r="N70" s="8"/>
      <c r="O70" s="8"/>
    </row>
    <row r="71" spans="2:15" ht="18" customHeight="1">
      <c r="B71" s="141">
        <f t="shared" si="2"/>
        <v>45</v>
      </c>
      <c r="C71" s="58" t="s">
        <v>10</v>
      </c>
      <c r="D71" s="61" t="s">
        <v>11</v>
      </c>
      <c r="E71" s="18">
        <f>E68</f>
        <v>7315.3899999999994</v>
      </c>
      <c r="F71" s="49" t="s">
        <v>105</v>
      </c>
      <c r="H71" s="126"/>
      <c r="I71" s="8"/>
      <c r="J71" s="8"/>
      <c r="K71" s="8"/>
      <c r="L71" s="8"/>
      <c r="M71" s="8"/>
      <c r="N71" s="8"/>
      <c r="O71" s="8"/>
    </row>
    <row r="72" spans="2:15" ht="18" customHeight="1">
      <c r="B72" s="141">
        <f t="shared" si="2"/>
        <v>46</v>
      </c>
      <c r="C72" s="58" t="s">
        <v>10</v>
      </c>
      <c r="D72" s="61" t="s">
        <v>12</v>
      </c>
      <c r="E72" s="18">
        <f>E69</f>
        <v>7315.3899999999994</v>
      </c>
      <c r="F72" s="49" t="s">
        <v>105</v>
      </c>
      <c r="H72" s="126"/>
      <c r="I72" s="8"/>
      <c r="J72" s="8"/>
      <c r="K72" s="8"/>
      <c r="L72" s="8"/>
      <c r="M72" s="8"/>
      <c r="N72" s="8"/>
      <c r="O72" s="8"/>
    </row>
    <row r="73" spans="2:15" ht="18" customHeight="1" thickBot="1">
      <c r="B73" s="141">
        <f t="shared" si="2"/>
        <v>47</v>
      </c>
      <c r="C73" s="59" t="s">
        <v>17</v>
      </c>
      <c r="D73" s="62" t="s">
        <v>18</v>
      </c>
      <c r="E73" s="46">
        <f>E69</f>
        <v>7315.3899999999994</v>
      </c>
      <c r="F73" s="50" t="s">
        <v>106</v>
      </c>
      <c r="H73" s="126"/>
      <c r="I73" s="8"/>
      <c r="J73" s="8"/>
      <c r="K73" s="8"/>
      <c r="L73" s="8"/>
      <c r="M73" s="8"/>
      <c r="N73" s="8"/>
      <c r="O73" s="8"/>
    </row>
    <row r="74" spans="2:15" ht="18" customHeight="1" thickBot="1">
      <c r="B74" s="141">
        <f t="shared" si="2"/>
        <v>48</v>
      </c>
      <c r="C74" s="21"/>
      <c r="D74" s="21"/>
      <c r="E74" s="14"/>
      <c r="F74" s="21"/>
      <c r="H74" s="8"/>
      <c r="I74" s="8"/>
      <c r="J74" s="8"/>
      <c r="K74" s="8"/>
      <c r="L74" s="8"/>
      <c r="M74" s="8"/>
      <c r="N74" s="8"/>
      <c r="O74" s="8"/>
    </row>
    <row r="75" spans="2:15" ht="22.35" customHeight="1" thickBot="1">
      <c r="B75" s="141">
        <f t="shared" si="2"/>
        <v>49</v>
      </c>
      <c r="C75" s="65" t="s">
        <v>23</v>
      </c>
      <c r="D75" s="86"/>
      <c r="E75" s="66">
        <f>E14</f>
        <v>2393.6500000000001</v>
      </c>
      <c r="F75" s="67" t="s">
        <v>90</v>
      </c>
      <c r="H75" s="126"/>
      <c r="I75" s="8"/>
      <c r="J75" s="8"/>
      <c r="K75" s="8"/>
      <c r="L75" s="8"/>
      <c r="M75" s="8"/>
      <c r="N75" s="8"/>
      <c r="O75" s="8"/>
    </row>
    <row r="76" spans="3:15" ht="7.7" customHeight="1">
      <c r="C76" s="79"/>
      <c r="D76" s="80"/>
      <c r="E76" s="81"/>
      <c r="F76" s="82"/>
      <c r="H76" s="126"/>
      <c r="I76" s="8"/>
      <c r="J76" s="8"/>
      <c r="K76" s="8"/>
      <c r="L76" s="8"/>
      <c r="M76" s="8"/>
      <c r="N76" s="8"/>
      <c r="O76" s="8"/>
    </row>
    <row r="77" spans="8:15" ht="3.95" customHeight="1">
      <c r="H77" s="126"/>
      <c r="I77" s="8"/>
      <c r="J77" s="8"/>
      <c r="K77" s="8"/>
      <c r="L77" s="8"/>
      <c r="M77" s="8"/>
      <c r="N77" s="8"/>
      <c r="O77" s="8"/>
    </row>
    <row r="78" spans="2:15" ht="30.6" customHeight="1">
      <c r="B78" s="136" t="s">
        <v>112</v>
      </c>
      <c r="C78" s="137" t="s">
        <v>113</v>
      </c>
      <c r="D78" s="137" t="s">
        <v>114</v>
      </c>
      <c r="E78" s="138" t="s">
        <v>115</v>
      </c>
      <c r="F78" s="138" t="s">
        <v>116</v>
      </c>
      <c r="H78" s="8"/>
      <c r="I78" s="8"/>
      <c r="J78" s="8"/>
      <c r="K78" s="8"/>
      <c r="L78" s="8"/>
      <c r="M78" s="8"/>
      <c r="N78" s="8"/>
      <c r="O78" s="8"/>
    </row>
    <row r="79" spans="2:6" s="139" customFormat="1" ht="20.1" customHeight="1" thickBot="1">
      <c r="B79" s="140"/>
      <c r="C79" s="11" t="s">
        <v>24</v>
      </c>
      <c r="D79" s="40"/>
      <c r="E79" s="13"/>
      <c r="F79" s="13"/>
    </row>
    <row r="80" spans="3:6" ht="29.25" customHeight="1" thickBot="1">
      <c r="C80" s="29" t="s">
        <v>6</v>
      </c>
      <c r="D80" s="31" t="s">
        <v>7</v>
      </c>
      <c r="E80" s="30" t="s">
        <v>8</v>
      </c>
      <c r="F80" s="88" t="s">
        <v>9</v>
      </c>
    </row>
    <row r="81" spans="2:6" ht="33" customHeight="1">
      <c r="B81" s="141">
        <v>50</v>
      </c>
      <c r="C81" s="57" t="s">
        <v>19</v>
      </c>
      <c r="D81" s="60" t="s">
        <v>18</v>
      </c>
      <c r="E81" s="117">
        <f>ROUND(0.6*'Scenarios-IV-J-7|6'!H37+0.4*'Scenarios-IV-J-7|6'!H38,0)</f>
        <v>4238</v>
      </c>
      <c r="F81" s="89" t="s">
        <v>107</v>
      </c>
    </row>
    <row r="82" spans="2:9" ht="18" customHeight="1">
      <c r="B82" s="141">
        <f>1+B81</f>
        <v>51</v>
      </c>
      <c r="C82" s="19" t="s">
        <v>19</v>
      </c>
      <c r="D82" s="25" t="s">
        <v>15</v>
      </c>
      <c r="E82" s="76">
        <f>'Scenarios-IV-J-7|6'!H40</f>
        <v>5257.7700000000004</v>
      </c>
      <c r="F82" s="74" t="s">
        <v>108</v>
      </c>
      <c r="I82" s="78"/>
    </row>
    <row r="83" spans="2:9" ht="18" customHeight="1">
      <c r="B83" s="141">
        <f t="shared" si="3" ref="B83:B96">1+B82</f>
        <v>52</v>
      </c>
      <c r="C83" s="19" t="s">
        <v>19</v>
      </c>
      <c r="D83" s="25" t="s">
        <v>16</v>
      </c>
      <c r="E83" s="76">
        <f>'Scenarios-IV-J-7|6'!H42</f>
        <v>5602.8999999999996</v>
      </c>
      <c r="F83" s="74" t="s">
        <v>109</v>
      </c>
      <c r="I83" s="78"/>
    </row>
    <row r="84" spans="2:9" ht="18" customHeight="1">
      <c r="B84" s="141">
        <f t="shared" si="3"/>
        <v>53</v>
      </c>
      <c r="C84" s="19"/>
      <c r="D84" s="25"/>
      <c r="E84" s="76"/>
      <c r="F84" s="74"/>
      <c r="I84" s="78"/>
    </row>
    <row r="85" spans="2:9" ht="31.7" customHeight="1">
      <c r="B85" s="141">
        <f t="shared" si="3"/>
        <v>54</v>
      </c>
      <c r="C85" s="19" t="s">
        <v>10</v>
      </c>
      <c r="D85" s="45" t="s">
        <v>11</v>
      </c>
      <c r="E85" s="76">
        <f>$E$81</f>
        <v>4238</v>
      </c>
      <c r="F85" s="90" t="str">
        <f>F81</f>
        <v>based on 60% of standard installations on a 30' steel pole and 40% on a 20' fiberglass pole.  Refer to Scenarios 22.13 &amp; 22.14.</v>
      </c>
      <c r="I85" s="78"/>
    </row>
    <row r="86" spans="2:9" ht="18" customHeight="1">
      <c r="B86" s="141">
        <f t="shared" si="3"/>
        <v>55</v>
      </c>
      <c r="C86" s="19" t="s">
        <v>10</v>
      </c>
      <c r="D86" s="25" t="s">
        <v>12</v>
      </c>
      <c r="E86" s="76">
        <f>'Scenarios-IV-J-7|6'!H39</f>
        <v>5051.3299999999999</v>
      </c>
      <c r="F86" s="74" t="s">
        <v>110</v>
      </c>
      <c r="I86" s="78"/>
    </row>
    <row r="87" spans="2:9" ht="18" customHeight="1">
      <c r="B87" s="141">
        <f t="shared" si="3"/>
        <v>56</v>
      </c>
      <c r="C87" s="19" t="s">
        <v>10</v>
      </c>
      <c r="D87" s="25" t="s">
        <v>13</v>
      </c>
      <c r="E87" s="76">
        <f>'Scenarios-IV-J-7|6'!H40</f>
        <v>5257.7700000000004</v>
      </c>
      <c r="F87" s="74" t="s">
        <v>108</v>
      </c>
      <c r="I87" s="78"/>
    </row>
    <row r="88" spans="2:9" ht="18" customHeight="1">
      <c r="B88" s="141">
        <f t="shared" si="3"/>
        <v>57</v>
      </c>
      <c r="C88" s="19" t="s">
        <v>10</v>
      </c>
      <c r="D88" s="25" t="s">
        <v>14</v>
      </c>
      <c r="E88" s="76">
        <f>'Scenarios-IV-J-7|6'!H41</f>
        <v>5434.5200000000004</v>
      </c>
      <c r="F88" s="74" t="s">
        <v>111</v>
      </c>
      <c r="I88" s="78"/>
    </row>
    <row r="89" spans="2:9" ht="18" customHeight="1">
      <c r="B89" s="141">
        <f t="shared" si="3"/>
        <v>58</v>
      </c>
      <c r="C89" s="19" t="s">
        <v>10</v>
      </c>
      <c r="D89" s="25" t="s">
        <v>15</v>
      </c>
      <c r="E89" s="76">
        <f>'Scenarios-IV-J-7|6'!H42</f>
        <v>5602.8999999999996</v>
      </c>
      <c r="F89" s="74" t="s">
        <v>109</v>
      </c>
      <c r="I89" s="78"/>
    </row>
    <row r="90" spans="2:9" ht="18" customHeight="1">
      <c r="B90" s="141">
        <f t="shared" si="3"/>
        <v>59</v>
      </c>
      <c r="C90" s="19" t="s">
        <v>10</v>
      </c>
      <c r="D90" s="25" t="s">
        <v>16</v>
      </c>
      <c r="E90" s="76">
        <f>'Scenarios-IV-J-7|6'!H42</f>
        <v>5602.8999999999996</v>
      </c>
      <c r="F90" s="74" t="s">
        <v>109</v>
      </c>
      <c r="I90" s="78"/>
    </row>
    <row r="91" spans="2:9" ht="18" customHeight="1">
      <c r="B91" s="141">
        <f t="shared" si="3"/>
        <v>60</v>
      </c>
      <c r="C91" s="19"/>
      <c r="D91" s="25"/>
      <c r="E91" s="76"/>
      <c r="F91" s="74"/>
      <c r="I91" s="78"/>
    </row>
    <row r="92" spans="2:9" ht="18" customHeight="1">
      <c r="B92" s="141">
        <f t="shared" si="3"/>
        <v>61</v>
      </c>
      <c r="C92" s="19" t="s">
        <v>17</v>
      </c>
      <c r="D92" s="25" t="s">
        <v>12</v>
      </c>
      <c r="E92" s="76">
        <f>'Scenarios-IV-J-7|6'!H39</f>
        <v>5051.3299999999999</v>
      </c>
      <c r="F92" s="74" t="s">
        <v>110</v>
      </c>
      <c r="I92" s="78"/>
    </row>
    <row r="93" spans="2:9" ht="18" customHeight="1">
      <c r="B93" s="141">
        <f t="shared" si="3"/>
        <v>62</v>
      </c>
      <c r="C93" s="19" t="s">
        <v>17</v>
      </c>
      <c r="D93" s="25" t="s">
        <v>18</v>
      </c>
      <c r="E93" s="76">
        <f>'Scenarios-IV-J-7|6'!H39</f>
        <v>5051.3299999999999</v>
      </c>
      <c r="F93" s="74" t="s">
        <v>110</v>
      </c>
      <c r="I93" s="78"/>
    </row>
    <row r="94" spans="2:9" ht="18" customHeight="1">
      <c r="B94" s="141">
        <f t="shared" si="3"/>
        <v>63</v>
      </c>
      <c r="C94" s="19" t="s">
        <v>17</v>
      </c>
      <c r="D94" s="25" t="s">
        <v>14</v>
      </c>
      <c r="E94" s="76">
        <f>'Scenarios-IV-J-7|6'!H41</f>
        <v>5434.5200000000004</v>
      </c>
      <c r="F94" s="74" t="s">
        <v>111</v>
      </c>
      <c r="I94" s="78"/>
    </row>
    <row r="95" spans="2:9" ht="18" customHeight="1">
      <c r="B95" s="141">
        <f t="shared" si="3"/>
        <v>64</v>
      </c>
      <c r="C95" s="19" t="s">
        <v>17</v>
      </c>
      <c r="D95" s="25" t="s">
        <v>15</v>
      </c>
      <c r="E95" s="76">
        <f>'Scenarios-IV-J-7|6'!H42</f>
        <v>5602.8999999999996</v>
      </c>
      <c r="F95" s="74" t="s">
        <v>109</v>
      </c>
      <c r="I95" s="78"/>
    </row>
    <row r="96" spans="2:9" ht="18" customHeight="1" thickBot="1">
      <c r="B96" s="141">
        <f t="shared" si="3"/>
        <v>65</v>
      </c>
      <c r="C96" s="43" t="s">
        <v>17</v>
      </c>
      <c r="D96" s="38" t="s">
        <v>16</v>
      </c>
      <c r="E96" s="77">
        <f>'Scenarios-IV-J-7|6'!H42</f>
        <v>5602.8999999999996</v>
      </c>
      <c r="F96" s="75" t="s">
        <v>109</v>
      </c>
      <c r="I96" s="78"/>
    </row>
    <row r="97" spans="2:2" ht="12.75">
      <c r="B97" s="141"/>
    </row>
    <row r="98" spans="2:2" ht="12.75">
      <c r="B98" s="141"/>
    </row>
    <row r="120" spans="1:1" ht="12.75">
      <c r="A120" s="144" t="s">
        <v>119</v>
      </c>
    </row>
  </sheetData>
  <mergeCells count="6">
    <mergeCell ref="C39:F39"/>
    <mergeCell ref="C3:F3"/>
    <mergeCell ref="C4:F4"/>
    <mergeCell ref="C5:F5"/>
    <mergeCell ref="C6:F6"/>
    <mergeCell ref="C8:F8"/>
  </mergeCells>
  <printOptions horizontalCentered="1"/>
  <pageMargins left="0.45" right="0.45" top="1" bottom="0.75" header="0.55" footer="0.05"/>
  <pageSetup orientation="portrait" scale="92" r:id="rId1"/>
  <headerFooter>
    <oddHeader xml:space="preserve">&amp;RWP/IV-J-7/5
Page &amp;P of 3
</oddHeader>
  </headerFooter>
  <rowBreaks count="3" manualBreakCount="3">
    <brk id="40" min="1" max="6" man="1"/>
    <brk id="76" min="1" max="6" man="1"/>
    <brk id="98" min="1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5:R82"/>
  <sheetViews>
    <sheetView tabSelected="1" workbookViewId="0" topLeftCell="B1">
      <selection pane="topLeft" activeCell="C1" sqref="C1:C1048576"/>
    </sheetView>
  </sheetViews>
  <sheetFormatPr defaultRowHeight="15"/>
  <cols>
    <col min="2" max="2" width="5.57142857142857" customWidth="1"/>
    <col min="3" max="3" width="101" style="2" customWidth="1"/>
    <col min="4" max="4" width="14.1428571428571" style="71" customWidth="1"/>
    <col min="5" max="5" width="10.1428571428571" style="3" customWidth="1"/>
    <col min="6" max="6" width="9.85714285714286" style="3" customWidth="1"/>
    <col min="7" max="7" width="9.57142857142857" style="3" customWidth="1"/>
    <col min="8" max="8" width="10.5714285714286" style="9" customWidth="1"/>
    <col min="9" max="9" width="4.57142857142857" style="3" customWidth="1"/>
    <col min="11" max="11" width="11.4285714285714" customWidth="1"/>
  </cols>
  <sheetData>
    <row r="5" spans="2:8" ht="12.75">
      <c r="B5" s="8"/>
      <c r="C5" s="147" t="s">
        <v>65</v>
      </c>
      <c r="D5" s="147"/>
      <c r="E5" s="152"/>
      <c r="F5" s="152"/>
      <c r="G5" s="152"/>
      <c r="H5" s="152"/>
    </row>
    <row r="6" spans="3:8" ht="12.75">
      <c r="C6" s="149" t="s">
        <v>26</v>
      </c>
      <c r="D6" s="149"/>
      <c r="E6" s="151"/>
      <c r="F6" s="151"/>
      <c r="G6" s="151"/>
      <c r="H6" s="151"/>
    </row>
    <row r="7" spans="3:8" ht="12.75">
      <c r="C7" s="149" t="s">
        <v>27</v>
      </c>
      <c r="D7" s="149"/>
      <c r="E7" s="151"/>
      <c r="F7" s="151"/>
      <c r="G7" s="151"/>
      <c r="H7" s="151"/>
    </row>
    <row r="8" spans="3:8" ht="12.75">
      <c r="C8" s="147" t="s">
        <v>66</v>
      </c>
      <c r="D8" s="147"/>
      <c r="E8" s="152"/>
      <c r="F8" s="152"/>
      <c r="G8" s="152"/>
      <c r="H8" s="152"/>
    </row>
    <row r="9" spans="3:7" ht="5.1" customHeight="1">
      <c r="C9" s="36"/>
      <c r="D9" s="70"/>
      <c r="E9" s="35"/>
      <c r="F9" s="35"/>
      <c r="G9" s="35"/>
    </row>
    <row r="10" spans="3:8" ht="12.75">
      <c r="C10" s="149" t="s">
        <v>50</v>
      </c>
      <c r="D10" s="149"/>
      <c r="E10" s="151"/>
      <c r="F10" s="151"/>
      <c r="G10" s="151"/>
      <c r="H10" s="151"/>
    </row>
    <row r="11" spans="2:8" ht="32.1" customHeight="1" thickBot="1">
      <c r="B11" s="142" t="s">
        <v>112</v>
      </c>
      <c r="C11" s="137" t="s">
        <v>113</v>
      </c>
      <c r="D11" s="137" t="s">
        <v>114</v>
      </c>
      <c r="E11" s="138" t="s">
        <v>115</v>
      </c>
      <c r="F11" s="138" t="s">
        <v>116</v>
      </c>
      <c r="G11" s="138" t="s">
        <v>117</v>
      </c>
      <c r="H11" s="138" t="s">
        <v>118</v>
      </c>
    </row>
    <row r="12" spans="3:9" ht="19.35" customHeight="1" thickBot="1">
      <c r="C12" s="153" t="s">
        <v>56</v>
      </c>
      <c r="D12" s="154"/>
      <c r="E12" s="155"/>
      <c r="F12" s="155"/>
      <c r="G12" s="155"/>
      <c r="H12" s="156"/>
      <c r="I12" s="7"/>
    </row>
    <row r="13" spans="3:9" ht="14.1" customHeight="1" thickBot="1">
      <c r="C13" s="37"/>
      <c r="D13" s="69"/>
      <c r="E13" s="157" t="s">
        <v>52</v>
      </c>
      <c r="F13" s="158"/>
      <c r="G13" s="158"/>
      <c r="H13" s="159"/>
      <c r="I13" s="7"/>
    </row>
    <row r="14" spans="3:9" ht="17.45" customHeight="1" thickBot="1">
      <c r="C14" s="94" t="s">
        <v>4</v>
      </c>
      <c r="D14" s="95" t="s">
        <v>51</v>
      </c>
      <c r="E14" s="91" t="s">
        <v>0</v>
      </c>
      <c r="F14" s="92" t="s">
        <v>1</v>
      </c>
      <c r="G14" s="92" t="s">
        <v>3</v>
      </c>
      <c r="H14" s="93" t="s">
        <v>2</v>
      </c>
      <c r="I14" s="6"/>
    </row>
    <row r="15" spans="3:18" ht="8.45" customHeight="1" thickBot="1">
      <c r="C15" s="39"/>
      <c r="D15" s="72"/>
      <c r="E15" s="5"/>
      <c r="F15" s="5"/>
      <c r="G15" s="5"/>
      <c r="H15" s="10"/>
      <c r="I15" s="6"/>
      <c r="K15" s="131"/>
      <c r="L15" s="131"/>
      <c r="M15" s="131"/>
      <c r="N15" s="131"/>
      <c r="O15" s="131"/>
      <c r="P15" s="131"/>
      <c r="Q15" s="131"/>
      <c r="R15" s="131"/>
    </row>
    <row r="16" spans="2:18" ht="18" customHeight="1">
      <c r="B16" s="141">
        <v>1</v>
      </c>
      <c r="C16" s="163" t="s">
        <v>34</v>
      </c>
      <c r="D16" s="164"/>
      <c r="E16" s="164"/>
      <c r="F16" s="164"/>
      <c r="G16" s="164"/>
      <c r="H16" s="165"/>
      <c r="I16" s="6"/>
      <c r="K16" s="131"/>
      <c r="L16" s="131"/>
      <c r="M16" s="131"/>
      <c r="N16" s="131"/>
      <c r="O16" s="131"/>
      <c r="P16" s="131"/>
      <c r="Q16" s="131"/>
      <c r="R16" s="131"/>
    </row>
    <row r="17" spans="2:18" ht="15.95" customHeight="1">
      <c r="B17" s="141">
        <f>1+1</f>
        <v>2</v>
      </c>
      <c r="C17" s="128" t="s">
        <v>35</v>
      </c>
      <c r="D17" s="119" t="s">
        <v>67</v>
      </c>
      <c r="E17" s="132">
        <f>434.62+217.14</f>
        <v>651.75999999999999</v>
      </c>
      <c r="F17" s="132">
        <f>122+1067.51</f>
        <v>1189.51</v>
      </c>
      <c r="G17" s="132">
        <f>ROUND((F17+E17)*0.3,2)</f>
        <v>552.38</v>
      </c>
      <c r="H17" s="120">
        <f>SUM(E17:G17)</f>
        <v>2393.6500000000001</v>
      </c>
      <c r="I17" s="5"/>
      <c r="K17" s="5"/>
      <c r="L17" s="5"/>
      <c r="M17" s="131"/>
      <c r="N17" s="131"/>
      <c r="O17" s="131"/>
      <c r="P17" s="131"/>
      <c r="Q17" s="131"/>
      <c r="R17" s="131"/>
    </row>
    <row r="18" spans="2:18" ht="15.95" customHeight="1">
      <c r="B18" s="141">
        <f t="shared" si="0" ref="B18:B42">1+B17</f>
        <v>3</v>
      </c>
      <c r="C18" s="129" t="s">
        <v>36</v>
      </c>
      <c r="D18" s="119" t="s">
        <v>68</v>
      </c>
      <c r="E18" s="132">
        <f>434.62+244.66</f>
        <v>679.27999999999997</v>
      </c>
      <c r="F18" s="132">
        <f>F17</f>
        <v>1189.51</v>
      </c>
      <c r="G18" s="132">
        <f t="shared" si="1" ref="G18:G21">ROUND((F18+E18)*0.3,2)</f>
        <v>560.63999999999999</v>
      </c>
      <c r="H18" s="120">
        <f t="shared" si="2" ref="H18:H21">SUM(E18:G18)</f>
        <v>2429.4299999999998</v>
      </c>
      <c r="I18" s="5"/>
      <c r="K18" s="5"/>
      <c r="L18" s="5"/>
      <c r="M18" s="131"/>
      <c r="N18" s="131"/>
      <c r="O18" s="131"/>
      <c r="P18" s="131"/>
      <c r="Q18" s="131"/>
      <c r="R18" s="131"/>
    </row>
    <row r="19" spans="2:18" ht="15.95" customHeight="1">
      <c r="B19" s="141">
        <f t="shared" si="0"/>
        <v>4</v>
      </c>
      <c r="C19" s="129" t="s">
        <v>37</v>
      </c>
      <c r="D19" s="119" t="s">
        <v>70</v>
      </c>
      <c r="E19" s="132">
        <f>434.62+403.46</f>
        <v>838.07999999999993</v>
      </c>
      <c r="F19" s="132">
        <f>F17</f>
        <v>1189.51</v>
      </c>
      <c r="G19" s="132">
        <f t="shared" si="1"/>
        <v>608.27999999999997</v>
      </c>
      <c r="H19" s="120">
        <f t="shared" si="2"/>
        <v>2635.8699999999999</v>
      </c>
      <c r="I19" s="5"/>
      <c r="K19" s="5"/>
      <c r="L19" s="5"/>
      <c r="M19" s="131"/>
      <c r="N19" s="131"/>
      <c r="O19" s="131"/>
      <c r="P19" s="131"/>
      <c r="Q19" s="131"/>
      <c r="R19" s="131"/>
    </row>
    <row r="20" spans="2:18" ht="15.95" customHeight="1">
      <c r="B20" s="141">
        <f t="shared" si="0"/>
        <v>5</v>
      </c>
      <c r="C20" s="128" t="s">
        <v>38</v>
      </c>
      <c r="D20" s="119" t="s">
        <v>71</v>
      </c>
      <c r="E20" s="132">
        <f>434.62+539.42</f>
        <v>974.03999999999996</v>
      </c>
      <c r="F20" s="132">
        <f>F17</f>
        <v>1189.51</v>
      </c>
      <c r="G20" s="132">
        <f t="shared" si="1"/>
        <v>649.07000000000005</v>
      </c>
      <c r="H20" s="120">
        <f t="shared" si="2"/>
        <v>2812.6200000000003</v>
      </c>
      <c r="I20" s="5"/>
      <c r="J20" s="1"/>
      <c r="K20" s="5"/>
      <c r="L20" s="5"/>
      <c r="M20" s="131"/>
      <c r="N20" s="131"/>
      <c r="O20" s="131"/>
      <c r="P20" s="131"/>
      <c r="Q20" s="131"/>
      <c r="R20" s="131"/>
    </row>
    <row r="21" spans="2:18" ht="15.95" customHeight="1" thickBot="1">
      <c r="B21" s="141">
        <f t="shared" si="0"/>
        <v>6</v>
      </c>
      <c r="C21" s="130" t="s">
        <v>39</v>
      </c>
      <c r="D21" s="122" t="s">
        <v>69</v>
      </c>
      <c r="E21" s="133">
        <f>434.62+668.94</f>
        <v>1103.56</v>
      </c>
      <c r="F21" s="133">
        <f>F17</f>
        <v>1189.51</v>
      </c>
      <c r="G21" s="133">
        <f t="shared" si="1"/>
        <v>687.91999999999996</v>
      </c>
      <c r="H21" s="123">
        <f t="shared" si="2"/>
        <v>2980.9899999999998</v>
      </c>
      <c r="I21" s="4"/>
      <c r="K21" s="5"/>
      <c r="L21" s="5"/>
      <c r="M21" s="131"/>
      <c r="N21" s="131"/>
      <c r="O21" s="131"/>
      <c r="P21" s="131"/>
      <c r="Q21" s="131"/>
      <c r="R21" s="131"/>
    </row>
    <row r="22" spans="2:18" ht="5.1" customHeight="1" thickBot="1">
      <c r="B22" s="143"/>
      <c r="E22" s="4"/>
      <c r="F22" s="4"/>
      <c r="G22" s="4"/>
      <c r="I22" s="4"/>
      <c r="K22" s="131"/>
      <c r="L22" s="131"/>
      <c r="M22" s="131"/>
      <c r="N22" s="131"/>
      <c r="O22" s="131"/>
      <c r="P22" s="131"/>
      <c r="Q22" s="131"/>
      <c r="R22" s="131"/>
    </row>
    <row r="23" spans="2:18" ht="18" customHeight="1">
      <c r="B23" s="141">
        <v>7</v>
      </c>
      <c r="C23" s="160" t="s">
        <v>40</v>
      </c>
      <c r="D23" s="161"/>
      <c r="E23" s="161"/>
      <c r="F23" s="161"/>
      <c r="G23" s="161"/>
      <c r="H23" s="162"/>
      <c r="I23" s="4"/>
      <c r="K23" s="131"/>
      <c r="L23" s="131"/>
      <c r="M23" s="131"/>
      <c r="N23" s="131"/>
      <c r="O23" s="131"/>
      <c r="P23" s="131"/>
      <c r="Q23" s="131"/>
      <c r="R23" s="131"/>
    </row>
    <row r="24" spans="2:18" ht="15.95" customHeight="1">
      <c r="B24" s="141">
        <f t="shared" si="0"/>
        <v>8</v>
      </c>
      <c r="C24" s="118" t="s">
        <v>45</v>
      </c>
      <c r="D24" s="119" t="s">
        <v>72</v>
      </c>
      <c r="E24" s="132">
        <f>2341.96+482.83</f>
        <v>2824.79</v>
      </c>
      <c r="F24" s="132">
        <f>122+1219.16</f>
        <v>1341.1600000000001</v>
      </c>
      <c r="G24" s="132">
        <f t="shared" si="3" ref="G24:G26">ROUND((F24+E24)*0.3,2)</f>
        <v>1249.79</v>
      </c>
      <c r="H24" s="120">
        <f t="shared" si="4" ref="H24:H26">SUM(E24:G24)</f>
        <v>5415.7399999999998</v>
      </c>
      <c r="I24" s="4"/>
      <c r="K24" s="5"/>
      <c r="L24" s="5"/>
      <c r="M24" s="131"/>
      <c r="N24" s="131"/>
      <c r="O24" s="131"/>
      <c r="P24" s="131"/>
      <c r="Q24" s="131"/>
      <c r="R24" s="131"/>
    </row>
    <row r="25" spans="2:18" ht="15.95" customHeight="1">
      <c r="B25" s="141">
        <f t="shared" si="0"/>
        <v>9</v>
      </c>
      <c r="C25" s="118" t="s">
        <v>46</v>
      </c>
      <c r="D25" s="119" t="s">
        <v>73</v>
      </c>
      <c r="E25" s="132">
        <f>2341.96+614.04</f>
        <v>2956</v>
      </c>
      <c r="F25" s="132">
        <f>F24</f>
        <v>1341.1600000000001</v>
      </c>
      <c r="G25" s="132">
        <f t="shared" si="3"/>
        <v>1289.1500000000001</v>
      </c>
      <c r="H25" s="120">
        <f t="shared" si="4"/>
        <v>5586.3099999999995</v>
      </c>
      <c r="I25" s="4"/>
      <c r="K25" s="5"/>
      <c r="L25" s="5"/>
      <c r="M25" s="131"/>
      <c r="N25" s="131"/>
      <c r="O25" s="131"/>
      <c r="P25" s="131"/>
      <c r="Q25" s="131"/>
      <c r="R25" s="131"/>
    </row>
    <row r="26" spans="2:18" ht="15.95" customHeight="1" thickBot="1">
      <c r="B26" s="141">
        <f t="shared" si="0"/>
        <v>10</v>
      </c>
      <c r="C26" s="121" t="s">
        <v>47</v>
      </c>
      <c r="D26" s="122" t="s">
        <v>74</v>
      </c>
      <c r="E26" s="133">
        <f>2341.96+672.11</f>
        <v>3014.0700000000002</v>
      </c>
      <c r="F26" s="133">
        <f>F24</f>
        <v>1341.1600000000001</v>
      </c>
      <c r="G26" s="133">
        <f t="shared" si="3"/>
        <v>1306.5699999999999</v>
      </c>
      <c r="H26" s="123">
        <f t="shared" si="4"/>
        <v>5661.8000000000002</v>
      </c>
      <c r="I26" s="4"/>
      <c r="K26" s="5"/>
      <c r="L26" s="5"/>
      <c r="M26" s="131"/>
      <c r="N26" s="131"/>
      <c r="O26" s="131"/>
      <c r="P26" s="131"/>
      <c r="Q26" s="131"/>
      <c r="R26" s="131"/>
    </row>
    <row r="27" spans="2:18" ht="5.1" customHeight="1" thickBot="1">
      <c r="B27" s="141"/>
      <c r="E27" s="4"/>
      <c r="F27" s="4"/>
      <c r="G27" s="4"/>
      <c r="I27" s="5"/>
      <c r="J27" s="1"/>
      <c r="K27" s="131"/>
      <c r="L27" s="131"/>
      <c r="M27" s="131"/>
      <c r="N27" s="131"/>
      <c r="O27" s="131"/>
      <c r="P27" s="131"/>
      <c r="Q27" s="131"/>
      <c r="R27" s="131"/>
    </row>
    <row r="28" spans="2:18" ht="18" customHeight="1">
      <c r="B28" s="141">
        <v>11</v>
      </c>
      <c r="C28" s="160" t="s">
        <v>41</v>
      </c>
      <c r="D28" s="161"/>
      <c r="E28" s="161"/>
      <c r="F28" s="161"/>
      <c r="G28" s="161"/>
      <c r="H28" s="162"/>
      <c r="I28" s="4"/>
      <c r="K28" s="131"/>
      <c r="L28" s="131"/>
      <c r="M28" s="131"/>
      <c r="N28" s="131"/>
      <c r="O28" s="131"/>
      <c r="P28" s="131"/>
      <c r="Q28" s="131"/>
      <c r="R28" s="131"/>
    </row>
    <row r="29" spans="2:18" ht="15.95" customHeight="1">
      <c r="B29" s="141">
        <f t="shared" si="0"/>
        <v>12</v>
      </c>
      <c r="C29" s="128" t="s">
        <v>43</v>
      </c>
      <c r="D29" s="119" t="s">
        <v>75</v>
      </c>
      <c r="E29" s="132">
        <f>966.05+446.48</f>
        <v>1412.53</v>
      </c>
      <c r="F29" s="132">
        <f>122+1056.72</f>
        <v>1178.72</v>
      </c>
      <c r="G29" s="132">
        <f>ROUND((F29+E29)*0.3,2)</f>
        <v>777.38</v>
      </c>
      <c r="H29" s="120">
        <f>SUM(E29:G29)</f>
        <v>3368.6300000000001</v>
      </c>
      <c r="I29" s="4"/>
      <c r="K29" s="5"/>
      <c r="L29" s="5"/>
      <c r="M29" s="131"/>
      <c r="N29" s="131"/>
      <c r="O29" s="131"/>
      <c r="P29" s="131"/>
      <c r="Q29" s="131"/>
      <c r="R29" s="131"/>
    </row>
    <row r="30" spans="2:18" ht="15.95" customHeight="1" thickBot="1">
      <c r="B30" s="141">
        <f t="shared" si="0"/>
        <v>13</v>
      </c>
      <c r="C30" s="130" t="s">
        <v>44</v>
      </c>
      <c r="D30" s="122" t="s">
        <v>76</v>
      </c>
      <c r="E30" s="133">
        <f>966.05+460.54</f>
        <v>1426.5899999999999</v>
      </c>
      <c r="F30" s="133">
        <f>F29</f>
        <v>1178.72</v>
      </c>
      <c r="G30" s="133">
        <f>ROUND((F30+E30)*0.3,2)</f>
        <v>781.59000000000003</v>
      </c>
      <c r="H30" s="123">
        <f t="shared" si="5" ref="H30">SUM(E30:G30)</f>
        <v>3386.9000000000001</v>
      </c>
      <c r="I30" s="4"/>
      <c r="K30" s="5"/>
      <c r="L30" s="5"/>
      <c r="M30" s="131"/>
      <c r="N30" s="131"/>
      <c r="O30" s="131"/>
      <c r="P30" s="131"/>
      <c r="Q30" s="131"/>
      <c r="R30" s="131"/>
    </row>
    <row r="31" spans="2:18" ht="5.45" customHeight="1" thickBot="1">
      <c r="B31" s="141"/>
      <c r="E31" s="4"/>
      <c r="F31" s="4"/>
      <c r="G31" s="4"/>
      <c r="I31" s="4"/>
      <c r="K31" s="131"/>
      <c r="L31" s="131"/>
      <c r="M31" s="131"/>
      <c r="N31" s="131"/>
      <c r="O31" s="131"/>
      <c r="P31" s="131"/>
      <c r="Q31" s="131"/>
      <c r="R31" s="131"/>
    </row>
    <row r="32" spans="2:18" ht="18" customHeight="1">
      <c r="B32" s="141">
        <v>14</v>
      </c>
      <c r="C32" s="160" t="s">
        <v>42</v>
      </c>
      <c r="D32" s="161"/>
      <c r="E32" s="161"/>
      <c r="F32" s="161"/>
      <c r="G32" s="161"/>
      <c r="H32" s="162"/>
      <c r="I32" s="5"/>
      <c r="J32" s="1"/>
      <c r="K32" s="131"/>
      <c r="L32" s="131"/>
      <c r="M32" s="131"/>
      <c r="N32" s="131"/>
      <c r="O32" s="131"/>
      <c r="P32" s="131"/>
      <c r="Q32" s="131"/>
      <c r="R32" s="131"/>
    </row>
    <row r="33" spans="2:18" ht="15.95" customHeight="1">
      <c r="B33" s="141">
        <f t="shared" si="0"/>
        <v>15</v>
      </c>
      <c r="C33" s="118" t="s">
        <v>48</v>
      </c>
      <c r="D33" s="119" t="s">
        <v>77</v>
      </c>
      <c r="E33" s="132">
        <f>2887.1+1398.96</f>
        <v>4286.0599999999995</v>
      </c>
      <c r="F33" s="132">
        <f>122+1219.16</f>
        <v>1341.1600000000001</v>
      </c>
      <c r="G33" s="132">
        <f>ROUND((F33+E33)*0.3,2)</f>
        <v>1688.1700000000001</v>
      </c>
      <c r="H33" s="120">
        <f t="shared" si="6" ref="H33">SUM(E33:G33)</f>
        <v>7315.3899999999994</v>
      </c>
      <c r="I33" s="4"/>
      <c r="K33" s="5"/>
      <c r="L33" s="5"/>
      <c r="M33" s="131"/>
      <c r="N33" s="131"/>
      <c r="O33" s="131"/>
      <c r="P33" s="131"/>
      <c r="Q33" s="131"/>
      <c r="R33" s="131"/>
    </row>
    <row r="34" spans="2:18" ht="15.95" customHeight="1" thickBot="1">
      <c r="B34" s="141">
        <f t="shared" si="0"/>
        <v>16</v>
      </c>
      <c r="C34" s="121" t="s">
        <v>49</v>
      </c>
      <c r="D34" s="122" t="s">
        <v>78</v>
      </c>
      <c r="E34" s="133">
        <f>MAX((2887.1+1246.56),E33)</f>
        <v>4286.0599999999995</v>
      </c>
      <c r="F34" s="133">
        <f>122+1219.16</f>
        <v>1341.1600000000001</v>
      </c>
      <c r="G34" s="133">
        <f>ROUND((F34+E34)*0.3,2)</f>
        <v>1688.1700000000001</v>
      </c>
      <c r="H34" s="123">
        <f t="shared" si="7" ref="H34">SUM(E34:G34)</f>
        <v>7315.3899999999994</v>
      </c>
      <c r="I34" s="4"/>
      <c r="K34" s="5"/>
      <c r="L34" s="5"/>
      <c r="M34" s="131"/>
      <c r="N34" s="131"/>
      <c r="O34" s="131"/>
      <c r="P34" s="131"/>
      <c r="Q34" s="131"/>
      <c r="R34" s="131"/>
    </row>
    <row r="35" spans="2:18" ht="5.1" customHeight="1" thickBot="1">
      <c r="B35" s="141"/>
      <c r="E35" s="4"/>
      <c r="F35" s="4"/>
      <c r="G35" s="4"/>
      <c r="I35" s="4"/>
      <c r="K35" s="131"/>
      <c r="L35" s="131"/>
      <c r="M35" s="131"/>
      <c r="N35" s="131"/>
      <c r="O35" s="131"/>
      <c r="P35" s="131"/>
      <c r="Q35" s="131"/>
      <c r="R35" s="131"/>
    </row>
    <row r="36" spans="2:18" ht="18" customHeight="1">
      <c r="B36" s="141">
        <v>17</v>
      </c>
      <c r="C36" s="160" t="s">
        <v>57</v>
      </c>
      <c r="D36" s="161"/>
      <c r="E36" s="161"/>
      <c r="F36" s="161"/>
      <c r="G36" s="161"/>
      <c r="H36" s="162"/>
      <c r="I36" s="6"/>
      <c r="K36" s="131"/>
      <c r="L36" s="131"/>
      <c r="M36" s="131"/>
      <c r="N36" s="131"/>
      <c r="O36" s="131"/>
      <c r="P36" s="131"/>
      <c r="Q36" s="131"/>
      <c r="R36" s="131"/>
    </row>
    <row r="37" spans="2:18" ht="18" customHeight="1">
      <c r="B37" s="141">
        <f t="shared" si="0"/>
        <v>18</v>
      </c>
      <c r="C37" s="118" t="s">
        <v>59</v>
      </c>
      <c r="D37" s="119" t="s">
        <v>79</v>
      </c>
      <c r="E37" s="134">
        <f>2299.82+217.14</f>
        <v>2516.96</v>
      </c>
      <c r="F37" s="134">
        <f>122+1219.16</f>
        <v>1341.1600000000001</v>
      </c>
      <c r="G37" s="134">
        <f>ROUND((E37+F37)*0.3,2)</f>
        <v>1157.4400000000001</v>
      </c>
      <c r="H37" s="120">
        <f>SUM(E37:G37)</f>
        <v>5015.5599999999995</v>
      </c>
      <c r="I37" s="5"/>
      <c r="K37" s="97"/>
      <c r="L37" s="131"/>
      <c r="M37" s="131"/>
      <c r="N37" s="131"/>
      <c r="O37" s="131"/>
      <c r="P37" s="131"/>
      <c r="Q37" s="131"/>
      <c r="R37" s="131"/>
    </row>
    <row r="38" spans="2:18" ht="18" customHeight="1">
      <c r="B38" s="141">
        <f t="shared" si="0"/>
        <v>19</v>
      </c>
      <c r="C38" s="118" t="s">
        <v>60</v>
      </c>
      <c r="D38" s="119" t="s">
        <v>80</v>
      </c>
      <c r="E38" s="134">
        <f>966.05+217.14</f>
        <v>1183.1900000000001</v>
      </c>
      <c r="F38" s="134">
        <f>122+1056.72</f>
        <v>1178.72</v>
      </c>
      <c r="G38" s="134">
        <f t="shared" si="8" ref="G38:G42">ROUND((E38+F38)*0.3,2)</f>
        <v>708.57000000000005</v>
      </c>
      <c r="H38" s="120">
        <f t="shared" si="9" ref="H38:H42">SUM(E38:G38)</f>
        <v>3070.48</v>
      </c>
      <c r="I38" s="5"/>
      <c r="K38" s="97"/>
      <c r="L38" s="131"/>
      <c r="M38" s="131"/>
      <c r="N38" s="131"/>
      <c r="O38" s="131"/>
      <c r="P38" s="131"/>
      <c r="Q38" s="131"/>
      <c r="R38" s="131"/>
    </row>
    <row r="39" spans="2:18" ht="18" customHeight="1">
      <c r="B39" s="141">
        <f t="shared" si="0"/>
        <v>20</v>
      </c>
      <c r="C39" s="118" t="s">
        <v>61</v>
      </c>
      <c r="D39" s="119" t="s">
        <v>81</v>
      </c>
      <c r="E39" s="134">
        <f>2299.82+244.66</f>
        <v>2544.48</v>
      </c>
      <c r="F39" s="134">
        <f t="shared" si="10" ref="F39:F42">122+1219.16</f>
        <v>1341.1600000000001</v>
      </c>
      <c r="G39" s="134">
        <f t="shared" si="8"/>
        <v>1165.6900000000001</v>
      </c>
      <c r="H39" s="120">
        <f t="shared" si="9"/>
        <v>5051.3299999999999</v>
      </c>
      <c r="I39" s="5"/>
      <c r="K39" s="131"/>
      <c r="L39" s="131"/>
      <c r="M39" s="131"/>
      <c r="N39" s="131"/>
      <c r="O39" s="131"/>
      <c r="P39" s="131"/>
      <c r="Q39" s="131"/>
      <c r="R39" s="131"/>
    </row>
    <row r="40" spans="2:18" ht="18" customHeight="1">
      <c r="B40" s="141">
        <f t="shared" si="0"/>
        <v>21</v>
      </c>
      <c r="C40" s="118" t="s">
        <v>62</v>
      </c>
      <c r="D40" s="119" t="s">
        <v>82</v>
      </c>
      <c r="E40" s="134">
        <f>2299.82+403.46</f>
        <v>2703.2800000000002</v>
      </c>
      <c r="F40" s="134">
        <f t="shared" si="10"/>
        <v>1341.1600000000001</v>
      </c>
      <c r="G40" s="134">
        <f t="shared" si="8"/>
        <v>1213.3299999999999</v>
      </c>
      <c r="H40" s="120">
        <f t="shared" si="9"/>
        <v>5257.7700000000004</v>
      </c>
      <c r="I40" s="5"/>
      <c r="K40" s="131"/>
      <c r="L40" s="131"/>
      <c r="M40" s="131"/>
      <c r="N40" s="131"/>
      <c r="O40" s="131"/>
      <c r="P40" s="131"/>
      <c r="Q40" s="131"/>
      <c r="R40" s="131"/>
    </row>
    <row r="41" spans="2:18" ht="18" customHeight="1">
      <c r="B41" s="141">
        <f t="shared" si="0"/>
        <v>22</v>
      </c>
      <c r="C41" s="118" t="s">
        <v>63</v>
      </c>
      <c r="D41" s="119" t="s">
        <v>83</v>
      </c>
      <c r="E41" s="134">
        <f>2299.82+539.42</f>
        <v>2839.2400000000002</v>
      </c>
      <c r="F41" s="134">
        <f t="shared" si="10"/>
        <v>1341.1600000000001</v>
      </c>
      <c r="G41" s="134">
        <f t="shared" si="8"/>
        <v>1254.1199999999999</v>
      </c>
      <c r="H41" s="120">
        <f t="shared" si="9"/>
        <v>5434.5200000000004</v>
      </c>
      <c r="I41" s="5"/>
      <c r="J41" s="1"/>
      <c r="K41" s="131"/>
      <c r="L41" s="131"/>
      <c r="M41" s="131"/>
      <c r="N41" s="131"/>
      <c r="O41" s="131"/>
      <c r="P41" s="131"/>
      <c r="Q41" s="131"/>
      <c r="R41" s="131"/>
    </row>
    <row r="42" spans="2:18" ht="18" customHeight="1" thickBot="1">
      <c r="B42" s="141">
        <f t="shared" si="0"/>
        <v>23</v>
      </c>
      <c r="C42" s="121" t="s">
        <v>64</v>
      </c>
      <c r="D42" s="122" t="s">
        <v>84</v>
      </c>
      <c r="E42" s="135">
        <f>2299.82+668.94</f>
        <v>2968.7600000000002</v>
      </c>
      <c r="F42" s="135">
        <f t="shared" si="10"/>
        <v>1341.1600000000001</v>
      </c>
      <c r="G42" s="135">
        <f t="shared" si="8"/>
        <v>1292.98</v>
      </c>
      <c r="H42" s="123">
        <f t="shared" si="9"/>
        <v>5602.8999999999996</v>
      </c>
      <c r="I42" s="4"/>
      <c r="K42" s="131"/>
      <c r="L42" s="131"/>
      <c r="M42" s="131"/>
      <c r="N42" s="131"/>
      <c r="O42" s="131"/>
      <c r="P42" s="131"/>
      <c r="Q42" s="131"/>
      <c r="R42" s="131"/>
    </row>
    <row r="43" spans="3:9" s="8" customFormat="1" ht="12.6" customHeight="1">
      <c r="C43" s="39"/>
      <c r="D43" s="96"/>
      <c r="E43" s="5"/>
      <c r="F43" s="5"/>
      <c r="G43" s="5"/>
      <c r="H43" s="10"/>
      <c r="I43" s="4"/>
    </row>
    <row r="44" spans="3:9" s="8" customFormat="1" ht="15" customHeight="1">
      <c r="C44" s="97" t="s">
        <v>58</v>
      </c>
      <c r="D44" s="96"/>
      <c r="E44" s="5"/>
      <c r="F44" s="5"/>
      <c r="G44" s="5"/>
      <c r="H44" s="10"/>
      <c r="I44" s="4"/>
    </row>
    <row r="45" spans="3:9" s="8" customFormat="1" ht="3.95" customHeight="1">
      <c r="C45" s="39"/>
      <c r="D45" s="96"/>
      <c r="E45" s="5"/>
      <c r="F45" s="5"/>
      <c r="G45" s="5"/>
      <c r="H45" s="10"/>
      <c r="I45" s="4"/>
    </row>
    <row r="46" spans="3:9" s="8" customFormat="1" ht="18" customHeight="1">
      <c r="C46"/>
      <c r="D46"/>
      <c r="E46"/>
      <c r="F46"/>
      <c r="G46"/>
      <c r="H46"/>
      <c r="I46" s="4"/>
    </row>
    <row r="47" spans="3:9" s="8" customFormat="1" ht="18" customHeight="1">
      <c r="C47"/>
      <c r="D47"/>
      <c r="E47"/>
      <c r="F47"/>
      <c r="G47"/>
      <c r="H47"/>
      <c r="I47" s="4"/>
    </row>
    <row r="48" spans="3:9" s="8" customFormat="1" ht="18" customHeight="1">
      <c r="C48"/>
      <c r="D48"/>
      <c r="E48"/>
      <c r="F48"/>
      <c r="G48"/>
      <c r="H48"/>
      <c r="I48" s="4"/>
    </row>
    <row r="49" spans="3:9" s="8" customFormat="1" ht="18" customHeight="1">
      <c r="C49" s="39"/>
      <c r="D49" s="96"/>
      <c r="E49" s="5"/>
      <c r="F49" s="5"/>
      <c r="G49" s="5"/>
      <c r="H49" s="10"/>
      <c r="I49" s="4"/>
    </row>
    <row r="50" spans="3:9" ht="12.75">
      <c r="C50"/>
      <c r="D50"/>
      <c r="E50" s="4"/>
      <c r="F50" s="4"/>
      <c r="G50" s="4"/>
      <c r="I50" s="4"/>
    </row>
    <row r="51" spans="3:9" ht="12.75">
      <c r="C51"/>
      <c r="D51"/>
      <c r="E51" s="4"/>
      <c r="F51" s="4"/>
      <c r="G51" s="4"/>
      <c r="I51" s="4"/>
    </row>
    <row r="52" spans="3:9" ht="12.75">
      <c r="C52"/>
      <c r="D52"/>
      <c r="E52" s="4"/>
      <c r="F52" s="4"/>
      <c r="G52" s="4"/>
      <c r="I52" s="4"/>
    </row>
    <row r="53" spans="3:9" ht="12.75">
      <c r="C53"/>
      <c r="D53"/>
      <c r="E53" s="4"/>
      <c r="F53" s="4"/>
      <c r="G53" s="4"/>
      <c r="I53" s="4"/>
    </row>
    <row r="54" spans="3:9" ht="12.75">
      <c r="C54"/>
      <c r="D54"/>
      <c r="E54" s="4"/>
      <c r="F54" s="4"/>
      <c r="G54" s="4"/>
      <c r="I54" s="4"/>
    </row>
    <row r="55" spans="3:9" ht="12.75">
      <c r="C55"/>
      <c r="D55"/>
      <c r="E55" s="4"/>
      <c r="F55" s="4"/>
      <c r="G55" s="4"/>
      <c r="I55" s="4"/>
    </row>
    <row r="56" spans="3:9" ht="12.75">
      <c r="C56"/>
      <c r="D56"/>
      <c r="E56" s="4"/>
      <c r="F56" s="4"/>
      <c r="G56" s="4"/>
      <c r="I56" s="4"/>
    </row>
    <row r="57" spans="3:9" ht="12.75">
      <c r="C57"/>
      <c r="D57"/>
      <c r="E57" s="4"/>
      <c r="F57" s="4"/>
      <c r="G57" s="4"/>
      <c r="I57" s="4"/>
    </row>
    <row r="58" spans="3:9" ht="12.75">
      <c r="C58"/>
      <c r="D58"/>
      <c r="E58" s="4"/>
      <c r="F58" s="4"/>
      <c r="G58" s="4"/>
      <c r="I58" s="4"/>
    </row>
    <row r="59" spans="3:9" ht="12.75">
      <c r="C59"/>
      <c r="D59"/>
      <c r="E59" s="4"/>
      <c r="F59" s="4"/>
      <c r="G59" s="4"/>
      <c r="I59" s="4"/>
    </row>
    <row r="60" spans="3:9" ht="12.75">
      <c r="C60"/>
      <c r="D60"/>
      <c r="E60" s="4"/>
      <c r="F60" s="4"/>
      <c r="G60" s="4"/>
      <c r="I60" s="4"/>
    </row>
    <row r="61" spans="3:9" ht="12.75">
      <c r="C61"/>
      <c r="D61"/>
      <c r="E61" s="4"/>
      <c r="F61" s="4"/>
      <c r="G61" s="4"/>
      <c r="I61" s="4"/>
    </row>
    <row r="62" spans="3:9" ht="12.75">
      <c r="C62"/>
      <c r="D62"/>
      <c r="E62" s="4"/>
      <c r="F62" s="4"/>
      <c r="G62" s="4"/>
      <c r="I62" s="4"/>
    </row>
    <row r="63" spans="3:9" ht="12.75">
      <c r="C63"/>
      <c r="D63"/>
      <c r="E63" s="4"/>
      <c r="F63" s="4"/>
      <c r="G63" s="4"/>
      <c r="I63" s="4"/>
    </row>
    <row r="64" spans="3:9" ht="12.75">
      <c r="C64"/>
      <c r="D64"/>
      <c r="E64" s="4"/>
      <c r="F64" s="4"/>
      <c r="G64" s="4"/>
      <c r="I64" s="4"/>
    </row>
    <row r="65" spans="3:9" ht="12.75">
      <c r="C65"/>
      <c r="D65"/>
      <c r="E65" s="4"/>
      <c r="F65" s="4"/>
      <c r="G65" s="4"/>
      <c r="I65" s="4"/>
    </row>
    <row r="66" spans="3:9" ht="12.75">
      <c r="C66"/>
      <c r="D66"/>
      <c r="E66" s="4"/>
      <c r="F66" s="4"/>
      <c r="G66" s="4"/>
      <c r="I66" s="4"/>
    </row>
    <row r="67" spans="3:9" ht="12.75">
      <c r="C67"/>
      <c r="D67"/>
      <c r="E67" s="4"/>
      <c r="F67" s="4"/>
      <c r="G67" s="4"/>
      <c r="I67" s="4"/>
    </row>
    <row r="68" spans="3:9" ht="12.75">
      <c r="C68"/>
      <c r="D68"/>
      <c r="E68" s="4"/>
      <c r="F68" s="4"/>
      <c r="G68" s="4"/>
      <c r="I68" s="4"/>
    </row>
    <row r="69" spans="3:9" ht="12.75">
      <c r="C69"/>
      <c r="D69"/>
      <c r="E69" s="4"/>
      <c r="F69" s="4"/>
      <c r="G69" s="4"/>
      <c r="I69" s="4"/>
    </row>
    <row r="70" spans="3:9" ht="12.75">
      <c r="C70"/>
      <c r="D70"/>
      <c r="E70" s="4"/>
      <c r="F70" s="4"/>
      <c r="G70" s="4"/>
      <c r="I70" s="4"/>
    </row>
    <row r="71" spans="3:9" ht="12.75">
      <c r="C71"/>
      <c r="D71"/>
      <c r="E71" s="4"/>
      <c r="F71" s="4"/>
      <c r="G71" s="4"/>
      <c r="I71" s="4"/>
    </row>
    <row r="72" spans="3:9" ht="12.75">
      <c r="C72"/>
      <c r="D72"/>
      <c r="E72" s="4"/>
      <c r="F72" s="4"/>
      <c r="G72" s="4"/>
      <c r="I72" s="4"/>
    </row>
    <row r="73" spans="3:9" ht="12.75">
      <c r="C73"/>
      <c r="D73"/>
      <c r="E73" s="4"/>
      <c r="F73" s="4"/>
      <c r="G73" s="4"/>
      <c r="I73" s="4"/>
    </row>
    <row r="74" spans="3:9" ht="12.75">
      <c r="C74"/>
      <c r="D74"/>
      <c r="E74" s="4"/>
      <c r="F74" s="4"/>
      <c r="G74" s="4"/>
      <c r="I74" s="4"/>
    </row>
    <row r="75" spans="3:9" ht="12.75">
      <c r="C75"/>
      <c r="D75"/>
      <c r="E75" s="4"/>
      <c r="F75" s="4"/>
      <c r="G75" s="4"/>
      <c r="I75" s="4"/>
    </row>
    <row r="76" spans="3:9" ht="12.75">
      <c r="C76"/>
      <c r="D76"/>
      <c r="E76" s="4"/>
      <c r="F76" s="4"/>
      <c r="G76" s="4"/>
      <c r="I76" s="4"/>
    </row>
    <row r="77" spans="3:9" ht="12.75">
      <c r="C77"/>
      <c r="D77"/>
      <c r="E77" s="4"/>
      <c r="F77" s="4"/>
      <c r="G77" s="4"/>
      <c r="I77" s="4"/>
    </row>
    <row r="78" spans="3:9" ht="12.75">
      <c r="C78"/>
      <c r="D78"/>
      <c r="E78" s="4"/>
      <c r="F78" s="4"/>
      <c r="G78" s="4"/>
      <c r="I78" s="4"/>
    </row>
    <row r="79" spans="3:9" ht="12.75">
      <c r="C79"/>
      <c r="D79"/>
      <c r="E79" s="4"/>
      <c r="F79" s="4"/>
      <c r="G79" s="4"/>
      <c r="I79" s="4"/>
    </row>
    <row r="80" spans="3:9" ht="12.75">
      <c r="C80"/>
      <c r="D80"/>
      <c r="E80" s="4"/>
      <c r="F80" s="4"/>
      <c r="G80" s="4"/>
      <c r="I80" s="4"/>
    </row>
    <row r="81" spans="3:9" ht="12.75">
      <c r="C81"/>
      <c r="D81"/>
      <c r="E81" s="4"/>
      <c r="F81" s="4"/>
      <c r="G81" s="4"/>
      <c r="I81" s="4"/>
    </row>
    <row r="82" spans="3:9" ht="12.75">
      <c r="C82"/>
      <c r="D82"/>
      <c r="E82" s="4"/>
      <c r="F82" s="4"/>
      <c r="G82" s="4"/>
      <c r="I82" s="4"/>
    </row>
  </sheetData>
  <mergeCells count="12">
    <mergeCell ref="E13:H13"/>
    <mergeCell ref="C36:H36"/>
    <mergeCell ref="C16:H16"/>
    <mergeCell ref="C23:H23"/>
    <mergeCell ref="C28:H28"/>
    <mergeCell ref="C32:H32"/>
    <mergeCell ref="C12:H12"/>
    <mergeCell ref="C5:H5"/>
    <mergeCell ref="C6:H6"/>
    <mergeCell ref="C7:H7"/>
    <mergeCell ref="C8:H8"/>
    <mergeCell ref="C10:H10"/>
  </mergeCells>
  <printOptions horizontalCentered="1"/>
  <pageMargins left="0.45" right="0.45" top="0.85" bottom="0.75" header="0.75" footer="0"/>
  <pageSetup orientation="landscape" scale="75" r:id="rId1"/>
  <headerFooter>
    <oddHeader>&amp;RWP/IV-J-7/6
Page 1 of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by Light Type - IV-J-7|5</vt:lpstr>
      <vt:lpstr>Scenarios-IV-J-7|6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