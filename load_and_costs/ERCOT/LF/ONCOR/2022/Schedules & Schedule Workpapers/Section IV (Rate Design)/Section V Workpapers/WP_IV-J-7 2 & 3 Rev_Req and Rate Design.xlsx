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ction IV (Rate Design)\Section V Workpapers\"/>
    </mc:Choice>
  </mc:AlternateContent>
  <bookViews>
    <workbookView xWindow="360" yWindow="435" windowWidth="14715" windowHeight="8325" activeTab="0"/>
  </bookViews>
  <sheets>
    <sheet name="SL Rate Design Sch. A&amp;B" sheetId="3" r:id="rId2"/>
    <sheet name="Revenue Req." sheetId="2" r:id="rId3"/>
  </sheets>
  <externalReferences>
    <externalReference r:id="rId6"/>
    <externalReference r:id="rId7"/>
    <externalReference r:id="rId8"/>
    <externalReference r:id="rId9"/>
  </externalReferences>
  <definedNames>
    <definedName name="_xlnm.Print_Area" localSheetId="1">'Revenue Req.'!$B$1:$Q$49</definedName>
    <definedName name="_xlnm.Print_Area" localSheetId="0">'SL Rate Design Sch. A&amp;B'!$A$2:$BM$66</definedName>
    <definedName name="_xlnm.Print_Titles" localSheetId="0">'SL Rate Design Sch. A&amp;B'!$B:$E</definedName>
  </definedNames>
  <calcPr calcId="152511"/>
</workbook>
</file>

<file path=xl/calcChain.xml><?xml version="1.0" encoding="utf-8"?>
<calcChain xmlns="http://schemas.openxmlformats.org/spreadsheetml/2006/main">
  <c r="BM82" i="3" l="1"/>
</calcChain>
</file>

<file path=xl/sharedStrings.xml><?xml version="1.0" encoding="utf-8"?>
<sst xmlns="http://schemas.openxmlformats.org/spreadsheetml/2006/main" count="230" uniqueCount="191">
  <si>
    <t>[a]</t>
  </si>
  <si>
    <t>[b]</t>
  </si>
  <si>
    <t>[c]</t>
  </si>
  <si>
    <t>Cost  Category</t>
  </si>
  <si>
    <t>Based on Installed Cost</t>
  </si>
  <si>
    <t>Based  on  Load</t>
  </si>
  <si>
    <t>Per Light Basis</t>
  </si>
  <si>
    <t>A&amp;G Expenses</t>
  </si>
  <si>
    <t>Based on Maintenance Cost Wt.</t>
  </si>
  <si>
    <t>ASSIGNMENT  OF  COSTS  ALLOCATED  TO  THE  LIGHTING  CLASS  TO  UNMETERED  SLs</t>
  </si>
  <si>
    <t>Less:</t>
  </si>
  <si>
    <t>Outdoor Lighting Revenue =</t>
  </si>
  <si>
    <t>Schedule C &amp; D Revenue =</t>
  </si>
  <si>
    <t>Metered Lighting (Co.-owned) Rev =</t>
  </si>
  <si>
    <t>Sub Totals</t>
  </si>
  <si>
    <t>Taxes</t>
  </si>
  <si>
    <t xml:space="preserve">to Total Lighting Class Revenue Requirement = </t>
  </si>
  <si>
    <t>Ratio of Total Unmetered SL Revenue Req (Sch A&amp;B)</t>
  </si>
  <si>
    <t>* - based on the ratio of unmetered SL revenue requirement to the total lighting class revenue requirement</t>
  </si>
  <si>
    <t xml:space="preserve">        Total Rev. Req. - Unmetered Service</t>
  </si>
  <si>
    <t>Percentage of Class Rev. Req.</t>
  </si>
  <si>
    <t>Based on Relative Revenue by Light Type</t>
  </si>
  <si>
    <t xml:space="preserve">        for Schedule A &amp; B Lights</t>
  </si>
  <si>
    <t>[f]</t>
  </si>
  <si>
    <t>[r]</t>
  </si>
  <si>
    <t>Sodium  Vapor</t>
  </si>
  <si>
    <t>Mercury  Vapor</t>
  </si>
  <si>
    <t>Metal  Halide</t>
  </si>
  <si>
    <t xml:space="preserve">Schedule  A </t>
  </si>
  <si>
    <t>Fully Loaded Installed Cost</t>
  </si>
  <si>
    <t>Monthly kWh Usage</t>
  </si>
  <si>
    <t xml:space="preserve">Schedule  B </t>
  </si>
  <si>
    <t>Historical</t>
  </si>
  <si>
    <t>MV</t>
  </si>
  <si>
    <t>SV</t>
  </si>
  <si>
    <t>MH</t>
  </si>
  <si>
    <t>Incandescent</t>
  </si>
  <si>
    <t>all</t>
  </si>
  <si>
    <t>Rectangular</t>
  </si>
  <si>
    <t>Post Top</t>
  </si>
  <si>
    <t>% of Total Weighted NF</t>
  </si>
  <si>
    <t>Weighted NF</t>
  </si>
  <si>
    <t>Weighted Cost</t>
  </si>
  <si>
    <t>175 w</t>
  </si>
  <si>
    <t>400 w</t>
  </si>
  <si>
    <t>1000 w</t>
  </si>
  <si>
    <t xml:space="preserve">Line Description </t>
  </si>
  <si>
    <t>Installed Cost - Based Revenue Requirement :</t>
  </si>
  <si>
    <t>Load - Based Revenue Requirement :</t>
  </si>
  <si>
    <t>Maintenance - Based Revenue Requirement :</t>
  </si>
  <si>
    <t>Per Light - Based Revenue Requirement :</t>
  </si>
  <si>
    <t>% of Total # of Lights</t>
  </si>
  <si>
    <t>Revenue - Based Revenue Requirement :</t>
  </si>
  <si>
    <t xml:space="preserve">Monthly Rate </t>
  </si>
  <si>
    <t>Current Rate</t>
  </si>
  <si>
    <t>Wt. Cost Subtotals</t>
  </si>
  <si>
    <t>Total Cost</t>
  </si>
  <si>
    <t>check:</t>
  </si>
  <si>
    <t>check input:</t>
  </si>
  <si>
    <t>Depr, Amort, and Other Exp.</t>
  </si>
  <si>
    <t>ONCOR  ELECTRIC  DELIVERY  COMPANY  LLC</t>
  </si>
  <si>
    <t xml:space="preserve">     Page 1 of 1</t>
  </si>
  <si>
    <t xml:space="preserve">     WP/IV-J-7/3</t>
  </si>
  <si>
    <t>O&amp;M and Customer Expenses</t>
  </si>
  <si>
    <t>-</t>
  </si>
  <si>
    <t xml:space="preserve">Return on Rate Base </t>
  </si>
  <si>
    <t>Total Lighting   Costs</t>
  </si>
  <si>
    <t>from unmetered SL facilities</t>
  </si>
  <si>
    <t>(a)</t>
  </si>
  <si>
    <t>(b)</t>
  </si>
  <si>
    <t>= (b)/(a)</t>
  </si>
  <si>
    <t>Unmetered SL POD Charges</t>
  </si>
  <si>
    <t>Metered Lighting (Non Co.-owned) Rev =</t>
  </si>
  <si>
    <r>
      <t>Total Unmetered SL Revenue Req (Sch A&amp;B)</t>
    </r>
    <r>
      <rPr>
        <vertAlign val="superscript"/>
        <sz val="10"/>
        <rFont val="Verdana"/>
        <family val="2"/>
      </rPr>
      <t>#</t>
    </r>
    <r>
      <rPr>
        <sz val="9"/>
        <rFont val="Verdana"/>
        <family val="2"/>
      </rPr>
      <t xml:space="preserve"> = </t>
    </r>
  </si>
  <si>
    <t># - Also includes Rectangular, Post Top, Incandescent, and Historical lights.</t>
  </si>
  <si>
    <t>&lt;--- excludes A928</t>
  </si>
  <si>
    <t>CALCULATION  OF  REVENUE  REQUIREMENT  FOR  UNMETERED  STREET  LIGHTING  -  SCHEDULES  A &amp; B</t>
  </si>
  <si>
    <t>Row Totals</t>
  </si>
  <si>
    <t>Settlement-Related Adjustment</t>
  </si>
  <si>
    <t>2 - Refer to tab entitled "Revenue Req."</t>
  </si>
  <si>
    <t xml:space="preserve">Schedule A </t>
  </si>
  <si>
    <t>LED Cobra Head</t>
  </si>
  <si>
    <t>56 - 100 w</t>
  </si>
  <si>
    <t>0 - 55 w</t>
  </si>
  <si>
    <t>101 - 140 w</t>
  </si>
  <si>
    <t>141 - 180 w</t>
  </si>
  <si>
    <t>181 - 265 w</t>
  </si>
  <si>
    <t>Schedule  A</t>
  </si>
  <si>
    <t>LED Rectangular</t>
  </si>
  <si>
    <t>Schedule A</t>
  </si>
  <si>
    <t>LED Post Top</t>
  </si>
  <si>
    <t>LED Historical</t>
  </si>
  <si>
    <r>
      <t xml:space="preserve">[m] </t>
    </r>
    <r>
      <rPr>
        <sz val="9"/>
        <rFont val="Verdana"/>
        <family val="2"/>
      </rPr>
      <t>= [h] + [k1]</t>
    </r>
  </si>
  <si>
    <r>
      <t xml:space="preserve">[p] </t>
    </r>
    <r>
      <rPr>
        <sz val="9"/>
        <rFont val="Verdana"/>
        <family val="2"/>
      </rPr>
      <t>= [m] / ( [a]* 12)</t>
    </r>
  </si>
  <si>
    <r>
      <t xml:space="preserve">[s] </t>
    </r>
    <r>
      <rPr>
        <sz val="9"/>
        <rFont val="Verdana"/>
        <family val="2"/>
      </rPr>
      <t xml:space="preserve">= [p]/[r] - 1 </t>
    </r>
  </si>
  <si>
    <t xml:space="preserve">     LED Cobra Head light on Schedule A.</t>
  </si>
  <si>
    <t xml:space="preserve">3 - Normalized to the "Monthly kWh Usage" of a 0-55 watt </t>
  </si>
  <si>
    <t xml:space="preserve">    check - cells below should be less than $100 +/-</t>
  </si>
  <si>
    <t>% of Total Weighted Cost</t>
  </si>
  <si>
    <t>4 - The Maintenance Normalization Factor is based on an assumption that 60% of the maintenance costs are incurred on a per light basis (i.e., the cost is the same for all lights) and 40% is related to the installed cost shown in line (b).</t>
  </si>
  <si>
    <t>SPONSOR:  MATTHEW A. TROXLE</t>
  </si>
  <si>
    <t xml:space="preserve">5 -  Excludes changes in the Point of Delivery (POD) Charge. </t>
  </si>
  <si>
    <t># of Lights on 01/03/22</t>
  </si>
  <si>
    <t>FOR  THE  TEST  YEAR  ENDING  DECEMBER 31, 2021</t>
  </si>
  <si>
    <t>2022  RATE  CASE</t>
  </si>
  <si>
    <t xml:space="preserve">Total Lighting Class Revenue Requirement  (DIST Function + MET Function + Customer Function) = </t>
  </si>
  <si>
    <t>Plus : MET &amp; CUST Function Costs</t>
  </si>
  <si>
    <t>Less : Other Revenue</t>
  </si>
  <si>
    <t>bot</t>
  </si>
  <si>
    <t>Line Reference</t>
  </si>
  <si>
    <t>Line #</t>
  </si>
  <si>
    <t>[A]</t>
  </si>
  <si>
    <t>[B]</t>
  </si>
  <si>
    <t>[C]</t>
  </si>
  <si>
    <t>[D]</t>
  </si>
  <si>
    <t>[E]</t>
  </si>
  <si>
    <t>[F]</t>
  </si>
  <si>
    <t>[G]</t>
  </si>
  <si>
    <t>[H]</t>
  </si>
  <si>
    <t>[J]</t>
  </si>
  <si>
    <t>[K]</t>
  </si>
  <si>
    <t>[L]</t>
  </si>
  <si>
    <t>[M]</t>
  </si>
  <si>
    <t>[N]</t>
  </si>
  <si>
    <t>[O]</t>
  </si>
  <si>
    <t>[P]</t>
  </si>
  <si>
    <t>[Q]</t>
  </si>
  <si>
    <t>[R]</t>
  </si>
  <si>
    <t>[S]</t>
  </si>
  <si>
    <t>[T]</t>
  </si>
  <si>
    <t>[U]</t>
  </si>
  <si>
    <t>[V]</t>
  </si>
  <si>
    <t>[W]</t>
  </si>
  <si>
    <t>[X]</t>
  </si>
  <si>
    <t>[Y]</t>
  </si>
  <si>
    <t>[Z]</t>
  </si>
  <si>
    <t>[AA]</t>
  </si>
  <si>
    <t>[AB]</t>
  </si>
  <si>
    <t>[AC]</t>
  </si>
  <si>
    <t>[AD]</t>
  </si>
  <si>
    <t>[AE]</t>
  </si>
  <si>
    <t>[AF]</t>
  </si>
  <si>
    <t>[AG]</t>
  </si>
  <si>
    <t>[AH]</t>
  </si>
  <si>
    <t>[AI]</t>
  </si>
  <si>
    <t>[AJ]</t>
  </si>
  <si>
    <t>[AK]</t>
  </si>
  <si>
    <t>[AL]</t>
  </si>
  <si>
    <t>[AM]</t>
  </si>
  <si>
    <t>[AN]</t>
  </si>
  <si>
    <t>[AO]</t>
  </si>
  <si>
    <t>[AP]</t>
  </si>
  <si>
    <t>[AQ]</t>
  </si>
  <si>
    <t>[AR]</t>
  </si>
  <si>
    <t>[AS]</t>
  </si>
  <si>
    <t>[AT]</t>
  </si>
  <si>
    <t>[AU]</t>
  </si>
  <si>
    <t>[AV]</t>
  </si>
  <si>
    <t>[AW]</t>
  </si>
  <si>
    <t>[AX]</t>
  </si>
  <si>
    <t>[AY]</t>
  </si>
  <si>
    <t>[AZ]</t>
  </si>
  <si>
    <t>[BA]</t>
  </si>
  <si>
    <t>[BB]</t>
  </si>
  <si>
    <t>[BC]</t>
  </si>
  <si>
    <t>[BD]</t>
  </si>
  <si>
    <t>[I]</t>
  </si>
  <si>
    <t>1 - Normalized to the "Fully Loaded Installed Cost" of a 0-55</t>
  </si>
  <si>
    <t xml:space="preserve">     watt LED Cobra Head light on Schedule A.</t>
  </si>
  <si>
    <r>
      <t>% Increase (Decr)</t>
    </r>
    <r>
      <rPr>
        <b/>
        <sz val="11"/>
        <rFont val="Verdana"/>
        <family val="2"/>
      </rPr>
      <t xml:space="preserve"> </t>
    </r>
    <r>
      <rPr>
        <b/>
        <vertAlign val="superscript"/>
        <sz val="11"/>
        <rFont val="Verdana"/>
        <family val="2"/>
      </rPr>
      <t>5</t>
    </r>
  </si>
  <si>
    <r>
      <t>Normalization Factor (NF)</t>
    </r>
    <r>
      <rPr>
        <vertAlign val="superscript"/>
        <sz val="9"/>
        <rFont val="Verdana"/>
        <family val="2"/>
      </rPr>
      <t>4</t>
    </r>
  </si>
  <si>
    <r>
      <t>[d3]</t>
    </r>
    <r>
      <rPr>
        <sz val="9"/>
        <rFont val="Verdana"/>
        <family val="2"/>
      </rPr>
      <t xml:space="preserve"> = [d2] * Installed Cost-Based Rev. Req.</t>
    </r>
    <r>
      <rPr>
        <vertAlign val="superscript"/>
        <sz val="10"/>
        <rFont val="Verdana"/>
        <family val="2"/>
      </rPr>
      <t>2</t>
    </r>
  </si>
  <si>
    <r>
      <t>[d]</t>
    </r>
    <r>
      <rPr>
        <sz val="9"/>
        <rFont val="Verdana"/>
        <family val="2"/>
      </rPr>
      <t xml:space="preserve"> = [b] / [b</t>
    </r>
    <r>
      <rPr>
        <vertAlign val="subscript"/>
        <sz val="9"/>
        <rFont val="Verdana"/>
        <family val="2"/>
      </rPr>
      <t>55w LED_CH</t>
    </r>
    <r>
      <rPr>
        <sz val="9"/>
        <rFont val="Verdana"/>
        <family val="2"/>
      </rPr>
      <t>]</t>
    </r>
  </si>
  <si>
    <r>
      <t>[d1]</t>
    </r>
    <r>
      <rPr>
        <sz val="9"/>
        <rFont val="Verdana"/>
        <family val="2"/>
      </rPr>
      <t xml:space="preserve"> = [a] * [d]</t>
    </r>
  </si>
  <si>
    <r>
      <t>[d2]</t>
    </r>
    <r>
      <rPr>
        <sz val="9"/>
        <rFont val="Verdana"/>
        <family val="2"/>
      </rPr>
      <t xml:space="preserve"> = [d1] / ∑[d1]</t>
    </r>
  </si>
  <si>
    <r>
      <t>Normalization Factor (NF)</t>
    </r>
    <r>
      <rPr>
        <vertAlign val="superscript"/>
        <sz val="10"/>
        <rFont val="Verdana"/>
        <family val="2"/>
      </rPr>
      <t>1</t>
    </r>
  </si>
  <si>
    <r>
      <t>[e]</t>
    </r>
    <r>
      <rPr>
        <sz val="9"/>
        <rFont val="Verdana"/>
        <family val="2"/>
      </rPr>
      <t xml:space="preserve"> = [c] / [c</t>
    </r>
    <r>
      <rPr>
        <vertAlign val="subscript"/>
        <sz val="9"/>
        <rFont val="Verdana"/>
        <family val="2"/>
      </rPr>
      <t>55w LED_CH</t>
    </r>
    <r>
      <rPr>
        <sz val="9"/>
        <rFont val="Verdana"/>
        <family val="2"/>
      </rPr>
      <t>]</t>
    </r>
  </si>
  <si>
    <r>
      <t>[e1]</t>
    </r>
    <r>
      <rPr>
        <sz val="9"/>
        <rFont val="Verdana"/>
        <family val="2"/>
      </rPr>
      <t xml:space="preserve"> = [a] * [e]</t>
    </r>
  </si>
  <si>
    <r>
      <t>[e2]</t>
    </r>
    <r>
      <rPr>
        <sz val="9"/>
        <rFont val="Verdana"/>
        <family val="2"/>
      </rPr>
      <t xml:space="preserve"> = [e1] / ∑[e1]</t>
    </r>
  </si>
  <si>
    <r>
      <t>[e3]</t>
    </r>
    <r>
      <rPr>
        <sz val="9"/>
        <rFont val="Verdana"/>
        <family val="2"/>
      </rPr>
      <t xml:space="preserve"> = [e2] * Load-Based Rev. Req.</t>
    </r>
    <r>
      <rPr>
        <vertAlign val="superscript"/>
        <sz val="10"/>
        <rFont val="Verdana"/>
        <family val="2"/>
      </rPr>
      <t>2</t>
    </r>
  </si>
  <si>
    <r>
      <t>Normalization Factor (NF)</t>
    </r>
    <r>
      <rPr>
        <vertAlign val="superscript"/>
        <sz val="10"/>
        <rFont val="Verdana"/>
        <family val="2"/>
      </rPr>
      <t>3</t>
    </r>
  </si>
  <si>
    <r>
      <t>[f1]</t>
    </r>
    <r>
      <rPr>
        <sz val="9"/>
        <rFont val="Verdana"/>
        <family val="2"/>
      </rPr>
      <t xml:space="preserve"> = [a] * [f]</t>
    </r>
  </si>
  <si>
    <r>
      <t>[f2]</t>
    </r>
    <r>
      <rPr>
        <sz val="9"/>
        <rFont val="Verdana"/>
        <family val="2"/>
      </rPr>
      <t xml:space="preserve"> = [f1] / ∑[f1]</t>
    </r>
  </si>
  <si>
    <r>
      <t>[f3]</t>
    </r>
    <r>
      <rPr>
        <sz val="9"/>
        <rFont val="Verdana"/>
        <family val="2"/>
      </rPr>
      <t xml:space="preserve"> = [f2] * Maint-Based Rev. Req.</t>
    </r>
    <r>
      <rPr>
        <vertAlign val="superscript"/>
        <sz val="9"/>
        <rFont val="Verdana"/>
        <family val="2"/>
      </rPr>
      <t>2</t>
    </r>
  </si>
  <si>
    <r>
      <t>[g]</t>
    </r>
    <r>
      <rPr>
        <sz val="9"/>
        <rFont val="Verdana"/>
        <family val="2"/>
      </rPr>
      <t xml:space="preserve"> = [a] / ∑[a]</t>
    </r>
  </si>
  <si>
    <r>
      <t>[h]</t>
    </r>
    <r>
      <rPr>
        <sz val="9"/>
        <rFont val="Verdana"/>
        <family val="2"/>
      </rPr>
      <t xml:space="preserve"> = [d3]+[e3]+[f3]+[g1]</t>
    </r>
  </si>
  <si>
    <r>
      <t>[g1]</t>
    </r>
    <r>
      <rPr>
        <sz val="9"/>
        <rFont val="Verdana"/>
        <family val="2"/>
      </rPr>
      <t xml:space="preserve"> = [g] * Per Light-Based Rev. Req.</t>
    </r>
    <r>
      <rPr>
        <vertAlign val="superscript"/>
        <sz val="10"/>
        <rFont val="Verdana"/>
        <family val="2"/>
      </rPr>
      <t>2</t>
    </r>
  </si>
  <si>
    <r>
      <t>[k]</t>
    </r>
    <r>
      <rPr>
        <sz val="9"/>
        <rFont val="Verdana"/>
        <family val="2"/>
      </rPr>
      <t xml:space="preserve"> = [h] / ∑[h]</t>
    </r>
  </si>
  <si>
    <r>
      <t>[k1]</t>
    </r>
    <r>
      <rPr>
        <sz val="9"/>
        <rFont val="Verdana"/>
        <family val="2"/>
      </rPr>
      <t xml:space="preserve"> = [k] * Revenue-Based Rev. Req.</t>
    </r>
    <r>
      <rPr>
        <vertAlign val="superscript"/>
        <sz val="10"/>
        <rFont val="Verdana"/>
        <family val="2"/>
      </rPr>
      <t>2</t>
    </r>
  </si>
  <si>
    <t xml:space="preserve">   Allocation of the Unmetered SL Rev. Requirement to each light type and wattage - by Cost Component :</t>
  </si>
  <si>
    <t>&lt;-----  rate adjustments are exactly revenue neutral if =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</si>
</sst>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00000"/>
    <numFmt numFmtId="168" formatCode="#,##0.0000"/>
    <numFmt numFmtId="169" formatCode="0.0000"/>
    <numFmt numFmtId="170" formatCode="0.0000%"/>
    <numFmt numFmtId="171" formatCode="#,##0.000000"/>
    <numFmt numFmtId="172" formatCode="0.000000%"/>
    <numFmt numFmtId="173" formatCode="#,##0.000"/>
  </numFmts>
  <fonts count="23">
    <font>
      <sz val="10"/>
      <name val="Verdana"/>
      <family val="2"/>
    </font>
    <font>
      <sz val="10"/>
      <color theme="1"/>
      <name val="Arial"/>
      <family val="2"/>
    </font>
    <font>
      <sz val="8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sz val="8"/>
      <name val="Tahoma"/>
      <family val="2"/>
    </font>
    <font>
      <b/>
      <sz val="9"/>
      <name val="Verdana"/>
      <family val="2"/>
    </font>
    <font>
      <b/>
      <u val="single"/>
      <sz val="8"/>
      <name val="Verdana"/>
      <family val="2"/>
    </font>
    <font>
      <sz val="9"/>
      <name val="Verdana"/>
      <family val="2"/>
    </font>
    <font>
      <u val="single"/>
      <sz val="10"/>
      <name val="Verdana"/>
      <family val="2"/>
    </font>
    <font>
      <vertAlign val="superscript"/>
      <sz val="10"/>
      <name val="Verdana"/>
      <family val="2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9"/>
      <name val="Tahoma"/>
      <family val="2"/>
    </font>
    <font>
      <sz val="11"/>
      <name val="Arial"/>
      <family val="2"/>
    </font>
    <font>
      <vertAlign val="superscript"/>
      <sz val="9"/>
      <name val="Verdana"/>
      <family val="2"/>
    </font>
    <font>
      <sz val="8"/>
      <color rgb="FFFF0000"/>
      <name val="Verdana"/>
      <family val="2"/>
    </font>
    <font>
      <sz val="10"/>
      <color rgb="FFFF0000"/>
      <name val="Verdana"/>
      <family val="2"/>
    </font>
    <font>
      <u val="single"/>
      <sz val="8"/>
      <name val="Tahoma"/>
      <family val="2"/>
    </font>
    <font>
      <u val="single"/>
      <sz val="9"/>
      <name val="Verdana"/>
      <family val="2"/>
    </font>
    <font>
      <b/>
      <sz val="11"/>
      <name val="Verdana"/>
      <family val="2"/>
    </font>
    <font>
      <b/>
      <vertAlign val="superscript"/>
      <sz val="11"/>
      <name val="Verdana"/>
      <family val="2"/>
    </font>
    <font>
      <vertAlign val="subscript"/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/>
      <top style="thin">
        <color auto="1"/>
      </top>
      <bottom style="double">
        <color auto="1"/>
      </bottom>
    </border>
    <border>
      <left/>
      <right style="medium">
        <color auto="1"/>
      </right>
      <top style="thin">
        <color auto="1"/>
      </top>
      <bottom style="double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</border>
    <border>
      <left/>
      <right/>
      <top/>
      <bottom style="double">
        <color auto="1"/>
      </bottom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/>
      <top/>
      <bottom style="thin">
        <color auto="1"/>
      </bottom>
    </border>
    <border>
      <left style="medium">
        <color auto="1"/>
      </left>
      <right/>
      <top/>
      <bottom style="double">
        <color auto="1"/>
      </bottom>
    </border>
    <border>
      <left/>
      <right style="medium">
        <color auto="1"/>
      </right>
      <top/>
      <bottom style="double">
        <color auto="1"/>
      </bottom>
    </border>
    <border>
      <left style="medium">
        <color auto="1"/>
      </left>
      <right style="medium">
        <color auto="1"/>
      </right>
      <top/>
      <bottom style="double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2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/>
    <xf numFmtId="166" fontId="2" fillId="0" borderId="0" xfId="0" applyNumberFormat="1" applyFont="1" applyFill="1" applyBorder="1"/>
    <xf numFmtId="166" fontId="0" fillId="0" borderId="0" xfId="0" applyNumberFormat="1"/>
    <xf numFmtId="166" fontId="2" fillId="0" borderId="0" xfId="0" applyNumberFormat="1" applyFont="1"/>
    <xf numFmtId="0" fontId="2" fillId="0" borderId="0" xfId="0" applyFont="1"/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Alignment="1">
      <alignment horizontal="center" wrapText="1"/>
    </xf>
    <xf numFmtId="166" fontId="2" fillId="0" borderId="0" xfId="0" applyNumberFormat="1" applyFont="1" applyBorder="1"/>
    <xf numFmtId="166" fontId="2" fillId="0" borderId="0" xfId="0" applyNumberFormat="1" applyFont="1" applyFill="1"/>
    <xf numFmtId="166" fontId="2" fillId="0" borderId="1" xfId="0" applyNumberFormat="1" applyFont="1" applyBorder="1"/>
    <xf numFmtId="171" fontId="0" fillId="0" borderId="0" xfId="0" applyNumberFormat="1"/>
    <xf numFmtId="0" fontId="3" fillId="0" borderId="0" xfId="0" applyFont="1" applyFill="1"/>
    <xf numFmtId="0" fontId="2" fillId="0" borderId="0" xfId="0" applyFont="1" quotePrefix="1"/>
    <xf numFmtId="0" fontId="2" fillId="0" borderId="2" xfId="0" applyFont="1" applyFill="1" applyBorder="1"/>
    <xf numFmtId="0" fontId="2" fillId="0" borderId="3" xfId="0" applyFont="1" applyFill="1" applyBorder="1"/>
    <xf numFmtId="0" fontId="7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37" fontId="2" fillId="0" borderId="0" xfId="18" applyNumberFormat="1" applyFo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166" fontId="2" fillId="0" borderId="4" xfId="0" applyNumberFormat="1" applyFont="1" applyFill="1" applyBorder="1"/>
    <xf numFmtId="5" fontId="0" fillId="0" borderId="0" xfId="0" applyNumberFormat="1"/>
    <xf numFmtId="0" fontId="8" fillId="0" borderId="0" xfId="0" applyFont="1" applyFill="1"/>
    <xf numFmtId="5" fontId="2" fillId="0" borderId="0" xfId="0" applyNumberFormat="1" applyFont="1" applyFill="1" applyAlignment="1">
      <alignment horizontal="right"/>
    </xf>
    <xf numFmtId="7" fontId="4" fillId="0" borderId="0" xfId="0" applyNumberFormat="1" applyFont="1" applyFill="1" applyBorder="1" quotePrefix="1"/>
    <xf numFmtId="0" fontId="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67" fontId="2" fillId="0" borderId="0" xfId="0" applyNumberFormat="1" applyFont="1" applyFill="1" applyBorder="1" applyAlignment="1">
      <alignment/>
    </xf>
    <xf numFmtId="170" fontId="2" fillId="0" borderId="0" xfId="0" applyNumberFormat="1" applyFont="1" applyFill="1" applyBorder="1"/>
    <xf numFmtId="166" fontId="4" fillId="0" borderId="0" xfId="0" applyNumberFormat="1" applyFont="1" applyFill="1" applyBorder="1"/>
    <xf numFmtId="5" fontId="4" fillId="0" borderId="0" xfId="0" applyNumberFormat="1" applyFont="1" applyFill="1" applyBorder="1"/>
    <xf numFmtId="7" fontId="4" fillId="0" borderId="0" xfId="0" applyNumberFormat="1" applyFont="1" applyFill="1" applyBorder="1"/>
    <xf numFmtId="10" fontId="2" fillId="0" borderId="0" xfId="0" applyNumberFormat="1" applyFont="1" applyFill="1" applyBorder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9" xfId="0" applyFill="1" applyBorder="1"/>
    <xf numFmtId="0" fontId="9" fillId="0" borderId="0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3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68" fontId="2" fillId="0" borderId="0" xfId="0" applyNumberFormat="1" applyFont="1" applyFill="1"/>
    <xf numFmtId="0" fontId="0" fillId="0" borderId="2" xfId="0" applyFill="1" applyBorder="1" applyAlignment="1">
      <alignment wrapText="1"/>
    </xf>
    <xf numFmtId="3" fontId="0" fillId="0" borderId="0" xfId="0" applyNumberFormat="1" applyFill="1" applyBorder="1"/>
    <xf numFmtId="0" fontId="6" fillId="0" borderId="0" xfId="0" applyFont="1" applyFill="1"/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/>
    </xf>
    <xf numFmtId="170" fontId="2" fillId="0" borderId="2" xfId="0" applyNumberFormat="1" applyFont="1" applyFill="1" applyBorder="1"/>
    <xf numFmtId="170" fontId="2" fillId="0" borderId="3" xfId="0" applyNumberFormat="1" applyFont="1" applyFill="1" applyBorder="1"/>
    <xf numFmtId="170" fontId="2" fillId="0" borderId="9" xfId="0" applyNumberFormat="1" applyFont="1" applyFill="1" applyBorder="1"/>
    <xf numFmtId="0" fontId="4" fillId="0" borderId="0" xfId="0" applyFont="1" applyFill="1" applyAlignment="1">
      <alignment horizontal="left" wrapText="1"/>
    </xf>
    <xf numFmtId="0" fontId="2" fillId="0" borderId="0" xfId="0" applyFont="1" applyFill="1" applyAlignment="1">
      <alignment wrapText="1"/>
    </xf>
    <xf numFmtId="166" fontId="4" fillId="0" borderId="2" xfId="0" applyNumberFormat="1" applyFont="1" applyFill="1" applyBorder="1"/>
    <xf numFmtId="166" fontId="4" fillId="0" borderId="3" xfId="0" applyNumberFormat="1" applyFont="1" applyFill="1" applyBorder="1"/>
    <xf numFmtId="166" fontId="4" fillId="0" borderId="9" xfId="0" applyNumberFormat="1" applyFont="1" applyFill="1" applyBorder="1"/>
    <xf numFmtId="169" fontId="7" fillId="0" borderId="0" xfId="0" applyNumberFormat="1" applyFont="1" applyFill="1" applyBorder="1" applyAlignment="1">
      <alignment horizontal="center"/>
    </xf>
    <xf numFmtId="166" fontId="4" fillId="0" borderId="10" xfId="0" applyNumberFormat="1" applyFont="1" applyFill="1" applyBorder="1"/>
    <xf numFmtId="166" fontId="4" fillId="0" borderId="1" xfId="0" applyNumberFormat="1" applyFont="1" applyFill="1" applyBorder="1"/>
    <xf numFmtId="166" fontId="4" fillId="0" borderId="11" xfId="0" applyNumberFormat="1" applyFont="1" applyFill="1" applyBorder="1"/>
    <xf numFmtId="166" fontId="4" fillId="0" borderId="12" xfId="0" applyNumberFormat="1" applyFont="1" applyFill="1" applyBorder="1"/>
    <xf numFmtId="5" fontId="4" fillId="0" borderId="2" xfId="0" applyNumberFormat="1" applyFont="1" applyFill="1" applyBorder="1"/>
    <xf numFmtId="5" fontId="4" fillId="0" borderId="3" xfId="0" applyNumberFormat="1" applyFont="1" applyFill="1" applyBorder="1"/>
    <xf numFmtId="5" fontId="4" fillId="0" borderId="9" xfId="0" applyNumberFormat="1" applyFont="1" applyFill="1" applyBorder="1"/>
    <xf numFmtId="5" fontId="2" fillId="0" borderId="0" xfId="0" applyNumberFormat="1" applyFont="1" applyFill="1"/>
    <xf numFmtId="7" fontId="4" fillId="0" borderId="13" xfId="0" applyNumberFormat="1" applyFont="1" applyFill="1" applyBorder="1"/>
    <xf numFmtId="7" fontId="4" fillId="0" borderId="2" xfId="0" applyNumberFormat="1" applyFont="1" applyFill="1" applyBorder="1"/>
    <xf numFmtId="7" fontId="4" fillId="0" borderId="3" xfId="0" applyNumberFormat="1" applyFont="1" applyFill="1" applyBorder="1"/>
    <xf numFmtId="7" fontId="4" fillId="0" borderId="9" xfId="0" applyNumberFormat="1" applyFont="1" applyFill="1" applyBorder="1"/>
    <xf numFmtId="10" fontId="2" fillId="0" borderId="2" xfId="0" applyNumberFormat="1" applyFont="1" applyFill="1" applyBorder="1"/>
    <xf numFmtId="10" fontId="2" fillId="0" borderId="3" xfId="0" applyNumberFormat="1" applyFont="1" applyFill="1" applyBorder="1"/>
    <xf numFmtId="10" fontId="2" fillId="0" borderId="9" xfId="0" applyNumberFormat="1" applyFont="1" applyFill="1" applyBorder="1"/>
    <xf numFmtId="10" fontId="2" fillId="0" borderId="14" xfId="0" applyNumberFormat="1" applyFont="1" applyFill="1" applyBorder="1"/>
    <xf numFmtId="10" fontId="2" fillId="0" borderId="15" xfId="0" applyNumberFormat="1" applyFont="1" applyFill="1" applyBorder="1"/>
    <xf numFmtId="10" fontId="2" fillId="0" borderId="16" xfId="0" applyNumberFormat="1" applyFont="1" applyFill="1" applyBorder="1"/>
    <xf numFmtId="10" fontId="2" fillId="0" borderId="17" xfId="0" applyNumberFormat="1" applyFont="1" applyFill="1" applyBorder="1"/>
    <xf numFmtId="0" fontId="4" fillId="0" borderId="5" xfId="0" applyFont="1" applyFill="1" applyBorder="1"/>
    <xf numFmtId="0" fontId="2" fillId="0" borderId="6" xfId="0" applyFont="1" applyFill="1" applyBorder="1"/>
    <xf numFmtId="166" fontId="2" fillId="0" borderId="6" xfId="0" applyNumberFormat="1" applyFont="1" applyFill="1" applyBorder="1"/>
    <xf numFmtId="2" fontId="2" fillId="0" borderId="6" xfId="0" applyNumberFormat="1" applyFont="1" applyFill="1" applyBorder="1"/>
    <xf numFmtId="169" fontId="2" fillId="0" borderId="6" xfId="0" applyNumberFormat="1" applyFont="1" applyFill="1" applyBorder="1"/>
    <xf numFmtId="0" fontId="2" fillId="0" borderId="7" xfId="0" applyFont="1" applyFill="1" applyBorder="1"/>
    <xf numFmtId="0" fontId="7" fillId="0" borderId="2" xfId="0" applyFont="1" applyFill="1" applyBorder="1"/>
    <xf numFmtId="2" fontId="2" fillId="0" borderId="0" xfId="0" applyNumberFormat="1" applyFont="1" applyFill="1" applyBorder="1"/>
    <xf numFmtId="169" fontId="2" fillId="0" borderId="0" xfId="0" applyNumberFormat="1" applyFont="1" applyFill="1" applyBorder="1"/>
    <xf numFmtId="166" fontId="2" fillId="0" borderId="0" xfId="0" applyNumberFormat="1" applyFont="1" applyFill="1" applyBorder="1" quotePrefix="1"/>
    <xf numFmtId="0" fontId="2" fillId="0" borderId="14" xfId="0" applyFont="1" applyFill="1" applyBorder="1"/>
    <xf numFmtId="0" fontId="2" fillId="0" borderId="15" xfId="0" applyFont="1" applyFill="1" applyBorder="1"/>
    <xf numFmtId="0" fontId="0" fillId="0" borderId="15" xfId="0" applyFill="1" applyBorder="1"/>
    <xf numFmtId="166" fontId="2" fillId="0" borderId="15" xfId="0" applyNumberFormat="1" applyFont="1" applyFill="1" applyBorder="1"/>
    <xf numFmtId="0" fontId="2" fillId="0" borderId="16" xfId="0" applyFont="1" applyFill="1" applyBorder="1"/>
    <xf numFmtId="168" fontId="2" fillId="0" borderId="0" xfId="0" applyNumberFormat="1" applyFont="1" applyFill="1" applyBorder="1" quotePrefix="1"/>
    <xf numFmtId="0" fontId="0" fillId="0" borderId="0" xfId="0" applyFont="1" applyFill="1"/>
    <xf numFmtId="166" fontId="8" fillId="0" borderId="0" xfId="0" applyNumberFormat="1" applyFont="1"/>
    <xf numFmtId="5" fontId="0" fillId="0" borderId="0" xfId="0" applyNumberFormat="1" applyFill="1" applyAlignment="1">
      <alignment horizontal="right"/>
    </xf>
    <xf numFmtId="5" fontId="2" fillId="0" borderId="1" xfId="0" applyNumberFormat="1" applyFont="1" applyFill="1" applyBorder="1" applyAlignment="1">
      <alignment horizontal="right"/>
    </xf>
    <xf numFmtId="0" fontId="0" fillId="0" borderId="0" xfId="0" applyFont="1"/>
    <xf numFmtId="0" fontId="0" fillId="0" borderId="0" xfId="0" applyFont="1" quotePrefix="1"/>
    <xf numFmtId="5" fontId="2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 quotePrefix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/>
    <xf numFmtId="167" fontId="2" fillId="0" borderId="2" xfId="0" applyNumberFormat="1" applyFont="1" applyFill="1" applyBorder="1"/>
    <xf numFmtId="167" fontId="2" fillId="0" borderId="0" xfId="0" applyNumberFormat="1" applyFont="1" applyFill="1" applyBorder="1"/>
    <xf numFmtId="3" fontId="2" fillId="0" borderId="0" xfId="0" applyNumberFormat="1" applyFont="1" applyFill="1" applyBorder="1" quotePrefix="1"/>
    <xf numFmtId="164" fontId="0" fillId="0" borderId="0" xfId="18" applyNumberFormat="1" applyFont="1"/>
    <xf numFmtId="166" fontId="2" fillId="2" borderId="0" xfId="0" applyNumberFormat="1" applyFont="1" applyFill="1" applyBorder="1"/>
    <xf numFmtId="5" fontId="2" fillId="3" borderId="4" xfId="0" applyNumberFormat="1" applyFont="1" applyFill="1" applyBorder="1"/>
    <xf numFmtId="5" fontId="8" fillId="0" borderId="0" xfId="0" applyNumberFormat="1" applyFont="1" applyFill="1"/>
    <xf numFmtId="166" fontId="0" fillId="2" borderId="0" xfId="0" applyNumberFormat="1" applyFill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9" fillId="0" borderId="2" xfId="0" applyFont="1" applyFill="1" applyBorder="1" applyAlignment="1" quotePrefix="1">
      <alignment horizontal="center"/>
    </xf>
    <xf numFmtId="0" fontId="9" fillId="0" borderId="0" xfId="0" applyFont="1" applyFill="1" applyBorder="1" applyAlignment="1" quotePrefix="1">
      <alignment horizontal="center"/>
    </xf>
    <xf numFmtId="0" fontId="9" fillId="0" borderId="3" xfId="0" applyFont="1" applyFill="1" applyBorder="1" applyAlignment="1" quotePrefix="1">
      <alignment horizontal="center"/>
    </xf>
    <xf numFmtId="37" fontId="11" fillId="0" borderId="0" xfId="0" applyNumberFormat="1" applyFont="1" applyFill="1" applyBorder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165" fontId="8" fillId="0" borderId="0" xfId="0" applyNumberFormat="1" applyFont="1" applyFill="1"/>
    <xf numFmtId="0" fontId="6" fillId="0" borderId="0" xfId="0" applyFont="1" applyFill="1" applyAlignment="1">
      <alignment vertical="center"/>
    </xf>
    <xf numFmtId="0" fontId="0" fillId="0" borderId="0" xfId="0" applyFill="1" applyBorder="1" applyAlignment="1">
      <alignment horizontal="center"/>
    </xf>
    <xf numFmtId="166" fontId="14" fillId="0" borderId="0" xfId="0" applyNumberFormat="1" applyFont="1"/>
    <xf numFmtId="0" fontId="0" fillId="0" borderId="0" xfId="0" applyBorder="1" applyAlignment="1">
      <alignment horizontal="center"/>
    </xf>
    <xf numFmtId="167" fontId="2" fillId="0" borderId="3" xfId="0" applyNumberFormat="1" applyFont="1" applyFill="1" applyBorder="1"/>
    <xf numFmtId="5" fontId="0" fillId="0" borderId="0" xfId="0" applyNumberFormat="1" applyFill="1"/>
    <xf numFmtId="5" fontId="2" fillId="0" borderId="2" xfId="0" applyNumberFormat="1" applyFont="1" applyFill="1" applyBorder="1"/>
    <xf numFmtId="5" fontId="2" fillId="0" borderId="3" xfId="0" applyNumberFormat="1" applyFont="1" applyFill="1" applyBorder="1"/>
    <xf numFmtId="5" fontId="2" fillId="0" borderId="0" xfId="0" applyNumberFormat="1" applyFont="1" applyBorder="1"/>
    <xf numFmtId="5" fontId="0" fillId="0" borderId="0" xfId="0" applyNumberFormat="1" applyFont="1" applyFill="1"/>
    <xf numFmtId="5" fontId="2" fillId="0" borderId="0" xfId="0" applyNumberFormat="1" applyFont="1" applyFill="1" quotePrefix="1"/>
    <xf numFmtId="5" fontId="2" fillId="0" borderId="0" xfId="0" applyNumberFormat="1" applyFont="1"/>
    <xf numFmtId="10" fontId="2" fillId="0" borderId="2" xfId="0" applyNumberFormat="1" applyFont="1" applyFill="1" applyBorder="1" applyAlignment="1">
      <alignment horizontal="right"/>
    </xf>
    <xf numFmtId="10" fontId="2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7" fontId="2" fillId="0" borderId="9" xfId="0" applyNumberFormat="1" applyFont="1" applyFill="1" applyBorder="1"/>
    <xf numFmtId="0" fontId="8" fillId="0" borderId="0" xfId="0" applyFont="1" applyFill="1" applyAlignment="1">
      <alignment wrapText="1"/>
    </xf>
    <xf numFmtId="165" fontId="8" fillId="0" borderId="2" xfId="0" applyNumberFormat="1" applyFont="1" applyFill="1" applyBorder="1"/>
    <xf numFmtId="165" fontId="8" fillId="0" borderId="0" xfId="0" applyNumberFormat="1" applyFont="1" applyFill="1" applyBorder="1"/>
    <xf numFmtId="165" fontId="8" fillId="0" borderId="3" xfId="0" applyNumberFormat="1" applyFont="1" applyFill="1" applyBorder="1"/>
    <xf numFmtId="165" fontId="8" fillId="0" borderId="2" xfId="0" applyNumberFormat="1" applyFont="1" applyFill="1" applyBorder="1" applyAlignment="1">
      <alignment horizontal="right"/>
    </xf>
    <xf numFmtId="165" fontId="8" fillId="0" borderId="9" xfId="0" applyNumberFormat="1" applyFont="1" applyFill="1" applyBorder="1"/>
    <xf numFmtId="0" fontId="0" fillId="0" borderId="0" xfId="0" applyFill="1" applyBorder="1" applyAlignment="1">
      <alignment horizontal="center"/>
    </xf>
    <xf numFmtId="3" fontId="0" fillId="0" borderId="0" xfId="0" applyNumberFormat="1" applyFill="1"/>
    <xf numFmtId="0" fontId="8" fillId="0" borderId="2" xfId="0" applyFont="1" applyFill="1" applyBorder="1"/>
    <xf numFmtId="0" fontId="8" fillId="0" borderId="0" xfId="0" applyFont="1" applyFill="1" applyBorder="1"/>
    <xf numFmtId="0" fontId="8" fillId="0" borderId="3" xfId="0" applyFont="1" applyFill="1" applyBorder="1"/>
    <xf numFmtId="0" fontId="8" fillId="0" borderId="9" xfId="0" applyFont="1" applyFill="1" applyBorder="1"/>
    <xf numFmtId="3" fontId="8" fillId="0" borderId="0" xfId="0" applyNumberFormat="1" applyFont="1" applyFill="1"/>
    <xf numFmtId="167" fontId="2" fillId="0" borderId="2" xfId="0" applyNumberFormat="1" applyFont="1" applyFill="1" applyBorder="1" applyAlignment="1">
      <alignment/>
    </xf>
    <xf numFmtId="167" fontId="2" fillId="0" borderId="3" xfId="0" applyNumberFormat="1" applyFont="1" applyFill="1" applyBorder="1" applyAlignment="1">
      <alignment/>
    </xf>
    <xf numFmtId="167" fontId="2" fillId="0" borderId="9" xfId="0" applyNumberFormat="1" applyFont="1" applyFill="1" applyBorder="1" applyAlignment="1">
      <alignment/>
    </xf>
    <xf numFmtId="166" fontId="0" fillId="0" borderId="0" xfId="0" applyNumberFormat="1" applyFill="1"/>
    <xf numFmtId="173" fontId="2" fillId="0" borderId="0" xfId="0" applyNumberFormat="1" applyFont="1" applyFill="1" applyBorder="1"/>
    <xf numFmtId="0" fontId="4" fillId="0" borderId="18" xfId="0" applyFont="1" applyFill="1" applyBorder="1" applyAlignment="1">
      <alignment horizontal="left" wrapText="1"/>
    </xf>
    <xf numFmtId="166" fontId="4" fillId="0" borderId="0" xfId="0" applyNumberFormat="1" applyFont="1" applyFill="1"/>
    <xf numFmtId="39" fontId="4" fillId="0" borderId="0" xfId="0" applyNumberFormat="1" applyFont="1" applyFill="1"/>
    <xf numFmtId="164" fontId="0" fillId="0" borderId="0" xfId="0" applyNumberFormat="1" applyFill="1"/>
    <xf numFmtId="10" fontId="0" fillId="0" borderId="0" xfId="15" applyNumberFormat="1" applyFont="1" applyFill="1"/>
    <xf numFmtId="164" fontId="0" fillId="0" borderId="0" xfId="18" applyNumberFormat="1" applyFont="1" applyFill="1"/>
    <xf numFmtId="165" fontId="3" fillId="0" borderId="0" xfId="0" applyNumberFormat="1" applyFont="1" applyFill="1" applyBorder="1"/>
    <xf numFmtId="0" fontId="2" fillId="0" borderId="0" xfId="0" applyFont="1" applyFill="1" applyBorder="1"/>
    <xf numFmtId="0" fontId="3" fillId="0" borderId="2" xfId="0" applyFont="1" applyFill="1" applyBorder="1" applyAlignment="1">
      <alignment/>
    </xf>
    <xf numFmtId="0" fontId="0" fillId="0" borderId="0" xfId="0" applyFill="1" applyBorder="1" applyAlignment="1">
      <alignment horizontal="center"/>
    </xf>
    <xf numFmtId="0" fontId="0" fillId="0" borderId="0" xfId="0" applyFill="1" applyBorder="1" quotePrefix="1"/>
    <xf numFmtId="3" fontId="8" fillId="0" borderId="2" xfId="0" applyNumberFormat="1" applyFont="1" applyFill="1" applyBorder="1" applyAlignment="1">
      <alignment horizontal="right"/>
    </xf>
    <xf numFmtId="164" fontId="12" fillId="0" borderId="0" xfId="18" applyNumberFormat="1" applyFont="1" applyFill="1" applyBorder="1" applyAlignment="1">
      <alignment horizontal="right"/>
    </xf>
    <xf numFmtId="3" fontId="8" fillId="0" borderId="3" xfId="0" applyNumberFormat="1" applyFont="1" applyFill="1" applyBorder="1" applyAlignment="1">
      <alignment horizontal="right"/>
    </xf>
    <xf numFmtId="3" fontId="8" fillId="0" borderId="0" xfId="0" applyNumberFormat="1" applyFont="1" applyFill="1" applyBorder="1" applyAlignment="1">
      <alignment horizontal="right"/>
    </xf>
    <xf numFmtId="0" fontId="8" fillId="0" borderId="0" xfId="0" applyFont="1" applyFill="1" applyAlignment="1">
      <alignment horizontal="right"/>
    </xf>
    <xf numFmtId="37" fontId="8" fillId="0" borderId="0" xfId="0" applyNumberFormat="1" applyFont="1" applyFill="1" applyBorder="1" applyAlignment="1">
      <alignment horizontal="right"/>
    </xf>
    <xf numFmtId="3" fontId="8" fillId="0" borderId="9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3" fontId="8" fillId="0" borderId="0" xfId="0" applyNumberFormat="1" applyFont="1" applyFill="1" applyAlignment="1">
      <alignment horizontal="right"/>
    </xf>
    <xf numFmtId="166" fontId="14" fillId="0" borderId="0" xfId="0" applyNumberFormat="1" applyFont="1" applyFill="1" applyBorder="1"/>
    <xf numFmtId="164" fontId="11" fillId="0" borderId="0" xfId="18" applyNumberFormat="1" applyFont="1" applyFill="1" applyBorder="1"/>
    <xf numFmtId="37" fontId="8" fillId="0" borderId="3" xfId="0" applyNumberFormat="1" applyFont="1" applyFill="1" applyBorder="1" applyAlignment="1">
      <alignment horizontal="right"/>
    </xf>
    <xf numFmtId="166" fontId="8" fillId="0" borderId="2" xfId="0" applyNumberFormat="1" applyFont="1" applyFill="1" applyBorder="1"/>
    <xf numFmtId="166" fontId="8" fillId="0" borderId="0" xfId="0" applyNumberFormat="1" applyFont="1" applyFill="1" applyBorder="1"/>
    <xf numFmtId="166" fontId="8" fillId="0" borderId="3" xfId="0" applyNumberFormat="1" applyFont="1" applyFill="1" applyBorder="1"/>
    <xf numFmtId="166" fontId="8" fillId="0" borderId="2" xfId="0" applyNumberFormat="1" applyFont="1" applyFill="1" applyBorder="1" applyAlignment="1" quotePrefix="1">
      <alignment/>
    </xf>
    <xf numFmtId="166" fontId="8" fillId="0" borderId="0" xfId="0" applyNumberFormat="1" applyFont="1" applyFill="1" applyBorder="1" applyAlignment="1" quotePrefix="1">
      <alignment/>
    </xf>
    <xf numFmtId="166" fontId="8" fillId="0" borderId="3" xfId="0" applyNumberFormat="1" applyFont="1" applyFill="1" applyBorder="1" applyAlignment="1" quotePrefix="1">
      <alignment/>
    </xf>
    <xf numFmtId="166" fontId="8" fillId="0" borderId="9" xfId="0" applyNumberFormat="1" applyFont="1" applyFill="1" applyBorder="1"/>
    <xf numFmtId="168" fontId="8" fillId="0" borderId="0" xfId="0" applyNumberFormat="1" applyFont="1" applyFill="1"/>
    <xf numFmtId="0" fontId="0" fillId="4" borderId="0" xfId="0" applyFont="1" applyFill="1" quotePrefix="1"/>
    <xf numFmtId="0" fontId="0" fillId="4" borderId="0" xfId="0" applyFill="1"/>
    <xf numFmtId="0" fontId="2" fillId="0" borderId="0" xfId="0" applyFont="1" applyFill="1" applyBorder="1" quotePrefix="1"/>
    <xf numFmtId="0" fontId="16" fillId="5" borderId="0" xfId="0" applyFont="1" applyFill="1" applyBorder="1"/>
    <xf numFmtId="0" fontId="17" fillId="5" borderId="0" xfId="0" applyFont="1" applyFill="1" applyBorder="1"/>
    <xf numFmtId="166" fontId="16" fillId="5" borderId="0" xfId="0" applyNumberFormat="1" applyFont="1" applyFill="1" applyBorder="1"/>
    <xf numFmtId="7" fontId="3" fillId="0" borderId="19" xfId="0" applyNumberFormat="1" applyFont="1" applyFill="1" applyBorder="1"/>
    <xf numFmtId="7" fontId="3" fillId="0" borderId="13" xfId="0" applyNumberFormat="1" applyFont="1" applyFill="1" applyBorder="1"/>
    <xf numFmtId="7" fontId="3" fillId="0" borderId="20" xfId="0" applyNumberFormat="1" applyFont="1" applyFill="1" applyBorder="1"/>
    <xf numFmtId="7" fontId="3" fillId="0" borderId="0" xfId="0" applyNumberFormat="1" applyFont="1" applyFill="1" applyBorder="1"/>
    <xf numFmtId="7" fontId="3" fillId="0" borderId="19" xfId="0" applyNumberFormat="1" applyFont="1" applyFill="1" applyBorder="1" applyAlignment="1">
      <alignment horizontal="right"/>
    </xf>
    <xf numFmtId="7" fontId="3" fillId="0" borderId="13" xfId="0" applyNumberFormat="1" applyFont="1" applyFill="1" applyBorder="1" applyAlignment="1">
      <alignment horizontal="right"/>
    </xf>
    <xf numFmtId="7" fontId="3" fillId="0" borderId="21" xfId="0" applyNumberFormat="1" applyFont="1" applyFill="1" applyBorder="1"/>
    <xf numFmtId="164" fontId="0" fillId="0" borderId="0" xfId="0" applyNumberFormat="1"/>
    <xf numFmtId="0" fontId="0" fillId="0" borderId="0" xfId="0" applyFill="1" applyBorder="1" applyAlignment="1">
      <alignment horizontal="center"/>
    </xf>
    <xf numFmtId="173" fontId="2" fillId="0" borderId="2" xfId="0" applyNumberFormat="1" applyFont="1" applyFill="1" applyBorder="1"/>
    <xf numFmtId="173" fontId="2" fillId="0" borderId="3" xfId="0" applyNumberFormat="1" applyFont="1" applyFill="1" applyBorder="1"/>
    <xf numFmtId="37" fontId="4" fillId="0" borderId="0" xfId="0" applyNumberFormat="1" applyFont="1" applyFill="1"/>
    <xf numFmtId="173" fontId="0" fillId="0" borderId="0" xfId="0" applyNumberFormat="1" applyFill="1"/>
    <xf numFmtId="173" fontId="2" fillId="0" borderId="9" xfId="0" applyNumberFormat="1" applyFont="1" applyFill="1" applyBorder="1"/>
    <xf numFmtId="173" fontId="2" fillId="0" borderId="0" xfId="0" applyNumberFormat="1" applyFont="1" applyFill="1"/>
    <xf numFmtId="0" fontId="4" fillId="0" borderId="0" xfId="0" applyFont="1" applyAlignment="1">
      <alignment horizontal="center"/>
    </xf>
    <xf numFmtId="0" fontId="9" fillId="0" borderId="3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Font="1"/>
    <xf numFmtId="0" fontId="18" fillId="0" borderId="0" xfId="0" applyFont="1" applyAlignment="1">
      <alignment horizontal="center" vertical="center"/>
    </xf>
    <xf numFmtId="0" fontId="2" fillId="0" borderId="0" xfId="0" applyFont="1" applyAlignment="1" quotePrefix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 quotePrefix="1">
      <alignment horizontal="center" vertical="center"/>
    </xf>
    <xf numFmtId="0" fontId="19" fillId="0" borderId="0" xfId="0" applyFont="1" applyFill="1" applyBorder="1"/>
    <xf numFmtId="166" fontId="19" fillId="0" borderId="0" xfId="0" applyNumberFormat="1" applyFont="1" applyFill="1" applyBorder="1" applyAlignment="1">
      <alignment horizontal="center" wrapText="1"/>
    </xf>
    <xf numFmtId="169" fontId="8" fillId="0" borderId="0" xfId="0" applyNumberFormat="1" applyFont="1" applyFill="1" applyBorder="1"/>
    <xf numFmtId="5" fontId="8" fillId="0" borderId="0" xfId="0" applyNumberFormat="1" applyFont="1" applyFill="1" applyBorder="1"/>
    <xf numFmtId="5" fontId="8" fillId="0" borderId="0" xfId="0" applyNumberFormat="1" applyFont="1"/>
    <xf numFmtId="5" fontId="8" fillId="0" borderId="0" xfId="0" applyNumberFormat="1" applyFont="1" applyFill="1" applyBorder="1" applyAlignment="1">
      <alignment horizontal="right"/>
    </xf>
    <xf numFmtId="166" fontId="8" fillId="0" borderId="1" xfId="0" applyNumberFormat="1" applyFont="1" applyFill="1" applyBorder="1"/>
    <xf numFmtId="5" fontId="8" fillId="0" borderId="1" xfId="0" applyNumberFormat="1" applyFont="1" applyFill="1" applyBorder="1"/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 quotePrefix="1">
      <alignment horizontal="right"/>
    </xf>
    <xf numFmtId="172" fontId="8" fillId="0" borderId="0" xfId="0" applyNumberFormat="1" applyFont="1" applyFill="1" applyBorder="1"/>
    <xf numFmtId="170" fontId="8" fillId="0" borderId="0" xfId="0" applyNumberFormat="1" applyFont="1" applyFill="1" applyBorder="1"/>
    <xf numFmtId="0" fontId="6" fillId="0" borderId="2" xfId="0" applyFont="1" applyFill="1" applyBorder="1"/>
    <xf numFmtId="0" fontId="6" fillId="0" borderId="0" xfId="0" applyFont="1" applyFill="1" applyBorder="1"/>
    <xf numFmtId="166" fontId="6" fillId="0" borderId="0" xfId="0" applyNumberFormat="1" applyFont="1" applyFill="1" applyBorder="1"/>
    <xf numFmtId="166" fontId="6" fillId="0" borderId="1" xfId="0" applyNumberFormat="1" applyFont="1" applyFill="1" applyBorder="1"/>
    <xf numFmtId="5" fontId="6" fillId="0" borderId="1" xfId="0" applyNumberFormat="1" applyFont="1" applyFill="1" applyBorder="1"/>
    <xf numFmtId="0" fontId="6" fillId="0" borderId="2" xfId="0" applyFont="1" applyFill="1" applyBorder="1" quotePrefix="1"/>
    <xf numFmtId="0" fontId="8" fillId="0" borderId="0" xfId="0" applyFont="1" applyAlignment="1">
      <alignment horizontal="center"/>
    </xf>
    <xf numFmtId="0" fontId="0" fillId="0" borderId="0" xfId="0" applyAlignment="1">
      <alignment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173" fontId="8" fillId="0" borderId="2" xfId="0" applyNumberFormat="1" applyFont="1" applyFill="1" applyBorder="1"/>
    <xf numFmtId="173" fontId="8" fillId="0" borderId="0" xfId="0" applyNumberFormat="1" applyFont="1" applyFill="1" applyBorder="1"/>
    <xf numFmtId="173" fontId="8" fillId="0" borderId="3" xfId="0" applyNumberFormat="1" applyFont="1" applyFill="1" applyBorder="1"/>
    <xf numFmtId="173" fontId="8" fillId="0" borderId="0" xfId="0" applyNumberFormat="1" applyFont="1" applyFill="1"/>
    <xf numFmtId="173" fontId="8" fillId="0" borderId="9" xfId="0" applyNumberFormat="1" applyFont="1" applyFill="1" applyBorder="1"/>
    <xf numFmtId="169" fontId="6" fillId="0" borderId="0" xfId="0" applyNumberFormat="1" applyFont="1" applyFill="1" applyAlignment="1">
      <alignment horizontal="left"/>
    </xf>
    <xf numFmtId="170" fontId="8" fillId="0" borderId="2" xfId="0" applyNumberFormat="1" applyFont="1" applyFill="1" applyBorder="1"/>
    <xf numFmtId="170" fontId="8" fillId="0" borderId="3" xfId="0" applyNumberFormat="1" applyFont="1" applyFill="1" applyBorder="1"/>
    <xf numFmtId="170" fontId="8" fillId="0" borderId="9" xfId="0" applyNumberFormat="1" applyFont="1" applyFill="1" applyBorder="1"/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wrapText="1"/>
    </xf>
    <xf numFmtId="166" fontId="8" fillId="0" borderId="0" xfId="0" applyNumberFormat="1" applyFont="1" applyFill="1"/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 quotePrefix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Fill="1" applyAlignment="1">
      <alignment wrapText="1"/>
    </xf>
    <xf numFmtId="0" fontId="8" fillId="0" borderId="0" xfId="0" applyFont="1" applyFill="1" applyAlignment="1">
      <alignment wrapText="1"/>
    </xf>
    <xf numFmtId="0" fontId="0" fillId="0" borderId="0" xfId="0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2" fillId="0" borderId="15" xfId="0" applyFont="1" applyBorder="1" applyAlignment="1" quotePrefix="1">
      <alignment horizontal="center" vertical="center"/>
    </xf>
    <xf numFmtId="0" fontId="0" fillId="0" borderId="15" xfId="0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3.xml" /><Relationship Id="rId4" Type="http://schemas.openxmlformats.org/officeDocument/2006/relationships/styles" Target="styles.xml" /><Relationship Id="rId9" Type="http://schemas.openxmlformats.org/officeDocument/2006/relationships/externalLink" Target="externalLinks/externalLink4.xml" /><Relationship Id="rId6" Type="http://schemas.openxmlformats.org/officeDocument/2006/relationships/externalLink" Target="externalLinks/externalLink1.xml" /><Relationship Id="rId10" Type="http://schemas.openxmlformats.org/officeDocument/2006/relationships/calcChain" Target="calcChain.xml" /><Relationship Id="rId3" Type="http://schemas.openxmlformats.org/officeDocument/2006/relationships/worksheet" Target="worksheets/sheet2.xml" /><Relationship Id="rId7" Type="http://schemas.openxmlformats.org/officeDocument/2006/relationships/externalLink" Target="externalLinks/externalLink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17</xdr:col>
      <xdr:colOff>333375</xdr:colOff>
      <xdr:row>43</xdr:row>
      <xdr:rowOff>85725</xdr:rowOff>
    </xdr:from>
    <xdr:to>
      <xdr:col>17</xdr:col>
      <xdr:colOff>638175</xdr:colOff>
      <xdr:row>43</xdr:row>
      <xdr:rowOff>85725</xdr:rowOff>
    </xdr:to>
    <xdr:sp macro="">
      <xdr:nvSpPr>
        <xdr:cNvPr id="2396" name="Line 8"/>
        <xdr:cNvSpPr>
          <a:spLocks noChangeShapeType="1"/>
        </xdr:cNvSpPr>
      </xdr:nvSpPr>
      <xdr:spPr bwMode="auto">
        <a:xfrm flipH="1">
          <a:off x="10563225" y="7239000"/>
          <a:ext cx="304800" cy="0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638175</xdr:colOff>
      <xdr:row>28</xdr:row>
      <xdr:rowOff>114300</xdr:rowOff>
    </xdr:from>
    <xdr:to>
      <xdr:col>17</xdr:col>
      <xdr:colOff>647700</xdr:colOff>
      <xdr:row>43</xdr:row>
      <xdr:rowOff>95250</xdr:rowOff>
    </xdr:to>
    <xdr:sp macro="">
      <xdr:nvSpPr>
        <xdr:cNvPr id="2397" name="Line 10"/>
        <xdr:cNvSpPr>
          <a:spLocks noChangeShapeType="1"/>
        </xdr:cNvSpPr>
      </xdr:nvSpPr>
      <xdr:spPr bwMode="auto">
        <a:xfrm flipH="1" flipV="1">
          <a:off x="10868025" y="5219700"/>
          <a:ext cx="9525" cy="2028825"/>
        </a:xfrm>
        <a:prstGeom prst="line"/>
        <a:noFill/>
        <a:ln w="9525">
          <a:solidFill>
            <a:srgbClr val="000000"/>
          </a:solidFill>
          <a:round/>
          <a:tailEnd type="triangle" len="med" w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WP_%20IV-J-7%205%20&amp;%206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WP_IV-J-7%204%20Dist%20Function%20Costs%20to%20Lgt%20Class.xlsx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WP_IV-J-7%201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I%20(Class%20Allocation)/II-I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 by Light Type - IV-J-7|5"/>
      <sheetName val="Scenarios-IV-J-7|6"/>
    </sheetNames>
    <sheetDataSet>
      <sheetData sheetId="0">
        <row r="14">
          <cell r="E14">
            <v>2393.65</v>
          </cell>
        </row>
        <row r="15">
          <cell r="E15">
            <v>2429.43</v>
          </cell>
        </row>
        <row r="16">
          <cell r="E16">
            <v>2635.87</v>
          </cell>
        </row>
        <row r="17">
          <cell r="E17">
            <v>2812.62</v>
          </cell>
        </row>
        <row r="18">
          <cell r="E18">
            <v>2980.99</v>
          </cell>
        </row>
        <row r="49">
          <cell r="E49">
            <v>5415.74</v>
          </cell>
        </row>
        <row r="50">
          <cell r="E50">
            <v>5586.31</v>
          </cell>
        </row>
        <row r="51">
          <cell r="E51">
            <v>5661.8</v>
          </cell>
        </row>
        <row r="60">
          <cell r="E60">
            <v>3368.63</v>
          </cell>
        </row>
        <row r="61">
          <cell r="E61">
            <v>3386.9</v>
          </cell>
        </row>
        <row r="68">
          <cell r="E68">
            <v>7315.39</v>
          </cell>
        </row>
        <row r="69">
          <cell r="E69">
            <v>7315.39</v>
          </cell>
        </row>
        <row r="85">
          <cell r="E85">
            <v>4238</v>
          </cell>
        </row>
        <row r="86">
          <cell r="E86">
            <v>5051.33</v>
          </cell>
        </row>
        <row r="87">
          <cell r="E87">
            <v>5257.77</v>
          </cell>
        </row>
        <row r="88">
          <cell r="E88">
            <v>5434.52</v>
          </cell>
        </row>
        <row r="89">
          <cell r="E89">
            <v>5602.9</v>
          </cell>
        </row>
        <row r="90">
          <cell r="E90">
            <v>5602.9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st Assignments by Group"/>
    </sheetNames>
    <sheetDataSet>
      <sheetData sheetId="0">
        <row r="62">
          <cell r="H62">
            <v>3167791</v>
          </cell>
          <cell r="I62">
            <v>2417640</v>
          </cell>
          <cell r="J62">
            <v>2485641</v>
          </cell>
          <cell r="K62">
            <v>-4195338</v>
          </cell>
          <cell r="L62">
            <v>0</v>
          </cell>
        </row>
        <row r="128">
          <cell r="H128">
            <v>0</v>
          </cell>
          <cell r="I128">
            <v>696825.76821848</v>
          </cell>
          <cell r="J128">
            <v>508815.244910621</v>
          </cell>
          <cell r="K128">
            <v>0</v>
          </cell>
          <cell r="L128">
            <v>9755171.82305036</v>
          </cell>
        </row>
        <row r="154">
          <cell r="H154">
            <v>7988641.13373966</v>
          </cell>
          <cell r="I154">
            <v>0</v>
          </cell>
          <cell r="J154">
            <v>5743014.51654793</v>
          </cell>
          <cell r="K154">
            <v>0</v>
          </cell>
          <cell r="L154">
            <v>0</v>
          </cell>
        </row>
        <row r="178">
          <cell r="H178">
            <v>4666686.76907037</v>
          </cell>
          <cell r="I178">
            <v>1045833.64405936</v>
          </cell>
          <cell r="J178">
            <v>7000</v>
          </cell>
          <cell r="K178">
            <v>595769.283790629</v>
          </cell>
          <cell r="L178">
            <v>134199.634324893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ransmission"/>
      <sheetName val="Tran"/>
      <sheetName val="TCRF"/>
      <sheetName val="sec_pri split"/>
      <sheetName val="Rate Design"/>
      <sheetName val="OL"/>
      <sheetName val="SL"/>
      <sheetName val="SL Sch D"/>
      <sheetName val="LIGHTING SUMMARY"/>
      <sheetName val="Reassigned Revenue"/>
      <sheetName val="Billing Units"/>
      <sheetName val="Adjusted Billing Units"/>
      <sheetName val="Average and Excess"/>
      <sheetName val="FI Table"/>
    </sheetNames>
    <sheetDataSet>
      <sheetData sheetId="0"/>
      <sheetData sheetId="1"/>
      <sheetData sheetId="2"/>
      <sheetData sheetId="3"/>
      <sheetData sheetId="4"/>
      <sheetData sheetId="5">
        <row r="75">
          <cell r="O75">
            <v>10121742</v>
          </cell>
        </row>
      </sheetData>
      <sheetData sheetId="6">
        <row r="19">
          <cell r="I19">
            <v>349044</v>
          </cell>
        </row>
        <row r="181">
          <cell r="I181">
            <v>10135</v>
          </cell>
        </row>
        <row r="182">
          <cell r="I182">
            <v>1428681</v>
          </cell>
        </row>
        <row r="197">
          <cell r="I197">
            <v>273124</v>
          </cell>
        </row>
        <row r="203">
          <cell r="I203">
            <v>38502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LinkSheet"/>
      <sheetName val="II-I-1"/>
      <sheetName val="WP II-I-1.1"/>
      <sheetName val="changes"/>
      <sheetName val=" WP II-I-1.4"/>
      <sheetName val="II-I-DIST"/>
      <sheetName val="II-I-MET"/>
      <sheetName val="II-I-TBILLTDCS"/>
      <sheetName val="II-I-Total"/>
      <sheetName val="II-I Summary"/>
      <sheetName val="WP II-I-1.9 "/>
      <sheetName val="WP II-I-2.2"/>
      <sheetName val="WP II-I-1.5"/>
      <sheetName val="WP II-I-1.6"/>
      <sheetName val="WP II-I-1.7"/>
      <sheetName val="WP II-I-1.2"/>
      <sheetName val="WP II-I-2.1"/>
      <sheetName val="II-I-2.1f"/>
      <sheetName val="II-I-3.1"/>
    </sheetNames>
    <sheetDataSet>
      <sheetData sheetId="0">
        <row r="8">
          <cell r="N8">
            <v>59672372.3651067</v>
          </cell>
        </row>
        <row r="10">
          <cell r="N10">
            <v>142786.016920277</v>
          </cell>
        </row>
        <row r="12">
          <cell r="N12">
            <v>1471849.00809959</v>
          </cell>
        </row>
      </sheetData>
      <sheetData sheetId="1"/>
      <sheetData sheetId="2"/>
      <sheetData sheetId="3"/>
      <sheetData sheetId="4"/>
      <sheetData sheetId="5">
        <row r="22">
          <cell r="Q22">
            <v>25182581.788684</v>
          </cell>
        </row>
        <row r="31">
          <cell r="Q31">
            <v>527901.219999798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BY84"/>
  <sheetViews>
    <sheetView tabSelected="1" zoomScaleSheetLayoutView="100" workbookViewId="0" topLeftCell="A1"/>
  </sheetViews>
  <sheetFormatPr defaultRowHeight="12.75"/>
  <cols>
    <col min="1" max="1" width="5.75" customWidth="1"/>
    <col min="2" max="2" width="3.625" customWidth="1"/>
    <col min="3" max="3" width="18.625" customWidth="1"/>
    <col min="4" max="4" width="1.75" customWidth="1"/>
    <col min="5" max="5" width="20.75" customWidth="1"/>
    <col min="6" max="6" width="1.75" customWidth="1"/>
    <col min="7" max="11" width="12.75" customWidth="1"/>
    <col min="12" max="12" width="0.375" customWidth="1"/>
    <col min="13" max="15" width="10.625" customWidth="1"/>
    <col min="16" max="16" width="0.75" style="1" customWidth="1"/>
    <col min="17" max="18" width="10.625" customWidth="1"/>
    <col min="19" max="19" width="0.5" customWidth="1"/>
    <col min="20" max="21" width="10.625" customWidth="1"/>
    <col min="22" max="22" width="1.625" customWidth="1"/>
    <col min="23" max="36" width="11.75" customWidth="1"/>
    <col min="37" max="39" width="12.75" customWidth="1"/>
    <col min="40" max="50" width="11.75" customWidth="1"/>
    <col min="51" max="51" width="1.25" style="2" customWidth="1"/>
    <col min="52" max="55" width="10.625" customWidth="1"/>
    <col min="56" max="56" width="13" customWidth="1"/>
    <col min="57" max="63" width="9.25" customWidth="1"/>
    <col min="64" max="64" width="1.125" customWidth="1"/>
    <col min="65" max="65" width="11.75" customWidth="1"/>
    <col min="66" max="68" width="10.625" customWidth="1"/>
  </cols>
  <sheetData>
    <row r="1" spans="2:2" s="2" customFormat="1" ht="14.25">
      <c r="B1" s="145"/>
    </row>
    <row r="2" spans="2:22 51:65" s="2" customFormat="1" ht="14.25">
      <c r="B2" s="197"/>
      <c r="G2" s="198"/>
      <c r="H2" s="198"/>
      <c r="I2" s="198"/>
      <c r="J2" s="198"/>
      <c r="K2" s="198"/>
      <c r="L2" s="139"/>
      <c r="O2" s="236"/>
      <c r="P2" s="236"/>
      <c r="Q2" s="236"/>
      <c r="R2" s="236"/>
      <c r="S2" s="236"/>
      <c r="T2" s="236"/>
      <c r="U2" s="236"/>
      <c r="V2" s="236"/>
      <c r="AY2" s="236"/>
      <c r="BK2" s="236"/>
      <c r="BL2" s="236"/>
      <c r="BM2" s="236"/>
    </row>
    <row r="3" spans="1:65" s="168" customFormat="1" ht="11.25">
      <c r="A3" s="235" t="s">
        <v>110</v>
      </c>
      <c r="B3" s="236" t="s">
        <v>111</v>
      </c>
      <c r="C3" s="236" t="s">
        <v>112</v>
      </c>
      <c r="D3" s="236"/>
      <c r="E3" s="236" t="s">
        <v>113</v>
      </c>
      <c r="G3" s="236" t="s">
        <v>114</v>
      </c>
      <c r="H3" s="236" t="s">
        <v>115</v>
      </c>
      <c r="I3" s="236" t="s">
        <v>116</v>
      </c>
      <c r="J3" s="236" t="s">
        <v>117</v>
      </c>
      <c r="K3" s="236" t="s">
        <v>118</v>
      </c>
      <c r="L3" s="236"/>
      <c r="M3" s="236" t="s">
        <v>166</v>
      </c>
      <c r="N3" s="236" t="s">
        <v>119</v>
      </c>
      <c r="O3" s="236" t="s">
        <v>120</v>
      </c>
      <c r="P3" s="236"/>
      <c r="Q3" s="236" t="s">
        <v>121</v>
      </c>
      <c r="R3" s="236" t="s">
        <v>122</v>
      </c>
      <c r="S3" s="236"/>
      <c r="T3" s="236" t="s">
        <v>123</v>
      </c>
      <c r="U3" s="236" t="s">
        <v>124</v>
      </c>
      <c r="V3" s="236"/>
      <c r="W3" s="236" t="s">
        <v>125</v>
      </c>
      <c r="X3" s="236" t="s">
        <v>126</v>
      </c>
      <c r="Y3" s="236" t="s">
        <v>127</v>
      </c>
      <c r="Z3" s="236" t="s">
        <v>128</v>
      </c>
      <c r="AA3" s="236" t="s">
        <v>129</v>
      </c>
      <c r="AB3" s="236" t="s">
        <v>130</v>
      </c>
      <c r="AC3" s="236" t="s">
        <v>131</v>
      </c>
      <c r="AD3" s="236" t="s">
        <v>132</v>
      </c>
      <c r="AE3" s="236" t="s">
        <v>133</v>
      </c>
      <c r="AF3" s="236" t="s">
        <v>134</v>
      </c>
      <c r="AG3" s="236" t="s">
        <v>135</v>
      </c>
      <c r="AH3" s="236" t="s">
        <v>136</v>
      </c>
      <c r="AI3" s="236" t="s">
        <v>137</v>
      </c>
      <c r="AJ3" s="236" t="s">
        <v>138</v>
      </c>
      <c r="AK3" s="236" t="s">
        <v>139</v>
      </c>
      <c r="AL3" s="236" t="s">
        <v>140</v>
      </c>
      <c r="AM3" s="236" t="s">
        <v>141</v>
      </c>
      <c r="AN3" s="236" t="s">
        <v>142</v>
      </c>
      <c r="AO3" s="236" t="s">
        <v>143</v>
      </c>
      <c r="AP3" s="236" t="s">
        <v>144</v>
      </c>
      <c r="AQ3" s="236" t="s">
        <v>145</v>
      </c>
      <c r="AR3" s="236" t="s">
        <v>146</v>
      </c>
      <c r="AS3" s="236" t="s">
        <v>147</v>
      </c>
      <c r="AT3" s="236" t="s">
        <v>148</v>
      </c>
      <c r="AU3" s="236" t="s">
        <v>149</v>
      </c>
      <c r="AV3" s="236" t="s">
        <v>150</v>
      </c>
      <c r="AW3" s="236" t="s">
        <v>151</v>
      </c>
      <c r="AX3" s="236" t="s">
        <v>152</v>
      </c>
      <c r="AY3" s="236"/>
      <c r="AZ3" s="236" t="s">
        <v>153</v>
      </c>
      <c r="BA3" s="236" t="s">
        <v>154</v>
      </c>
      <c r="BB3" s="236" t="s">
        <v>155</v>
      </c>
      <c r="BC3" s="236" t="s">
        <v>156</v>
      </c>
      <c r="BD3" s="236" t="s">
        <v>157</v>
      </c>
      <c r="BE3" s="236" t="s">
        <v>158</v>
      </c>
      <c r="BF3" s="236" t="s">
        <v>159</v>
      </c>
      <c r="BG3" s="236" t="s">
        <v>160</v>
      </c>
      <c r="BH3" s="236" t="s">
        <v>161</v>
      </c>
      <c r="BI3" s="236" t="s">
        <v>162</v>
      </c>
      <c r="BJ3" s="236" t="s">
        <v>163</v>
      </c>
      <c r="BK3" s="236" t="s">
        <v>164</v>
      </c>
      <c r="BL3" s="236"/>
      <c r="BM3" s="236" t="s">
        <v>165</v>
      </c>
    </row>
    <row r="4" spans="2:66" s="2" customFormat="1" ht="8.45" customHeight="1">
      <c r="B4" s="197"/>
      <c r="E4" s="187"/>
      <c r="G4" s="191"/>
      <c r="H4" s="189"/>
      <c r="I4" s="189"/>
      <c r="J4" s="189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5"/>
      <c r="W4" s="191"/>
      <c r="X4" s="191"/>
      <c r="Y4" s="191"/>
      <c r="Z4" s="191"/>
      <c r="AA4" s="191"/>
      <c r="AB4" s="191"/>
      <c r="AC4" s="191"/>
      <c r="AD4" s="191"/>
      <c r="AE4" s="193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5"/>
      <c r="BH4" s="191"/>
      <c r="BI4" s="191"/>
      <c r="BJ4" s="191"/>
      <c r="BK4" s="191"/>
      <c r="BL4" s="195"/>
      <c r="BM4" s="191"/>
      <c r="BN4" s="64"/>
    </row>
    <row r="5" spans="1:63" ht="15" thickBot="1">
      <c r="A5" s="231">
        <v>1</v>
      </c>
      <c r="B5" s="145"/>
      <c r="G5" s="277" t="s">
        <v>80</v>
      </c>
      <c r="H5" s="278"/>
      <c r="I5" s="278"/>
      <c r="J5" s="278"/>
      <c r="K5" s="278"/>
      <c r="L5" s="133"/>
      <c r="M5" s="277" t="s">
        <v>87</v>
      </c>
      <c r="N5" s="282"/>
      <c r="O5" s="282"/>
      <c r="P5" s="146"/>
      <c r="Q5" s="279" t="s">
        <v>89</v>
      </c>
      <c r="R5" s="279"/>
      <c r="S5" s="132"/>
      <c r="T5" s="279" t="s">
        <v>89</v>
      </c>
      <c r="U5" s="279"/>
      <c r="W5" s="277" t="s">
        <v>28</v>
      </c>
      <c r="X5" s="277"/>
      <c r="Y5" s="277"/>
      <c r="Z5" s="277" t="s">
        <v>28</v>
      </c>
      <c r="AA5" s="277"/>
      <c r="AB5" s="277"/>
      <c r="AC5" s="277"/>
      <c r="AD5" s="277"/>
      <c r="AE5" s="277"/>
      <c r="AF5" s="277" t="s">
        <v>28</v>
      </c>
      <c r="AG5" s="278"/>
      <c r="AH5" s="278"/>
      <c r="AI5" s="278"/>
      <c r="AJ5" s="278"/>
      <c r="AK5" s="277" t="s">
        <v>31</v>
      </c>
      <c r="AL5" s="282"/>
      <c r="AM5" s="282"/>
      <c r="AN5" s="277" t="s">
        <v>31</v>
      </c>
      <c r="AO5" s="277"/>
      <c r="AP5" s="277"/>
      <c r="AQ5" s="277"/>
      <c r="AR5" s="277"/>
      <c r="AS5" s="277"/>
      <c r="AT5" s="277" t="s">
        <v>31</v>
      </c>
      <c r="AU5" s="278"/>
      <c r="AV5" s="278"/>
      <c r="AW5" s="278"/>
      <c r="AX5" s="278"/>
      <c r="AY5" s="34"/>
      <c r="AZ5" s="277" t="s">
        <v>32</v>
      </c>
      <c r="BA5" s="282"/>
      <c r="BB5" s="282"/>
      <c r="BC5" s="282"/>
      <c r="BD5" s="229" t="s">
        <v>36</v>
      </c>
      <c r="BE5" s="277" t="s">
        <v>38</v>
      </c>
      <c r="BF5" s="277"/>
      <c r="BG5" s="277"/>
      <c r="BH5" s="277"/>
      <c r="BI5" s="277"/>
      <c r="BJ5" s="277" t="s">
        <v>39</v>
      </c>
      <c r="BK5" s="277"/>
    </row>
    <row r="6" spans="1:65" ht="15" thickBot="1">
      <c r="A6" s="231">
        <f t="shared" si="0" ref="A6:A65">1+A5</f>
        <v>2</v>
      </c>
      <c r="B6" s="145"/>
      <c r="C6" s="4"/>
      <c r="D6" s="4"/>
      <c r="E6" s="4"/>
      <c r="F6" s="4"/>
      <c r="G6" s="286" t="s">
        <v>81</v>
      </c>
      <c r="H6" s="286"/>
      <c r="I6" s="286"/>
      <c r="J6" s="286"/>
      <c r="K6" s="286"/>
      <c r="L6" s="134"/>
      <c r="M6" s="286" t="s">
        <v>88</v>
      </c>
      <c r="N6" s="286"/>
      <c r="O6" s="286"/>
      <c r="P6" s="144"/>
      <c r="Q6" s="279" t="s">
        <v>90</v>
      </c>
      <c r="R6" s="279"/>
      <c r="S6" s="135"/>
      <c r="T6" s="279" t="s">
        <v>91</v>
      </c>
      <c r="U6" s="279"/>
      <c r="V6" s="4"/>
      <c r="W6" s="285" t="s">
        <v>26</v>
      </c>
      <c r="X6" s="285"/>
      <c r="Y6" s="285"/>
      <c r="Z6" s="285" t="s">
        <v>25</v>
      </c>
      <c r="AA6" s="285"/>
      <c r="AB6" s="285"/>
      <c r="AC6" s="285"/>
      <c r="AD6" s="285"/>
      <c r="AE6" s="285"/>
      <c r="AF6" s="280" t="s">
        <v>27</v>
      </c>
      <c r="AG6" s="281"/>
      <c r="AH6" s="281"/>
      <c r="AI6" s="281"/>
      <c r="AJ6" s="281"/>
      <c r="AK6" s="281" t="s">
        <v>26</v>
      </c>
      <c r="AL6" s="281"/>
      <c r="AM6" s="281"/>
      <c r="AN6" s="281" t="s">
        <v>25</v>
      </c>
      <c r="AO6" s="281"/>
      <c r="AP6" s="281"/>
      <c r="AQ6" s="281"/>
      <c r="AR6" s="281"/>
      <c r="AS6" s="281"/>
      <c r="AT6" s="280" t="s">
        <v>27</v>
      </c>
      <c r="AU6" s="281"/>
      <c r="AV6" s="281"/>
      <c r="AW6" s="281"/>
      <c r="AX6" s="281"/>
      <c r="AY6" s="3"/>
      <c r="AZ6" s="42" t="s">
        <v>33</v>
      </c>
      <c r="BA6" s="43" t="s">
        <v>34</v>
      </c>
      <c r="BB6" s="43" t="s">
        <v>34</v>
      </c>
      <c r="BC6" s="44" t="s">
        <v>35</v>
      </c>
      <c r="BD6" s="45"/>
      <c r="BE6" s="42" t="s">
        <v>33</v>
      </c>
      <c r="BF6" s="43" t="s">
        <v>34</v>
      </c>
      <c r="BG6" s="43" t="s">
        <v>34</v>
      </c>
      <c r="BH6" s="43" t="s">
        <v>35</v>
      </c>
      <c r="BI6" s="44" t="s">
        <v>35</v>
      </c>
      <c r="BJ6" s="42" t="s">
        <v>33</v>
      </c>
      <c r="BK6" s="44" t="s">
        <v>34</v>
      </c>
      <c r="BL6" s="4"/>
      <c r="BM6" s="4"/>
    </row>
    <row r="7" spans="1:65" ht="4.5" customHeight="1">
      <c r="A7" s="231"/>
      <c r="B7" s="145"/>
      <c r="C7" s="4"/>
      <c r="D7" s="4"/>
      <c r="E7" s="4"/>
      <c r="F7" s="4"/>
      <c r="G7" s="46"/>
      <c r="H7" s="47"/>
      <c r="I7" s="47"/>
      <c r="J7" s="47"/>
      <c r="K7" s="48"/>
      <c r="L7" s="2"/>
      <c r="M7" s="46"/>
      <c r="N7" s="47"/>
      <c r="O7" s="48"/>
      <c r="P7" s="2"/>
      <c r="Q7" s="46"/>
      <c r="R7" s="48"/>
      <c r="S7" s="2"/>
      <c r="T7" s="46"/>
      <c r="U7" s="48"/>
      <c r="V7" s="4"/>
      <c r="W7" s="46"/>
      <c r="X7" s="47"/>
      <c r="Y7" s="48"/>
      <c r="Z7" s="46"/>
      <c r="AA7" s="47"/>
      <c r="AB7" s="47"/>
      <c r="AC7" s="47"/>
      <c r="AD7" s="47"/>
      <c r="AE7" s="48"/>
      <c r="AF7" s="46"/>
      <c r="AG7" s="47"/>
      <c r="AH7" s="47"/>
      <c r="AI7" s="47"/>
      <c r="AJ7" s="48"/>
      <c r="AK7" s="46"/>
      <c r="AL7" s="47"/>
      <c r="AM7" s="48"/>
      <c r="AN7" s="46"/>
      <c r="AO7" s="47"/>
      <c r="AP7" s="47"/>
      <c r="AQ7" s="47"/>
      <c r="AR7" s="47"/>
      <c r="AS7" s="48"/>
      <c r="AT7" s="46"/>
      <c r="AU7" s="47"/>
      <c r="AV7" s="47"/>
      <c r="AW7" s="47"/>
      <c r="AX7" s="48"/>
      <c r="AZ7" s="23"/>
      <c r="BA7" s="2"/>
      <c r="BB7" s="2"/>
      <c r="BC7" s="24"/>
      <c r="BD7" s="49"/>
      <c r="BE7" s="23"/>
      <c r="BF7" s="2"/>
      <c r="BG7" s="2"/>
      <c r="BH7" s="2"/>
      <c r="BI7" s="24"/>
      <c r="BJ7" s="23"/>
      <c r="BK7" s="24"/>
      <c r="BL7" s="4"/>
      <c r="BM7" s="4"/>
    </row>
    <row r="8" spans="1:65" ht="14.25">
      <c r="A8" s="231">
        <v>3</v>
      </c>
      <c r="B8" s="145"/>
      <c r="C8" s="50" t="s">
        <v>109</v>
      </c>
      <c r="D8" s="2"/>
      <c r="E8" s="35" t="s">
        <v>46</v>
      </c>
      <c r="F8" s="4"/>
      <c r="G8" s="136" t="s">
        <v>83</v>
      </c>
      <c r="H8" s="137" t="s">
        <v>82</v>
      </c>
      <c r="I8" s="137" t="s">
        <v>84</v>
      </c>
      <c r="J8" s="137" t="s">
        <v>85</v>
      </c>
      <c r="K8" s="138" t="s">
        <v>86</v>
      </c>
      <c r="L8" s="35"/>
      <c r="M8" s="136" t="s">
        <v>83</v>
      </c>
      <c r="N8" s="137" t="s">
        <v>82</v>
      </c>
      <c r="O8" s="138" t="s">
        <v>84</v>
      </c>
      <c r="P8" s="35"/>
      <c r="Q8" s="136" t="s">
        <v>83</v>
      </c>
      <c r="R8" s="138" t="s">
        <v>82</v>
      </c>
      <c r="S8" s="35"/>
      <c r="T8" s="136" t="s">
        <v>83</v>
      </c>
      <c r="U8" s="138" t="s">
        <v>82</v>
      </c>
      <c r="V8" s="4"/>
      <c r="W8" s="51" t="s">
        <v>43</v>
      </c>
      <c r="X8" s="52" t="s">
        <v>44</v>
      </c>
      <c r="Y8" s="230" t="s">
        <v>45</v>
      </c>
      <c r="Z8" s="21">
        <v>100</v>
      </c>
      <c r="AA8" s="53">
        <v>150</v>
      </c>
      <c r="AB8" s="53">
        <v>200</v>
      </c>
      <c r="AC8" s="53">
        <v>250</v>
      </c>
      <c r="AD8" s="53">
        <v>400</v>
      </c>
      <c r="AE8" s="54">
        <v>1000</v>
      </c>
      <c r="AF8" s="21">
        <v>150</v>
      </c>
      <c r="AG8" s="53">
        <v>175</v>
      </c>
      <c r="AH8" s="53">
        <v>250</v>
      </c>
      <c r="AI8" s="53">
        <v>400</v>
      </c>
      <c r="AJ8" s="54">
        <v>1000</v>
      </c>
      <c r="AK8" s="55">
        <v>175</v>
      </c>
      <c r="AL8" s="35">
        <v>400</v>
      </c>
      <c r="AM8" s="56">
        <v>1000</v>
      </c>
      <c r="AN8" s="55">
        <v>100</v>
      </c>
      <c r="AO8" s="35">
        <v>150</v>
      </c>
      <c r="AP8" s="35">
        <v>200</v>
      </c>
      <c r="AQ8" s="35">
        <v>250</v>
      </c>
      <c r="AR8" s="35">
        <v>400</v>
      </c>
      <c r="AS8" s="56">
        <v>1000</v>
      </c>
      <c r="AT8" s="55">
        <v>150</v>
      </c>
      <c r="AU8" s="35">
        <v>175</v>
      </c>
      <c r="AV8" s="35">
        <v>250</v>
      </c>
      <c r="AW8" s="35">
        <v>400</v>
      </c>
      <c r="AX8" s="56">
        <v>1000</v>
      </c>
      <c r="AY8" s="35"/>
      <c r="AZ8" s="55">
        <v>175</v>
      </c>
      <c r="BA8" s="35">
        <v>100</v>
      </c>
      <c r="BB8" s="35">
        <v>150</v>
      </c>
      <c r="BC8" s="56">
        <v>175</v>
      </c>
      <c r="BD8" s="57" t="s">
        <v>37</v>
      </c>
      <c r="BE8" s="55">
        <v>175</v>
      </c>
      <c r="BF8" s="35">
        <v>100</v>
      </c>
      <c r="BG8" s="35">
        <v>250</v>
      </c>
      <c r="BH8" s="35">
        <v>400</v>
      </c>
      <c r="BI8" s="56">
        <v>1000</v>
      </c>
      <c r="BJ8" s="55">
        <v>175</v>
      </c>
      <c r="BK8" s="56">
        <v>100</v>
      </c>
      <c r="BL8" s="4"/>
      <c r="BM8" s="58" t="s">
        <v>77</v>
      </c>
    </row>
    <row r="9" spans="1:65" ht="4.5" customHeight="1">
      <c r="A9" s="231"/>
      <c r="B9" s="145"/>
      <c r="C9" s="59"/>
      <c r="D9" s="4"/>
      <c r="E9" s="4"/>
      <c r="F9" s="4"/>
      <c r="G9" s="22"/>
      <c r="H9" s="186"/>
      <c r="I9" s="186"/>
      <c r="J9" s="186"/>
      <c r="K9" s="61"/>
      <c r="L9" s="135"/>
      <c r="M9" s="22"/>
      <c r="N9" s="144"/>
      <c r="O9" s="61"/>
      <c r="P9" s="144"/>
      <c r="Q9" s="23"/>
      <c r="R9" s="24"/>
      <c r="S9" s="2"/>
      <c r="T9" s="23"/>
      <c r="U9" s="24"/>
      <c r="V9" s="4"/>
      <c r="W9" s="60"/>
      <c r="X9" s="222"/>
      <c r="Y9" s="61"/>
      <c r="Z9" s="22"/>
      <c r="AA9" s="165"/>
      <c r="AB9" s="165"/>
      <c r="AC9" s="165"/>
      <c r="AD9" s="165"/>
      <c r="AE9" s="61"/>
      <c r="AF9" s="22"/>
      <c r="AG9" s="165"/>
      <c r="AH9" s="165"/>
      <c r="AI9" s="165"/>
      <c r="AJ9" s="61"/>
      <c r="AK9" s="22"/>
      <c r="AL9" s="157"/>
      <c r="AM9" s="61"/>
      <c r="AN9" s="22"/>
      <c r="AO9" s="157"/>
      <c r="AP9" s="157"/>
      <c r="AQ9" s="157"/>
      <c r="AR9" s="157"/>
      <c r="AS9" s="61"/>
      <c r="AT9" s="22"/>
      <c r="AU9" s="272"/>
      <c r="AV9" s="272"/>
      <c r="AW9" s="272"/>
      <c r="AX9" s="61"/>
      <c r="AY9" s="3"/>
      <c r="AZ9" s="22"/>
      <c r="BA9" s="157"/>
      <c r="BB9" s="157"/>
      <c r="BC9" s="61"/>
      <c r="BD9" s="49"/>
      <c r="BE9" s="23"/>
      <c r="BF9" s="2"/>
      <c r="BG9" s="2"/>
      <c r="BH9" s="2"/>
      <c r="BI9" s="24"/>
      <c r="BJ9" s="23"/>
      <c r="BK9" s="24"/>
      <c r="BL9" s="4"/>
      <c r="BM9" s="4"/>
    </row>
    <row r="10" spans="1:68" s="4" customFormat="1" ht="15" customHeight="1">
      <c r="A10" s="231">
        <v>4</v>
      </c>
      <c r="C10" s="140" t="s">
        <v>0</v>
      </c>
      <c r="D10" s="65"/>
      <c r="E10" s="31" t="s">
        <v>102</v>
      </c>
      <c r="G10" s="188">
        <v>42710</v>
      </c>
      <c r="H10" s="189">
        <v>1112</v>
      </c>
      <c r="I10" s="189">
        <v>12071</v>
      </c>
      <c r="J10" s="189">
        <v>5886</v>
      </c>
      <c r="K10" s="190">
        <v>780</v>
      </c>
      <c r="L10" s="191"/>
      <c r="M10" s="188">
        <v>57</v>
      </c>
      <c r="N10" s="191">
        <v>215</v>
      </c>
      <c r="O10" s="190">
        <v>176</v>
      </c>
      <c r="P10" s="191"/>
      <c r="Q10" s="188">
        <v>2809</v>
      </c>
      <c r="R10" s="190">
        <v>64</v>
      </c>
      <c r="S10" s="191"/>
      <c r="T10" s="188">
        <v>644</v>
      </c>
      <c r="U10" s="190">
        <v>1432</v>
      </c>
      <c r="V10" s="192"/>
      <c r="W10" s="188">
        <v>6886</v>
      </c>
      <c r="X10" s="191">
        <v>1484</v>
      </c>
      <c r="Y10" s="190">
        <v>5</v>
      </c>
      <c r="Z10" s="188">
        <v>167799</v>
      </c>
      <c r="AA10" s="191">
        <v>10319</v>
      </c>
      <c r="AB10" s="191">
        <v>30851</v>
      </c>
      <c r="AC10" s="191">
        <v>35305</v>
      </c>
      <c r="AD10" s="191">
        <v>1375</v>
      </c>
      <c r="AE10" s="199">
        <v>4</v>
      </c>
      <c r="AF10" s="188">
        <v>3833</v>
      </c>
      <c r="AG10" s="191">
        <v>2234</v>
      </c>
      <c r="AH10" s="191">
        <v>1376</v>
      </c>
      <c r="AI10" s="191">
        <v>584</v>
      </c>
      <c r="AJ10" s="190">
        <v>251</v>
      </c>
      <c r="AK10" s="188">
        <v>58</v>
      </c>
      <c r="AL10" s="191">
        <v>272</v>
      </c>
      <c r="AM10" s="190">
        <v>1</v>
      </c>
      <c r="AN10" s="188">
        <v>2084</v>
      </c>
      <c r="AO10" s="191">
        <v>2001</v>
      </c>
      <c r="AP10" s="191">
        <v>5608</v>
      </c>
      <c r="AQ10" s="191">
        <v>4817</v>
      </c>
      <c r="AR10" s="191">
        <v>348</v>
      </c>
      <c r="AS10" s="190">
        <v>1</v>
      </c>
      <c r="AT10" s="188">
        <v>0</v>
      </c>
      <c r="AU10" s="191">
        <v>8</v>
      </c>
      <c r="AV10" s="191">
        <v>0</v>
      </c>
      <c r="AW10" s="191">
        <v>109</v>
      </c>
      <c r="AX10" s="190">
        <v>16</v>
      </c>
      <c r="AY10" s="191"/>
      <c r="AZ10" s="188">
        <v>32</v>
      </c>
      <c r="BA10" s="191">
        <v>254</v>
      </c>
      <c r="BB10" s="191">
        <v>62</v>
      </c>
      <c r="BC10" s="190">
        <v>14</v>
      </c>
      <c r="BD10" s="194">
        <v>23</v>
      </c>
      <c r="BE10" s="188">
        <v>40</v>
      </c>
      <c r="BF10" s="191">
        <v>58</v>
      </c>
      <c r="BG10" s="195">
        <v>31</v>
      </c>
      <c r="BH10" s="191">
        <v>58</v>
      </c>
      <c r="BI10" s="190">
        <v>92</v>
      </c>
      <c r="BJ10" s="188">
        <v>3</v>
      </c>
      <c r="BK10" s="190">
        <v>111</v>
      </c>
      <c r="BL10" s="192"/>
      <c r="BM10" s="196">
        <f>SUM(G10:BK10)</f>
        <v>346363</v>
      </c>
      <c r="BN10" s="166"/>
      <c r="BO10" s="166"/>
      <c r="BP10" s="166"/>
    </row>
    <row r="11" spans="1:66" s="4" customFormat="1" ht="15" customHeight="1">
      <c r="A11" s="231">
        <f t="shared" si="0"/>
        <v>5</v>
      </c>
      <c r="C11" s="140" t="s">
        <v>1</v>
      </c>
      <c r="D11" s="65"/>
      <c r="E11" s="31" t="s">
        <v>29</v>
      </c>
      <c r="G11" s="200">
        <f>'[1]Cost by Light Type - IV-J-7|5'!$E$14</f>
        <v>2393.6500000000001</v>
      </c>
      <c r="H11" s="201">
        <f>'[1]Cost by Light Type - IV-J-7|5'!$E$15</f>
        <v>2429.4299999999998</v>
      </c>
      <c r="I11" s="201">
        <f>'[1]Cost by Light Type - IV-J-7|5'!$E$16</f>
        <v>2635.8699999999999</v>
      </c>
      <c r="J11" s="201">
        <f>'[1]Cost by Light Type - IV-J-7|5'!$E$17</f>
        <v>2812.6200000000003</v>
      </c>
      <c r="K11" s="202">
        <f>'[1]Cost by Light Type - IV-J-7|5'!$E$18</f>
        <v>2980.9899999999998</v>
      </c>
      <c r="L11" s="201"/>
      <c r="M11" s="200">
        <f>'[1]Cost by Light Type - IV-J-7|5'!$E$49</f>
        <v>5415.7399999999998</v>
      </c>
      <c r="N11" s="201">
        <f>'[1]Cost by Light Type - IV-J-7|5'!$E$50</f>
        <v>5586.3099999999995</v>
      </c>
      <c r="O11" s="202">
        <f>'[1]Cost by Light Type - IV-J-7|5'!$E$51</f>
        <v>5661.8000000000002</v>
      </c>
      <c r="P11" s="201"/>
      <c r="Q11" s="200">
        <f>'[1]Cost by Light Type - IV-J-7|5'!$E$60</f>
        <v>3368.6300000000001</v>
      </c>
      <c r="R11" s="202">
        <f>'[1]Cost by Light Type - IV-J-7|5'!$E$61</f>
        <v>3386.9000000000001</v>
      </c>
      <c r="S11" s="201"/>
      <c r="T11" s="200">
        <f>'[1]Cost by Light Type - IV-J-7|5'!$E$68</f>
        <v>7315.3899999999994</v>
      </c>
      <c r="U11" s="202">
        <f>'[1]Cost by Light Type - IV-J-7|5'!$E$69</f>
        <v>7315.3899999999994</v>
      </c>
      <c r="V11" s="31"/>
      <c r="W11" s="200">
        <f>G11</f>
        <v>2393.6500000000001</v>
      </c>
      <c r="X11" s="201">
        <f>I11</f>
        <v>2635.8699999999999</v>
      </c>
      <c r="Y11" s="202">
        <f>K11</f>
        <v>2980.9899999999998</v>
      </c>
      <c r="Z11" s="200">
        <f>G11</f>
        <v>2393.6500000000001</v>
      </c>
      <c r="AA11" s="201">
        <f>H11</f>
        <v>2429.4299999999998</v>
      </c>
      <c r="AB11" s="201">
        <f>I11</f>
        <v>2635.8699999999999</v>
      </c>
      <c r="AC11" s="201">
        <f>J11</f>
        <v>2812.6200000000003</v>
      </c>
      <c r="AD11" s="201">
        <f>K11</f>
        <v>2980.9899999999998</v>
      </c>
      <c r="AE11" s="202">
        <f>K11</f>
        <v>2980.9899999999998</v>
      </c>
      <c r="AF11" s="200">
        <f>H11</f>
        <v>2429.4299999999998</v>
      </c>
      <c r="AG11" s="201">
        <f>H11</f>
        <v>2429.4299999999998</v>
      </c>
      <c r="AH11" s="201">
        <f>J11</f>
        <v>2812.6200000000003</v>
      </c>
      <c r="AI11" s="201">
        <f>K11</f>
        <v>2980.9899999999998</v>
      </c>
      <c r="AJ11" s="202">
        <f>K11</f>
        <v>2980.9899999999998</v>
      </c>
      <c r="AK11" s="200">
        <f>AN11</f>
        <v>4238</v>
      </c>
      <c r="AL11" s="201">
        <f>AP11</f>
        <v>5257.7700000000004</v>
      </c>
      <c r="AM11" s="202">
        <f>AR11</f>
        <v>5602.8999999999996</v>
      </c>
      <c r="AN11" s="200">
        <f>'[1]Cost by Light Type - IV-J-7|5'!$E$85</f>
        <v>4238</v>
      </c>
      <c r="AO11" s="201">
        <f>'[1]Cost by Light Type - IV-J-7|5'!$E$86</f>
        <v>5051.3299999999999</v>
      </c>
      <c r="AP11" s="201">
        <f>'[1]Cost by Light Type - IV-J-7|5'!$E$87</f>
        <v>5257.7700000000004</v>
      </c>
      <c r="AQ11" s="201">
        <f>'[1]Cost by Light Type - IV-J-7|5'!$E$88</f>
        <v>5434.5200000000004</v>
      </c>
      <c r="AR11" s="201">
        <f>'[1]Cost by Light Type - IV-J-7|5'!$E$89</f>
        <v>5602.8999999999996</v>
      </c>
      <c r="AS11" s="202">
        <f>'[1]Cost by Light Type - IV-J-7|5'!$E$90</f>
        <v>5602.8999999999996</v>
      </c>
      <c r="AT11" s="200">
        <f>AO11</f>
        <v>5051.3299999999999</v>
      </c>
      <c r="AU11" s="201">
        <f>AO11</f>
        <v>5051.3299999999999</v>
      </c>
      <c r="AV11" s="201">
        <f>AQ11</f>
        <v>5434.5200000000004</v>
      </c>
      <c r="AW11" s="201">
        <f>AR11</f>
        <v>5602.8999999999996</v>
      </c>
      <c r="AX11" s="202">
        <f>AS11</f>
        <v>5602.8999999999996</v>
      </c>
      <c r="AY11" s="201"/>
      <c r="AZ11" s="203">
        <f>T11</f>
        <v>7315.3899999999994</v>
      </c>
      <c r="BA11" s="204">
        <f>T11</f>
        <v>7315.3899999999994</v>
      </c>
      <c r="BB11" s="204">
        <f>U11</f>
        <v>7315.3899999999994</v>
      </c>
      <c r="BC11" s="205">
        <f>U11</f>
        <v>7315.3899999999994</v>
      </c>
      <c r="BD11" s="206">
        <f>G11</f>
        <v>2393.6500000000001</v>
      </c>
      <c r="BE11" s="200">
        <f>M11</f>
        <v>5415.7399999999998</v>
      </c>
      <c r="BF11" s="201">
        <f>M11</f>
        <v>5415.7399999999998</v>
      </c>
      <c r="BG11" s="201">
        <f>O11</f>
        <v>5661.8000000000002</v>
      </c>
      <c r="BH11" s="201">
        <f>O11</f>
        <v>5661.8000000000002</v>
      </c>
      <c r="BI11" s="202">
        <f>O11</f>
        <v>5661.8000000000002</v>
      </c>
      <c r="BJ11" s="200">
        <f>Q11</f>
        <v>3368.6300000000001</v>
      </c>
      <c r="BK11" s="202">
        <f>BJ11</f>
        <v>3368.6300000000001</v>
      </c>
      <c r="BL11" s="31"/>
      <c r="BM11" s="207"/>
      <c r="BN11" s="166"/>
    </row>
    <row r="12" spans="1:68" s="4" customFormat="1" ht="15" customHeight="1">
      <c r="A12" s="231">
        <f t="shared" si="0"/>
        <v>6</v>
      </c>
      <c r="C12" s="140" t="s">
        <v>2</v>
      </c>
      <c r="D12" s="65"/>
      <c r="E12" s="31" t="s">
        <v>30</v>
      </c>
      <c r="G12" s="167">
        <v>15</v>
      </c>
      <c r="H12" s="168">
        <v>30</v>
      </c>
      <c r="I12" s="168">
        <v>45</v>
      </c>
      <c r="J12" s="168">
        <v>55</v>
      </c>
      <c r="K12" s="169">
        <v>80</v>
      </c>
      <c r="L12" s="168"/>
      <c r="M12" s="167">
        <v>15</v>
      </c>
      <c r="N12" s="168">
        <v>30</v>
      </c>
      <c r="O12" s="169">
        <v>45</v>
      </c>
      <c r="P12" s="168"/>
      <c r="Q12" s="167">
        <v>15</v>
      </c>
      <c r="R12" s="169">
        <v>30</v>
      </c>
      <c r="S12" s="168"/>
      <c r="T12" s="167">
        <v>15</v>
      </c>
      <c r="U12" s="169">
        <v>30</v>
      </c>
      <c r="V12" s="31"/>
      <c r="W12" s="167">
        <v>70</v>
      </c>
      <c r="X12" s="168">
        <v>150</v>
      </c>
      <c r="Y12" s="169">
        <v>370</v>
      </c>
      <c r="Z12" s="167">
        <v>40</v>
      </c>
      <c r="AA12" s="168">
        <v>70</v>
      </c>
      <c r="AB12" s="168">
        <v>80</v>
      </c>
      <c r="AC12" s="168">
        <v>100</v>
      </c>
      <c r="AD12" s="168">
        <v>160</v>
      </c>
      <c r="AE12" s="169">
        <v>375</v>
      </c>
      <c r="AF12" s="167">
        <v>65</v>
      </c>
      <c r="AG12" s="168">
        <v>65</v>
      </c>
      <c r="AH12" s="168">
        <v>100</v>
      </c>
      <c r="AI12" s="168">
        <v>160</v>
      </c>
      <c r="AJ12" s="169">
        <v>370</v>
      </c>
      <c r="AK12" s="167">
        <v>70</v>
      </c>
      <c r="AL12" s="168">
        <v>150</v>
      </c>
      <c r="AM12" s="169">
        <v>370</v>
      </c>
      <c r="AN12" s="167">
        <v>40</v>
      </c>
      <c r="AO12" s="168">
        <v>70</v>
      </c>
      <c r="AP12" s="168">
        <v>80</v>
      </c>
      <c r="AQ12" s="168">
        <v>100</v>
      </c>
      <c r="AR12" s="168">
        <v>160</v>
      </c>
      <c r="AS12" s="169">
        <v>375</v>
      </c>
      <c r="AT12" s="167">
        <v>65</v>
      </c>
      <c r="AU12" s="168">
        <v>65</v>
      </c>
      <c r="AV12" s="168">
        <v>100</v>
      </c>
      <c r="AW12" s="168">
        <v>160</v>
      </c>
      <c r="AX12" s="169">
        <v>370</v>
      </c>
      <c r="AY12" s="168"/>
      <c r="AZ12" s="167">
        <f>+W12</f>
        <v>70</v>
      </c>
      <c r="BA12" s="168">
        <f>+Z12</f>
        <v>40</v>
      </c>
      <c r="BB12" s="168">
        <f>+AA12</f>
        <v>70</v>
      </c>
      <c r="BC12" s="169">
        <f>+AG12</f>
        <v>65</v>
      </c>
      <c r="BD12" s="170">
        <f>+BA12</f>
        <v>40</v>
      </c>
      <c r="BE12" s="167">
        <f>+AZ12</f>
        <v>70</v>
      </c>
      <c r="BF12" s="168">
        <f>+BA12</f>
        <v>40</v>
      </c>
      <c r="BG12" s="168">
        <f>+AC12</f>
        <v>100</v>
      </c>
      <c r="BH12" s="168">
        <f>+AI12</f>
        <v>160</v>
      </c>
      <c r="BI12" s="169">
        <f>+AJ12</f>
        <v>370</v>
      </c>
      <c r="BJ12" s="167">
        <f>+BE12</f>
        <v>70</v>
      </c>
      <c r="BK12" s="169">
        <f>+BF12</f>
        <v>40</v>
      </c>
      <c r="BL12" s="31"/>
      <c r="BM12" s="171"/>
      <c r="BP12" s="166"/>
    </row>
    <row r="13" spans="1:63" s="4" customFormat="1" ht="9" customHeight="1">
      <c r="A13" s="231"/>
      <c r="C13" s="16"/>
      <c r="D13" s="16"/>
      <c r="G13" s="23"/>
      <c r="H13" s="2"/>
      <c r="I13" s="2"/>
      <c r="J13" s="2"/>
      <c r="K13" s="24"/>
      <c r="L13" s="2"/>
      <c r="M13" s="23"/>
      <c r="N13" s="2"/>
      <c r="O13" s="24"/>
      <c r="P13" s="2"/>
      <c r="Q13" s="23"/>
      <c r="R13" s="24"/>
      <c r="S13" s="2"/>
      <c r="T13" s="23"/>
      <c r="U13" s="24"/>
      <c r="W13" s="18"/>
      <c r="X13" s="9"/>
      <c r="Y13" s="19"/>
      <c r="Z13" s="18"/>
      <c r="AA13" s="9"/>
      <c r="AB13" s="9"/>
      <c r="AC13" s="9"/>
      <c r="AD13" s="9"/>
      <c r="AE13" s="19"/>
      <c r="AF13" s="18"/>
      <c r="AG13" s="9"/>
      <c r="AH13" s="9"/>
      <c r="AI13" s="9"/>
      <c r="AJ13" s="19"/>
      <c r="AK13" s="23"/>
      <c r="AL13" s="2"/>
      <c r="AM13" s="24"/>
      <c r="AN13" s="23"/>
      <c r="AO13" s="2"/>
      <c r="AP13" s="2"/>
      <c r="AQ13" s="2"/>
      <c r="AR13" s="2"/>
      <c r="AS13" s="24"/>
      <c r="AT13" s="23"/>
      <c r="AU13" s="2"/>
      <c r="AV13" s="2"/>
      <c r="AW13" s="2"/>
      <c r="AX13" s="24"/>
      <c r="AY13" s="2"/>
      <c r="AZ13" s="23"/>
      <c r="BA13" s="2"/>
      <c r="BB13" s="2"/>
      <c r="BC13" s="24"/>
      <c r="BD13" s="49"/>
      <c r="BE13" s="23"/>
      <c r="BF13" s="2"/>
      <c r="BG13" s="2"/>
      <c r="BH13" s="2"/>
      <c r="BI13" s="24"/>
      <c r="BJ13" s="23"/>
      <c r="BK13" s="24"/>
    </row>
    <row r="14" spans="1:63" s="4" customFormat="1" ht="24" customHeight="1">
      <c r="A14" s="231">
        <v>7</v>
      </c>
      <c r="B14" s="283" t="s">
        <v>189</v>
      </c>
      <c r="C14" s="284"/>
      <c r="D14" s="284"/>
      <c r="E14" s="284"/>
      <c r="F14" s="284"/>
      <c r="G14" s="23"/>
      <c r="H14" s="2"/>
      <c r="I14" s="2"/>
      <c r="J14" s="2"/>
      <c r="K14" s="24"/>
      <c r="L14" s="2"/>
      <c r="M14" s="23"/>
      <c r="N14" s="2"/>
      <c r="O14" s="24"/>
      <c r="P14" s="2"/>
      <c r="Q14" s="23"/>
      <c r="R14" s="24"/>
      <c r="S14" s="2"/>
      <c r="T14" s="23"/>
      <c r="U14" s="24"/>
      <c r="V14" s="159"/>
      <c r="W14" s="63"/>
      <c r="X14" s="9"/>
      <c r="Y14" s="19"/>
      <c r="Z14" s="185"/>
      <c r="AA14" s="9"/>
      <c r="AB14" s="9"/>
      <c r="AC14" s="9"/>
      <c r="AD14" s="9"/>
      <c r="AE14" s="19"/>
      <c r="AF14" s="18"/>
      <c r="AG14" s="9"/>
      <c r="AH14" s="9"/>
      <c r="AI14" s="9"/>
      <c r="AJ14" s="19"/>
      <c r="AK14" s="23"/>
      <c r="AL14" s="2"/>
      <c r="AM14" s="24"/>
      <c r="AN14" s="23"/>
      <c r="AO14" s="2"/>
      <c r="AP14" s="2"/>
      <c r="AQ14" s="2"/>
      <c r="AR14" s="2"/>
      <c r="AS14" s="24"/>
      <c r="AT14" s="23"/>
      <c r="AU14" s="2"/>
      <c r="AV14" s="2"/>
      <c r="AW14" s="2"/>
      <c r="AX14" s="24"/>
      <c r="AY14" s="2"/>
      <c r="AZ14" s="23"/>
      <c r="BA14" s="2"/>
      <c r="BB14" s="64"/>
      <c r="BC14" s="24"/>
      <c r="BD14" s="49"/>
      <c r="BE14" s="23"/>
      <c r="BF14" s="2"/>
      <c r="BG14" s="2"/>
      <c r="BH14" s="2"/>
      <c r="BI14" s="24"/>
      <c r="BJ14" s="23"/>
      <c r="BK14" s="24"/>
    </row>
    <row r="15" spans="1:63" s="4" customFormat="1" ht="9" customHeight="1">
      <c r="A15" s="231"/>
      <c r="C15" s="16"/>
      <c r="D15" s="16"/>
      <c r="G15" s="23"/>
      <c r="H15" s="2"/>
      <c r="I15" s="2"/>
      <c r="J15" s="2"/>
      <c r="K15" s="24"/>
      <c r="L15" s="2"/>
      <c r="M15" s="23"/>
      <c r="N15" s="2"/>
      <c r="O15" s="24"/>
      <c r="P15" s="2"/>
      <c r="Q15" s="23"/>
      <c r="R15" s="24"/>
      <c r="S15" s="2"/>
      <c r="T15" s="23"/>
      <c r="U15" s="24"/>
      <c r="W15" s="18"/>
      <c r="X15" s="9"/>
      <c r="Y15" s="19"/>
      <c r="Z15" s="18"/>
      <c r="AA15" s="9"/>
      <c r="AB15" s="9"/>
      <c r="AC15" s="9"/>
      <c r="AD15" s="9"/>
      <c r="AE15" s="19"/>
      <c r="AF15" s="18"/>
      <c r="AG15" s="9"/>
      <c r="AH15" s="9"/>
      <c r="AI15" s="9"/>
      <c r="AJ15" s="19"/>
      <c r="AK15" s="23"/>
      <c r="AL15" s="2"/>
      <c r="AM15" s="24"/>
      <c r="AN15" s="23"/>
      <c r="AO15" s="2"/>
      <c r="AP15" s="2"/>
      <c r="AQ15" s="2"/>
      <c r="AR15" s="2"/>
      <c r="AS15" s="24"/>
      <c r="AT15" s="23"/>
      <c r="AU15" s="2"/>
      <c r="AV15" s="2"/>
      <c r="AW15" s="2"/>
      <c r="AX15" s="24"/>
      <c r="AY15" s="2"/>
      <c r="AZ15" s="23"/>
      <c r="BA15" s="2"/>
      <c r="BB15" s="2"/>
      <c r="BC15" s="24"/>
      <c r="BD15" s="49"/>
      <c r="BE15" s="23"/>
      <c r="BF15" s="2"/>
      <c r="BG15" s="2"/>
      <c r="BH15" s="2"/>
      <c r="BI15" s="24"/>
      <c r="BJ15" s="23"/>
      <c r="BK15" s="24"/>
    </row>
    <row r="16" spans="1:63" s="4" customFormat="1" ht="15" customHeight="1">
      <c r="A16" s="231">
        <v>8</v>
      </c>
      <c r="B16" s="65" t="s">
        <v>47</v>
      </c>
      <c r="D16" s="16"/>
      <c r="G16" s="23"/>
      <c r="H16" s="2"/>
      <c r="I16" s="2"/>
      <c r="J16" s="2"/>
      <c r="K16" s="24"/>
      <c r="L16" s="2"/>
      <c r="M16" s="23"/>
      <c r="N16" s="2"/>
      <c r="O16" s="24"/>
      <c r="P16" s="2"/>
      <c r="Q16" s="23"/>
      <c r="R16" s="24"/>
      <c r="S16" s="2"/>
      <c r="T16" s="23"/>
      <c r="U16" s="24"/>
      <c r="W16" s="18"/>
      <c r="X16" s="9"/>
      <c r="Y16" s="19"/>
      <c r="Z16" s="18"/>
      <c r="AA16" s="9"/>
      <c r="AB16" s="9"/>
      <c r="AC16" s="9"/>
      <c r="AD16" s="9"/>
      <c r="AE16" s="19"/>
      <c r="AF16" s="18"/>
      <c r="AG16" s="9"/>
      <c r="AH16" s="9"/>
      <c r="AI16" s="9"/>
      <c r="AJ16" s="19"/>
      <c r="AK16" s="23"/>
      <c r="AL16" s="2"/>
      <c r="AM16" s="24"/>
      <c r="AN16" s="23"/>
      <c r="AO16" s="2"/>
      <c r="AP16" s="2"/>
      <c r="AQ16" s="2"/>
      <c r="AR16" s="2"/>
      <c r="AS16" s="24"/>
      <c r="AT16" s="23"/>
      <c r="AU16" s="2"/>
      <c r="AV16" s="2"/>
      <c r="AW16" s="2"/>
      <c r="AX16" s="24"/>
      <c r="AY16" s="2"/>
      <c r="AZ16" s="23"/>
      <c r="BA16" s="2"/>
      <c r="BB16" s="2"/>
      <c r="BC16" s="24"/>
      <c r="BD16" s="49"/>
      <c r="BE16" s="23"/>
      <c r="BF16" s="2"/>
      <c r="BG16" s="2"/>
      <c r="BH16" s="2"/>
      <c r="BI16" s="24"/>
      <c r="BJ16" s="23"/>
      <c r="BK16" s="24"/>
    </row>
    <row r="17" spans="1:63" s="4" customFormat="1" ht="3" customHeight="1">
      <c r="A17" s="231"/>
      <c r="C17" s="16"/>
      <c r="D17" s="16"/>
      <c r="G17" s="23"/>
      <c r="H17" s="2"/>
      <c r="I17" s="2"/>
      <c r="J17" s="2"/>
      <c r="K17" s="24"/>
      <c r="L17" s="2"/>
      <c r="M17" s="23"/>
      <c r="N17" s="2"/>
      <c r="O17" s="24"/>
      <c r="P17" s="2"/>
      <c r="Q17" s="23"/>
      <c r="R17" s="24"/>
      <c r="S17" s="2"/>
      <c r="T17" s="23"/>
      <c r="U17" s="24"/>
      <c r="W17" s="18"/>
      <c r="X17" s="9"/>
      <c r="Y17" s="19"/>
      <c r="Z17" s="18"/>
      <c r="AA17" s="9"/>
      <c r="AB17" s="9"/>
      <c r="AC17" s="9"/>
      <c r="AD17" s="9"/>
      <c r="AE17" s="19"/>
      <c r="AF17" s="18"/>
      <c r="AG17" s="9"/>
      <c r="AH17" s="9"/>
      <c r="AI17" s="9"/>
      <c r="AJ17" s="19"/>
      <c r="AK17" s="23"/>
      <c r="AL17" s="2"/>
      <c r="AM17" s="24"/>
      <c r="AN17" s="23"/>
      <c r="AO17" s="2"/>
      <c r="AP17" s="2"/>
      <c r="AQ17" s="2"/>
      <c r="AR17" s="2"/>
      <c r="AS17" s="24"/>
      <c r="AT17" s="23"/>
      <c r="AU17" s="2"/>
      <c r="AV17" s="2"/>
      <c r="AW17" s="2"/>
      <c r="AX17" s="24"/>
      <c r="AY17" s="2"/>
      <c r="AZ17" s="23"/>
      <c r="BA17" s="2"/>
      <c r="BB17" s="2"/>
      <c r="BC17" s="24"/>
      <c r="BD17" s="49"/>
      <c r="BE17" s="23"/>
      <c r="BF17" s="2"/>
      <c r="BG17" s="2"/>
      <c r="BH17" s="2"/>
      <c r="BI17" s="24"/>
      <c r="BJ17" s="23"/>
      <c r="BK17" s="24"/>
    </row>
    <row r="18" spans="1:65" s="66" customFormat="1" ht="27.95" customHeight="1">
      <c r="A18" s="231">
        <v>9</v>
      </c>
      <c r="C18" s="143" t="s">
        <v>172</v>
      </c>
      <c r="D18" s="143"/>
      <c r="E18" s="257" t="s">
        <v>175</v>
      </c>
      <c r="G18" s="172">
        <v>1</v>
      </c>
      <c r="H18" s="36">
        <f>ROUND(H11/$G$11,6)</f>
        <v>1.014948</v>
      </c>
      <c r="I18" s="36">
        <f t="shared" si="1" ref="I18:J18">ROUND(I11/$G$11,6)</f>
        <v>1.1011930000000001</v>
      </c>
      <c r="J18" s="36">
        <f t="shared" si="1"/>
        <v>1.1750339999999999</v>
      </c>
      <c r="K18" s="173">
        <f>ROUND(K11/$G$11,6)</f>
        <v>1.245374</v>
      </c>
      <c r="L18" s="36"/>
      <c r="M18" s="172">
        <f>ROUND(M11/$G$11,6)</f>
        <v>2.2625449999999998</v>
      </c>
      <c r="N18" s="36">
        <f t="shared" si="2" ref="N18:O18">ROUND(N11/$G$11,6)</f>
        <v>2.3338040000000002</v>
      </c>
      <c r="O18" s="173">
        <f t="shared" si="2"/>
        <v>2.3653420000000001</v>
      </c>
      <c r="P18" s="36"/>
      <c r="Q18" s="172">
        <f>ROUND(Q11/$G$11,6)</f>
        <v>1.407319</v>
      </c>
      <c r="R18" s="173">
        <f t="shared" si="3" ref="R18">ROUND(R11/$G$11,6)</f>
        <v>1.414952</v>
      </c>
      <c r="S18" s="36"/>
      <c r="T18" s="172">
        <f>ROUND(T11/$G$11,6)</f>
        <v>3.056165</v>
      </c>
      <c r="U18" s="173">
        <f t="shared" si="4" ref="U18:BK18">ROUND(U11/$G$11,6)</f>
        <v>3.056165</v>
      </c>
      <c r="W18" s="172">
        <f t="shared" si="4"/>
        <v>1</v>
      </c>
      <c r="X18" s="36">
        <f t="shared" si="4"/>
        <v>1.1011930000000001</v>
      </c>
      <c r="Y18" s="173">
        <f t="shared" si="4"/>
        <v>1.245374</v>
      </c>
      <c r="Z18" s="172">
        <f t="shared" si="4"/>
        <v>1</v>
      </c>
      <c r="AA18" s="36">
        <f t="shared" si="4"/>
        <v>1.014948</v>
      </c>
      <c r="AB18" s="36">
        <f t="shared" si="4"/>
        <v>1.1011930000000001</v>
      </c>
      <c r="AC18" s="36">
        <f t="shared" si="4"/>
        <v>1.1750339999999999</v>
      </c>
      <c r="AD18" s="36">
        <f t="shared" si="4"/>
        <v>1.245374</v>
      </c>
      <c r="AE18" s="173">
        <f t="shared" si="4"/>
        <v>1.245374</v>
      </c>
      <c r="AF18" s="172">
        <f t="shared" si="4"/>
        <v>1.014948</v>
      </c>
      <c r="AG18" s="36">
        <f t="shared" si="4"/>
        <v>1.014948</v>
      </c>
      <c r="AH18" s="36">
        <f t="shared" si="4"/>
        <v>1.1750339999999999</v>
      </c>
      <c r="AI18" s="36">
        <f t="shared" si="4"/>
        <v>1.245374</v>
      </c>
      <c r="AJ18" s="173">
        <f t="shared" si="4"/>
        <v>1.245374</v>
      </c>
      <c r="AK18" s="172">
        <f t="shared" si="4"/>
        <v>1.770518</v>
      </c>
      <c r="AL18" s="36">
        <f t="shared" si="4"/>
        <v>2.1965490000000001</v>
      </c>
      <c r="AM18" s="173">
        <f t="shared" si="4"/>
        <v>2.340735</v>
      </c>
      <c r="AN18" s="172">
        <f t="shared" si="4"/>
        <v>1.770518</v>
      </c>
      <c r="AO18" s="36">
        <f t="shared" si="4"/>
        <v>2.1103040000000002</v>
      </c>
      <c r="AP18" s="36">
        <f t="shared" si="4"/>
        <v>2.1965490000000001</v>
      </c>
      <c r="AQ18" s="36">
        <f t="shared" si="4"/>
        <v>2.2703899999999999</v>
      </c>
      <c r="AR18" s="36">
        <f t="shared" si="4"/>
        <v>2.340735</v>
      </c>
      <c r="AS18" s="173">
        <f t="shared" si="4"/>
        <v>2.340735</v>
      </c>
      <c r="AT18" s="172">
        <f t="shared" si="4"/>
        <v>2.1103040000000002</v>
      </c>
      <c r="AU18" s="36">
        <f t="shared" si="4"/>
        <v>2.1103040000000002</v>
      </c>
      <c r="AV18" s="36">
        <f t="shared" si="4"/>
        <v>2.2703899999999999</v>
      </c>
      <c r="AW18" s="36">
        <f t="shared" si="4"/>
        <v>2.340735</v>
      </c>
      <c r="AX18" s="173">
        <f t="shared" si="4"/>
        <v>2.340735</v>
      </c>
      <c r="AY18" s="36"/>
      <c r="AZ18" s="172">
        <f t="shared" si="4"/>
        <v>3.056165</v>
      </c>
      <c r="BA18" s="36">
        <f t="shared" si="4"/>
        <v>3.056165</v>
      </c>
      <c r="BB18" s="36">
        <f t="shared" si="4"/>
        <v>3.056165</v>
      </c>
      <c r="BC18" s="173">
        <f t="shared" si="4"/>
        <v>3.056165</v>
      </c>
      <c r="BD18" s="174">
        <f t="shared" si="4"/>
        <v>1</v>
      </c>
      <c r="BE18" s="172">
        <f t="shared" si="4"/>
        <v>2.2625449999999998</v>
      </c>
      <c r="BF18" s="36">
        <f t="shared" si="4"/>
        <v>2.2625449999999998</v>
      </c>
      <c r="BG18" s="36">
        <f t="shared" si="4"/>
        <v>2.3653420000000001</v>
      </c>
      <c r="BH18" s="36">
        <f t="shared" si="4"/>
        <v>2.3653420000000001</v>
      </c>
      <c r="BI18" s="173">
        <f t="shared" si="4"/>
        <v>2.3653420000000001</v>
      </c>
      <c r="BJ18" s="172">
        <f t="shared" si="4"/>
        <v>1.407319</v>
      </c>
      <c r="BK18" s="173">
        <f t="shared" si="4"/>
        <v>1.407319</v>
      </c>
      <c r="BL18" s="68"/>
      <c r="BM18" s="68"/>
    </row>
    <row r="19" spans="1:65" s="31" customFormat="1" ht="15" customHeight="1">
      <c r="A19" s="255">
        <f t="shared" si="0"/>
        <v>10</v>
      </c>
      <c r="C19" s="140" t="s">
        <v>173</v>
      </c>
      <c r="D19" s="140"/>
      <c r="E19" s="258" t="s">
        <v>41</v>
      </c>
      <c r="G19" s="259">
        <f t="shared" si="5" ref="G19:K19">ROUND(G10*G18,4)</f>
        <v>42710</v>
      </c>
      <c r="H19" s="260">
        <f t="shared" si="5"/>
        <v>1128.6222</v>
      </c>
      <c r="I19" s="260">
        <f t="shared" si="5"/>
        <v>13292.500700000001</v>
      </c>
      <c r="J19" s="260">
        <f t="shared" si="5"/>
        <v>6916.2501000000002</v>
      </c>
      <c r="K19" s="261">
        <f t="shared" si="5"/>
        <v>971.39170000000001</v>
      </c>
      <c r="L19" s="260"/>
      <c r="M19" s="259">
        <f t="shared" si="6" ref="M19:R19">ROUND(M10*M18,4)</f>
        <v>128.96510000000001</v>
      </c>
      <c r="N19" s="260">
        <f t="shared" si="6"/>
        <v>501.7679</v>
      </c>
      <c r="O19" s="261">
        <f t="shared" si="6"/>
        <v>416.30020000000002</v>
      </c>
      <c r="P19" s="260"/>
      <c r="Q19" s="259">
        <f t="shared" si="6"/>
        <v>3953.1590999999999</v>
      </c>
      <c r="R19" s="261">
        <f t="shared" si="6"/>
        <v>90.556899999999999</v>
      </c>
      <c r="S19" s="260"/>
      <c r="T19" s="259">
        <f t="shared" si="7" ref="T19:U19">ROUND(T10*T18,4)</f>
        <v>1968.1703</v>
      </c>
      <c r="U19" s="261">
        <f t="shared" si="7"/>
        <v>4376.4282999999996</v>
      </c>
      <c r="V19" s="262"/>
      <c r="W19" s="259">
        <f t="shared" si="8" ref="W19:AX19">ROUND(W10*W18,4)</f>
        <v>6886</v>
      </c>
      <c r="X19" s="260">
        <f t="shared" si="8"/>
        <v>1634.1704</v>
      </c>
      <c r="Y19" s="261">
        <f t="shared" si="8"/>
        <v>6.2268999999999997</v>
      </c>
      <c r="Z19" s="259">
        <f t="shared" si="8"/>
        <v>167799</v>
      </c>
      <c r="AA19" s="260">
        <f t="shared" si="8"/>
        <v>10473.2484</v>
      </c>
      <c r="AB19" s="260">
        <f t="shared" si="8"/>
        <v>33972.905200000001</v>
      </c>
      <c r="AC19" s="260">
        <f t="shared" si="8"/>
        <v>41484.575400000002</v>
      </c>
      <c r="AD19" s="260">
        <f t="shared" si="8"/>
        <v>1712.3893000000001</v>
      </c>
      <c r="AE19" s="261">
        <f t="shared" si="8"/>
        <v>4.9814999999999996</v>
      </c>
      <c r="AF19" s="259">
        <f t="shared" si="8"/>
        <v>3890.2957000000001</v>
      </c>
      <c r="AG19" s="260">
        <f t="shared" si="8"/>
        <v>2267.3937999999998</v>
      </c>
      <c r="AH19" s="260">
        <f t="shared" si="8"/>
        <v>1616.8468</v>
      </c>
      <c r="AI19" s="260">
        <f t="shared" si="8"/>
        <v>727.29840000000002</v>
      </c>
      <c r="AJ19" s="261">
        <f t="shared" si="8"/>
        <v>312.58890000000002</v>
      </c>
      <c r="AK19" s="259">
        <f t="shared" si="8"/>
        <v>102.69</v>
      </c>
      <c r="AL19" s="260">
        <f t="shared" si="8"/>
        <v>597.46130000000005</v>
      </c>
      <c r="AM19" s="261">
        <f t="shared" si="8"/>
        <v>2.3407</v>
      </c>
      <c r="AN19" s="259">
        <f t="shared" si="8"/>
        <v>3689.7595000000001</v>
      </c>
      <c r="AO19" s="260">
        <f t="shared" si="8"/>
        <v>4222.7183000000005</v>
      </c>
      <c r="AP19" s="260">
        <f t="shared" si="8"/>
        <v>12318.246800000001</v>
      </c>
      <c r="AQ19" s="260">
        <f t="shared" si="8"/>
        <v>10936.4686</v>
      </c>
      <c r="AR19" s="260">
        <f t="shared" si="8"/>
        <v>814.57579999999996</v>
      </c>
      <c r="AS19" s="261">
        <f t="shared" si="8"/>
        <v>2.3407</v>
      </c>
      <c r="AT19" s="259">
        <f t="shared" si="8"/>
        <v>0</v>
      </c>
      <c r="AU19" s="260">
        <f t="shared" si="8"/>
        <v>16.882400000000001</v>
      </c>
      <c r="AV19" s="260">
        <f t="shared" si="8"/>
        <v>0</v>
      </c>
      <c r="AW19" s="260">
        <f t="shared" si="8"/>
        <v>255.14009999999999</v>
      </c>
      <c r="AX19" s="261">
        <f t="shared" si="8"/>
        <v>37.451799999999999</v>
      </c>
      <c r="AY19" s="260"/>
      <c r="AZ19" s="259">
        <f t="shared" si="9" ref="AZ19:BK19">ROUND(AZ10*AZ18,4)</f>
        <v>97.797300000000007</v>
      </c>
      <c r="BA19" s="260">
        <f t="shared" si="9"/>
        <v>776.26589999999999</v>
      </c>
      <c r="BB19" s="260">
        <f t="shared" si="9"/>
        <v>189.48220000000001</v>
      </c>
      <c r="BC19" s="261">
        <f t="shared" si="9"/>
        <v>42.786299999999997</v>
      </c>
      <c r="BD19" s="263">
        <f t="shared" si="9"/>
        <v>23</v>
      </c>
      <c r="BE19" s="259">
        <f t="shared" si="9"/>
        <v>90.501800000000003</v>
      </c>
      <c r="BF19" s="260">
        <f t="shared" si="9"/>
        <v>131.2276</v>
      </c>
      <c r="BG19" s="260">
        <f t="shared" si="9"/>
        <v>73.325599999999994</v>
      </c>
      <c r="BH19" s="260">
        <f t="shared" si="9"/>
        <v>137.18979999999999</v>
      </c>
      <c r="BI19" s="261">
        <f t="shared" si="9"/>
        <v>217.61150000000001</v>
      </c>
      <c r="BJ19" s="259">
        <f t="shared" si="9"/>
        <v>4.2220000000000004</v>
      </c>
      <c r="BK19" s="261">
        <f t="shared" si="9"/>
        <v>156.2124</v>
      </c>
      <c r="BL19" s="262"/>
      <c r="BM19" s="262">
        <f>SUM(G19:BK19)</f>
        <v>384177.7316</v>
      </c>
    </row>
    <row r="20" spans="1:66" s="31" customFormat="1" ht="15" customHeight="1" thickBot="1">
      <c r="A20" s="255">
        <f t="shared" si="0"/>
        <v>11</v>
      </c>
      <c r="C20" s="264" t="s">
        <v>174</v>
      </c>
      <c r="D20" s="264"/>
      <c r="E20" s="257" t="s">
        <v>40</v>
      </c>
      <c r="G20" s="265">
        <f>ROUND(G19/$BM$19,6)</f>
        <v>0.11117299999999999</v>
      </c>
      <c r="H20" s="248">
        <f>ROUND(H19/$BM$19,6)</f>
        <v>0.0029380000000000001</v>
      </c>
      <c r="I20" s="248">
        <f>ROUND(I19/$BM$19,6)</f>
        <v>0.034599999999999999</v>
      </c>
      <c r="J20" s="248">
        <f>ROUND(J19/$BM$19,6)</f>
        <v>0.018003000000000002</v>
      </c>
      <c r="K20" s="266">
        <f>ROUND(K19/$BM$19,6)</f>
        <v>0.0025279999999999999</v>
      </c>
      <c r="L20" s="248"/>
      <c r="M20" s="265">
        <f>ROUND(M19/$BM$19,6)</f>
        <v>0.00033599999999999998</v>
      </c>
      <c r="N20" s="248">
        <f>ROUND(N19/$BM$19,6)</f>
        <v>0.0013060000000000001</v>
      </c>
      <c r="O20" s="266">
        <f>ROUND(O19/$BM$19,6)</f>
        <v>0.0010839999999999999</v>
      </c>
      <c r="P20" s="248"/>
      <c r="Q20" s="265">
        <f>ROUND(Q19/$BM$19,6)</f>
        <v>0.010290000000000001</v>
      </c>
      <c r="R20" s="266">
        <f>ROUND(R19/$BM$19,6)</f>
        <v>0.00023599999999999999</v>
      </c>
      <c r="S20" s="248"/>
      <c r="T20" s="265">
        <f>ROUND(T19/$BM$19,6)</f>
        <v>0.0051229999999999999</v>
      </c>
      <c r="U20" s="266">
        <f>ROUND(U19/$BM$19,6)</f>
        <v>0.011391999999999999</v>
      </c>
      <c r="W20" s="265">
        <f t="shared" si="10" ref="W20:AX20">ROUND(W19/$BM$19,6)</f>
        <v>0.017923999999999999</v>
      </c>
      <c r="X20" s="248">
        <f t="shared" si="10"/>
        <v>0.004254</v>
      </c>
      <c r="Y20" s="266">
        <f t="shared" si="10"/>
        <v>1.5999999999999999E-05</v>
      </c>
      <c r="Z20" s="265">
        <f t="shared" si="10"/>
        <v>0.436774</v>
      </c>
      <c r="AA20" s="248">
        <f t="shared" si="10"/>
        <v>0.027261000000000001</v>
      </c>
      <c r="AB20" s="248">
        <f t="shared" si="10"/>
        <v>0.088429999999999995</v>
      </c>
      <c r="AC20" s="248">
        <f t="shared" si="10"/>
        <v>0.107983</v>
      </c>
      <c r="AD20" s="248">
        <f t="shared" si="10"/>
        <v>0.004457</v>
      </c>
      <c r="AE20" s="266">
        <f t="shared" si="10"/>
        <v>1.2999999999999999E-05</v>
      </c>
      <c r="AF20" s="265">
        <f t="shared" si="10"/>
        <v>0.010126</v>
      </c>
      <c r="AG20" s="248">
        <f t="shared" si="10"/>
        <v>0.0059020000000000001</v>
      </c>
      <c r="AH20" s="248">
        <f t="shared" si="10"/>
        <v>0.0042090000000000001</v>
      </c>
      <c r="AI20" s="248">
        <f t="shared" si="10"/>
        <v>0.0018929999999999999</v>
      </c>
      <c r="AJ20" s="266">
        <f t="shared" si="10"/>
        <v>0.00081400000000000005</v>
      </c>
      <c r="AK20" s="265">
        <f t="shared" si="10"/>
        <v>0.00026699999999999998</v>
      </c>
      <c r="AL20" s="248">
        <f t="shared" si="10"/>
        <v>0.001555</v>
      </c>
      <c r="AM20" s="266">
        <f t="shared" si="10"/>
        <v>6.0000000000000002E-06</v>
      </c>
      <c r="AN20" s="265">
        <f t="shared" si="10"/>
        <v>0.0096039999999999997</v>
      </c>
      <c r="AO20" s="248">
        <f t="shared" si="10"/>
        <v>0.010992</v>
      </c>
      <c r="AP20" s="248">
        <f t="shared" si="10"/>
        <v>0.032064000000000002</v>
      </c>
      <c r="AQ20" s="248">
        <f t="shared" si="10"/>
        <v>0.028466999999999999</v>
      </c>
      <c r="AR20" s="248">
        <f t="shared" si="10"/>
        <v>0.0021199999999999999</v>
      </c>
      <c r="AS20" s="266">
        <f t="shared" si="10"/>
        <v>6.0000000000000002E-06</v>
      </c>
      <c r="AT20" s="265">
        <f t="shared" si="10"/>
        <v>0</v>
      </c>
      <c r="AU20" s="248">
        <f t="shared" si="10"/>
        <v>4.3999999999999999E-05</v>
      </c>
      <c r="AV20" s="248">
        <f t="shared" si="10"/>
        <v>0</v>
      </c>
      <c r="AW20" s="248">
        <f t="shared" si="10"/>
        <v>0.00066399999999999999</v>
      </c>
      <c r="AX20" s="266">
        <f t="shared" si="10"/>
        <v>9.7E-05</v>
      </c>
      <c r="AY20" s="248"/>
      <c r="AZ20" s="265">
        <f t="shared" si="11" ref="AZ20:BK20">ROUND(AZ19/$BM$19,6)</f>
        <v>0.00025500000000000002</v>
      </c>
      <c r="BA20" s="248">
        <f t="shared" si="11"/>
        <v>0.0020209999999999998</v>
      </c>
      <c r="BB20" s="248">
        <f t="shared" si="11"/>
        <v>0.00049299999999999995</v>
      </c>
      <c r="BC20" s="266">
        <f t="shared" si="11"/>
        <v>0.000111</v>
      </c>
      <c r="BD20" s="267">
        <f t="shared" si="11"/>
        <v>6.0000000000000002E-05</v>
      </c>
      <c r="BE20" s="265">
        <f t="shared" si="11"/>
        <v>0.00023599999999999999</v>
      </c>
      <c r="BF20" s="248">
        <f t="shared" si="11"/>
        <v>0.00034200000000000002</v>
      </c>
      <c r="BG20" s="248">
        <f t="shared" si="11"/>
        <v>0.00019100000000000001</v>
      </c>
      <c r="BH20" s="248">
        <f t="shared" si="11"/>
        <v>0.000357</v>
      </c>
      <c r="BI20" s="266">
        <f t="shared" si="11"/>
        <v>0.00056599999999999999</v>
      </c>
      <c r="BJ20" s="265">
        <f t="shared" si="11"/>
        <v>1.1E-05</v>
      </c>
      <c r="BK20" s="266">
        <f t="shared" si="11"/>
        <v>0.00040700000000000003</v>
      </c>
      <c r="BM20" s="207">
        <f>SUM(G20:BK20)</f>
        <v>1.0000009999999999</v>
      </c>
      <c r="BN20" s="268" t="s">
        <v>97</v>
      </c>
    </row>
    <row r="21" spans="1:66" s="4" customFormat="1" ht="30" customHeight="1" thickBot="1">
      <c r="A21" s="231">
        <f t="shared" si="0"/>
        <v>12</v>
      </c>
      <c r="C21" s="141" t="s">
        <v>171</v>
      </c>
      <c r="D21" s="141"/>
      <c r="E21" s="269" t="s">
        <v>42</v>
      </c>
      <c r="G21" s="74">
        <f>ROUND(G20*'Revenue Req.'!$H$28,0)</f>
        <v>3649672</v>
      </c>
      <c r="H21" s="38">
        <f>ROUND(H20*'Revenue Req.'!$H$28,0)</f>
        <v>96451</v>
      </c>
      <c r="I21" s="38">
        <f>ROUND(I20*'Revenue Req.'!$H$28,0)</f>
        <v>1135875</v>
      </c>
      <c r="J21" s="38">
        <f>ROUND(J20*'Revenue Req.'!$H$28,0)</f>
        <v>591016</v>
      </c>
      <c r="K21" s="75">
        <f>ROUND(K20*'Revenue Req.'!$H$28,0)</f>
        <v>82991</v>
      </c>
      <c r="L21" s="38"/>
      <c r="M21" s="74">
        <f>ROUND(M20*'Revenue Req.'!$H$28,0)</f>
        <v>11030</v>
      </c>
      <c r="N21" s="38">
        <f>ROUND(N20*'Revenue Req.'!$H$28,0)</f>
        <v>42874</v>
      </c>
      <c r="O21" s="75">
        <f>ROUND(O20*'Revenue Req.'!$H$28,0)</f>
        <v>35586</v>
      </c>
      <c r="P21" s="38"/>
      <c r="Q21" s="74">
        <f>ROUND(Q20*'Revenue Req.'!$H$28,0)</f>
        <v>337808</v>
      </c>
      <c r="R21" s="75">
        <f>ROUND(R20*'Revenue Req.'!$H$28,0)</f>
        <v>7748</v>
      </c>
      <c r="S21" s="38"/>
      <c r="T21" s="74">
        <f>ROUND(T20*'Revenue Req.'!$H$28,0)</f>
        <v>168182</v>
      </c>
      <c r="U21" s="75">
        <f>ROUND(U20*'Revenue Req.'!$H$28,0)</f>
        <v>373985</v>
      </c>
      <c r="W21" s="74">
        <f>ROUND(W20*'Revenue Req.'!$H$28,0)</f>
        <v>588423</v>
      </c>
      <c r="X21" s="38">
        <f>ROUND(X20*'Revenue Req.'!$H$28,0)</f>
        <v>139654</v>
      </c>
      <c r="Y21" s="75">
        <f>ROUND(Y20*'Revenue Req.'!$H$28,0)</f>
        <v>525</v>
      </c>
      <c r="Z21" s="74">
        <f>ROUND(Z20*'Revenue Req.'!$H$28,0)</f>
        <v>14338750</v>
      </c>
      <c r="AA21" s="38">
        <f>ROUND(AA20*'Revenue Req.'!$H$28,0)</f>
        <v>894945</v>
      </c>
      <c r="AB21" s="38">
        <f>ROUND(AB20*'Revenue Req.'!$H$28,0)</f>
        <v>2903048</v>
      </c>
      <c r="AC21" s="38">
        <f>ROUND(AC20*'Revenue Req.'!$H$28,0)</f>
        <v>3544948</v>
      </c>
      <c r="AD21" s="38">
        <f>ROUND(AD20*'Revenue Req.'!$H$28,0)</f>
        <v>146318</v>
      </c>
      <c r="AE21" s="75">
        <f>ROUND(AE20*'Revenue Req.'!$H$28,0)</f>
        <v>427</v>
      </c>
      <c r="AF21" s="74">
        <f>ROUND(AF20*'Revenue Req.'!$H$28,0)</f>
        <v>332424</v>
      </c>
      <c r="AG21" s="38">
        <f>ROUND(AG20*'Revenue Req.'!$H$28,0)</f>
        <v>193755</v>
      </c>
      <c r="AH21" s="38">
        <f>ROUND(AH20*'Revenue Req.'!$H$28,0)</f>
        <v>138176</v>
      </c>
      <c r="AI21" s="38">
        <f>ROUND(AI20*'Revenue Req.'!$H$28,0)</f>
        <v>62145</v>
      </c>
      <c r="AJ21" s="75">
        <f>ROUND(AJ20*'Revenue Req.'!$H$28,0)</f>
        <v>26723</v>
      </c>
      <c r="AK21" s="74">
        <f>ROUND(AK20*'Revenue Req.'!$H$28,0)</f>
        <v>8765</v>
      </c>
      <c r="AL21" s="38">
        <f>ROUND(AL20*'Revenue Req.'!$H$28,0)</f>
        <v>51049</v>
      </c>
      <c r="AM21" s="75">
        <f>ROUND(AM20*'Revenue Req.'!$H$28,0)</f>
        <v>197</v>
      </c>
      <c r="AN21" s="74">
        <f>ROUND(AN20*'Revenue Req.'!$H$28,0)</f>
        <v>315287</v>
      </c>
      <c r="AO21" s="38">
        <f>ROUND(AO20*'Revenue Req.'!$H$28,0)</f>
        <v>360854</v>
      </c>
      <c r="AP21" s="38">
        <f>ROUND(AP20*'Revenue Req.'!$H$28,0)</f>
        <v>1052621</v>
      </c>
      <c r="AQ21" s="38">
        <f>ROUND(AQ20*'Revenue Req.'!$H$28,0)</f>
        <v>934536</v>
      </c>
      <c r="AR21" s="38">
        <f>ROUND(AR20*'Revenue Req.'!$H$28,0)</f>
        <v>69597</v>
      </c>
      <c r="AS21" s="75">
        <f>ROUND(AS20*'Revenue Req.'!$H$28,0)</f>
        <v>197</v>
      </c>
      <c r="AT21" s="74">
        <f>ROUND(AT20*'Revenue Req.'!$H$28,0)</f>
        <v>0</v>
      </c>
      <c r="AU21" s="38">
        <f>ROUND(AU20*'Revenue Req.'!$H$28,0)</f>
        <v>1444</v>
      </c>
      <c r="AV21" s="38">
        <f>ROUND(AV20*'Revenue Req.'!$H$28,0)</f>
        <v>0</v>
      </c>
      <c r="AW21" s="38">
        <f>ROUND(AW20*'Revenue Req.'!$H$28,0)</f>
        <v>21798</v>
      </c>
      <c r="AX21" s="75">
        <f>ROUND(AX20*'Revenue Req.'!$H$28,0)</f>
        <v>3184</v>
      </c>
      <c r="AY21" s="38"/>
      <c r="AZ21" s="74">
        <f>ROUND(AZ20*'Revenue Req.'!$H$28,0)</f>
        <v>8371</v>
      </c>
      <c r="BA21" s="38">
        <f>ROUND(BA20*'Revenue Req.'!$H$28,0)</f>
        <v>66347</v>
      </c>
      <c r="BB21" s="38">
        <f>ROUND(BB20*'Revenue Req.'!$H$28,0)</f>
        <v>16185</v>
      </c>
      <c r="BC21" s="75">
        <f>ROUND(BC20*'Revenue Req.'!$H$28,0)</f>
        <v>3644</v>
      </c>
      <c r="BD21" s="76">
        <f>ROUND(BD20*'Revenue Req.'!$H$28,0)</f>
        <v>1970</v>
      </c>
      <c r="BE21" s="74">
        <f>ROUND(BE20*'Revenue Req.'!$H$28,0)</f>
        <v>7748</v>
      </c>
      <c r="BF21" s="38">
        <f>ROUND(BF20*'Revenue Req.'!$H$28,0)</f>
        <v>11227</v>
      </c>
      <c r="BG21" s="38">
        <f>ROUND(BG20*'Revenue Req.'!$H$28,0)</f>
        <v>6270</v>
      </c>
      <c r="BH21" s="38">
        <f>ROUND(BH20*'Revenue Req.'!$H$28,0)</f>
        <v>11720</v>
      </c>
      <c r="BI21" s="75">
        <f>ROUND(BI20*'Revenue Req.'!$H$28,0)</f>
        <v>18581</v>
      </c>
      <c r="BJ21" s="74">
        <f>ROUND(BJ20*'Revenue Req.'!$H$28,0)</f>
        <v>361</v>
      </c>
      <c r="BK21" s="75">
        <f>ROUND(BK20*'Revenue Req.'!$H$28,0)</f>
        <v>13361</v>
      </c>
      <c r="BM21" s="29">
        <f>SUM(G21:BK21)</f>
        <v>32828793</v>
      </c>
      <c r="BN21" s="175">
        <f>+BM21-'Revenue Req.'!H28</f>
        <v>30</v>
      </c>
    </row>
    <row r="22" spans="1:63" s="4" customFormat="1" ht="9" customHeight="1">
      <c r="A22" s="231"/>
      <c r="G22" s="23"/>
      <c r="H22" s="2"/>
      <c r="I22" s="2"/>
      <c r="J22" s="2"/>
      <c r="K22" s="24"/>
      <c r="L22" s="2"/>
      <c r="M22" s="23"/>
      <c r="N22" s="2"/>
      <c r="O22" s="24"/>
      <c r="P22" s="2"/>
      <c r="Q22" s="23"/>
      <c r="R22" s="24"/>
      <c r="S22" s="2"/>
      <c r="T22" s="23"/>
      <c r="U22" s="24"/>
      <c r="W22" s="23"/>
      <c r="X22" s="2"/>
      <c r="Y22" s="24"/>
      <c r="Z22" s="23"/>
      <c r="AA22" s="2"/>
      <c r="AB22" s="2"/>
      <c r="AC22" s="2"/>
      <c r="AD22" s="2"/>
      <c r="AE22" s="24"/>
      <c r="AF22" s="23"/>
      <c r="AG22" s="2"/>
      <c r="AH22" s="2"/>
      <c r="AI22" s="2"/>
      <c r="AJ22" s="24"/>
      <c r="AK22" s="23"/>
      <c r="AL22" s="2"/>
      <c r="AM22" s="24"/>
      <c r="AN22" s="23"/>
      <c r="AO22" s="2"/>
      <c r="AP22" s="2"/>
      <c r="AQ22" s="2"/>
      <c r="AR22" s="2"/>
      <c r="AS22" s="24"/>
      <c r="AT22" s="23"/>
      <c r="AU22" s="2"/>
      <c r="AV22" s="2"/>
      <c r="AW22" s="2"/>
      <c r="AX22" s="24"/>
      <c r="AY22" s="2"/>
      <c r="AZ22" s="23"/>
      <c r="BA22" s="2"/>
      <c r="BB22" s="2"/>
      <c r="BC22" s="24"/>
      <c r="BD22" s="49"/>
      <c r="BE22" s="23"/>
      <c r="BF22" s="2"/>
      <c r="BG22" s="2"/>
      <c r="BH22" s="2"/>
      <c r="BI22" s="24"/>
      <c r="BJ22" s="23"/>
      <c r="BK22" s="24"/>
    </row>
    <row r="23" spans="1:63" s="4" customFormat="1" ht="15" customHeight="1">
      <c r="A23" s="231">
        <v>13</v>
      </c>
      <c r="B23" s="65" t="s">
        <v>48</v>
      </c>
      <c r="G23" s="23"/>
      <c r="H23" s="2"/>
      <c r="I23" s="2"/>
      <c r="J23" s="2"/>
      <c r="K23" s="24"/>
      <c r="L23" s="2"/>
      <c r="M23" s="23"/>
      <c r="N23" s="2"/>
      <c r="O23" s="24"/>
      <c r="P23" s="2"/>
      <c r="Q23" s="23"/>
      <c r="R23" s="24"/>
      <c r="S23" s="2"/>
      <c r="T23" s="23"/>
      <c r="U23" s="24"/>
      <c r="W23" s="23"/>
      <c r="X23" s="2"/>
      <c r="Y23" s="24"/>
      <c r="Z23" s="23"/>
      <c r="AA23" s="2"/>
      <c r="AB23" s="2"/>
      <c r="AC23" s="2"/>
      <c r="AD23" s="2"/>
      <c r="AE23" s="24"/>
      <c r="AF23" s="23"/>
      <c r="AG23" s="2"/>
      <c r="AH23" s="2"/>
      <c r="AI23" s="2"/>
      <c r="AJ23" s="24"/>
      <c r="AK23" s="23"/>
      <c r="AL23" s="2"/>
      <c r="AM23" s="24"/>
      <c r="AN23" s="23"/>
      <c r="AO23" s="2"/>
      <c r="AP23" s="2"/>
      <c r="AQ23" s="2"/>
      <c r="AR23" s="2"/>
      <c r="AS23" s="24"/>
      <c r="AT23" s="23"/>
      <c r="AU23" s="2"/>
      <c r="AV23" s="2"/>
      <c r="AW23" s="2"/>
      <c r="AX23" s="24"/>
      <c r="AY23" s="2"/>
      <c r="AZ23" s="23"/>
      <c r="BA23" s="2"/>
      <c r="BB23" s="2"/>
      <c r="BC23" s="24"/>
      <c r="BD23" s="49"/>
      <c r="BE23" s="23"/>
      <c r="BF23" s="2"/>
      <c r="BG23" s="2"/>
      <c r="BH23" s="2"/>
      <c r="BI23" s="24"/>
      <c r="BJ23" s="23"/>
      <c r="BK23" s="24"/>
    </row>
    <row r="24" spans="1:63" s="4" customFormat="1" ht="3" customHeight="1">
      <c r="A24" s="231">
        <f t="shared" si="0"/>
        <v>14</v>
      </c>
      <c r="G24" s="23"/>
      <c r="H24" s="2"/>
      <c r="I24" s="2"/>
      <c r="J24" s="2"/>
      <c r="K24" s="24"/>
      <c r="L24" s="2"/>
      <c r="M24" s="23"/>
      <c r="N24" s="2"/>
      <c r="O24" s="24"/>
      <c r="P24" s="2"/>
      <c r="Q24" s="23"/>
      <c r="R24" s="24"/>
      <c r="S24" s="2"/>
      <c r="T24" s="23"/>
      <c r="U24" s="24"/>
      <c r="W24" s="23"/>
      <c r="X24" s="2"/>
      <c r="Y24" s="24"/>
      <c r="Z24" s="23"/>
      <c r="AA24" s="2"/>
      <c r="AB24" s="2"/>
      <c r="AC24" s="2"/>
      <c r="AD24" s="2"/>
      <c r="AE24" s="24"/>
      <c r="AF24" s="23"/>
      <c r="AG24" s="2"/>
      <c r="AH24" s="2"/>
      <c r="AI24" s="2"/>
      <c r="AJ24" s="24"/>
      <c r="AK24" s="23"/>
      <c r="AL24" s="2"/>
      <c r="AM24" s="24"/>
      <c r="AN24" s="23"/>
      <c r="AO24" s="2"/>
      <c r="AP24" s="2"/>
      <c r="AQ24" s="2"/>
      <c r="AR24" s="2"/>
      <c r="AS24" s="24"/>
      <c r="AT24" s="23"/>
      <c r="AU24" s="2"/>
      <c r="AV24" s="2"/>
      <c r="AW24" s="2"/>
      <c r="AX24" s="24"/>
      <c r="AY24" s="2"/>
      <c r="AZ24" s="23"/>
      <c r="BA24" s="2"/>
      <c r="BB24" s="2"/>
      <c r="BC24" s="24"/>
      <c r="BD24" s="49"/>
      <c r="BE24" s="23"/>
      <c r="BF24" s="2"/>
      <c r="BG24" s="2"/>
      <c r="BH24" s="2"/>
      <c r="BI24" s="24"/>
      <c r="BJ24" s="23"/>
      <c r="BK24" s="24"/>
    </row>
    <row r="25" spans="1:63" s="4" customFormat="1" ht="27.95" customHeight="1">
      <c r="A25" s="231">
        <v>14</v>
      </c>
      <c r="C25" s="143" t="s">
        <v>176</v>
      </c>
      <c r="D25" s="143"/>
      <c r="E25" s="257" t="s">
        <v>180</v>
      </c>
      <c r="G25" s="172">
        <v>1</v>
      </c>
      <c r="H25" s="36">
        <f>ROUND(H12/$G$12,6)</f>
        <v>2</v>
      </c>
      <c r="I25" s="36">
        <f t="shared" si="12" ref="I25:BK25">ROUND(I12/$G$12,6)</f>
        <v>3</v>
      </c>
      <c r="J25" s="36">
        <f t="shared" si="12"/>
        <v>3.6666669999999999</v>
      </c>
      <c r="K25" s="173">
        <f t="shared" si="12"/>
        <v>5.3333329999999997</v>
      </c>
      <c r="L25" s="36"/>
      <c r="M25" s="172">
        <f t="shared" si="12"/>
        <v>1</v>
      </c>
      <c r="N25" s="36">
        <f t="shared" si="12"/>
        <v>2</v>
      </c>
      <c r="O25" s="173">
        <f t="shared" si="12"/>
        <v>3</v>
      </c>
      <c r="P25" s="36">
        <f t="shared" si="12"/>
        <v>0</v>
      </c>
      <c r="Q25" s="172">
        <f t="shared" si="12"/>
        <v>1</v>
      </c>
      <c r="R25" s="173">
        <f t="shared" si="12"/>
        <v>2</v>
      </c>
      <c r="S25" s="36"/>
      <c r="T25" s="172">
        <f t="shared" si="12"/>
        <v>1</v>
      </c>
      <c r="U25" s="173">
        <f t="shared" si="12"/>
        <v>2</v>
      </c>
      <c r="V25" s="36"/>
      <c r="W25" s="172">
        <f t="shared" si="12"/>
        <v>4.6666670000000003</v>
      </c>
      <c r="X25" s="36">
        <f t="shared" si="12"/>
        <v>10</v>
      </c>
      <c r="Y25" s="173">
        <f t="shared" si="12"/>
        <v>24.666667</v>
      </c>
      <c r="Z25" s="172">
        <f t="shared" si="12"/>
        <v>2.6666669999999999</v>
      </c>
      <c r="AA25" s="36">
        <f t="shared" si="12"/>
        <v>4.6666670000000003</v>
      </c>
      <c r="AB25" s="36">
        <f t="shared" si="12"/>
        <v>5.3333329999999997</v>
      </c>
      <c r="AC25" s="36">
        <f t="shared" si="12"/>
        <v>6.6666670000000003</v>
      </c>
      <c r="AD25" s="36">
        <f t="shared" si="12"/>
        <v>10.666667</v>
      </c>
      <c r="AE25" s="173">
        <f t="shared" si="12"/>
        <v>25</v>
      </c>
      <c r="AF25" s="172">
        <f t="shared" si="12"/>
        <v>4.3333329999999997</v>
      </c>
      <c r="AG25" s="36">
        <f t="shared" si="12"/>
        <v>4.3333329999999997</v>
      </c>
      <c r="AH25" s="36">
        <f t="shared" si="12"/>
        <v>6.6666670000000003</v>
      </c>
      <c r="AI25" s="36">
        <f t="shared" si="12"/>
        <v>10.666667</v>
      </c>
      <c r="AJ25" s="173">
        <f t="shared" si="12"/>
        <v>24.666667</v>
      </c>
      <c r="AK25" s="172">
        <f t="shared" si="12"/>
        <v>4.6666670000000003</v>
      </c>
      <c r="AL25" s="36">
        <f t="shared" si="12"/>
        <v>10</v>
      </c>
      <c r="AM25" s="173">
        <f t="shared" si="12"/>
        <v>24.666667</v>
      </c>
      <c r="AN25" s="172">
        <f t="shared" si="12"/>
        <v>2.6666669999999999</v>
      </c>
      <c r="AO25" s="36">
        <f t="shared" si="12"/>
        <v>4.6666670000000003</v>
      </c>
      <c r="AP25" s="36">
        <f t="shared" si="12"/>
        <v>5.3333329999999997</v>
      </c>
      <c r="AQ25" s="36">
        <f t="shared" si="12"/>
        <v>6.6666670000000003</v>
      </c>
      <c r="AR25" s="36">
        <f t="shared" si="12"/>
        <v>10.666667</v>
      </c>
      <c r="AS25" s="173">
        <f t="shared" si="12"/>
        <v>25</v>
      </c>
      <c r="AT25" s="172">
        <f t="shared" si="12"/>
        <v>4.3333329999999997</v>
      </c>
      <c r="AU25" s="36">
        <f t="shared" si="12"/>
        <v>4.3333329999999997</v>
      </c>
      <c r="AV25" s="36">
        <f t="shared" si="12"/>
        <v>6.6666670000000003</v>
      </c>
      <c r="AW25" s="36">
        <f t="shared" si="12"/>
        <v>10.666667</v>
      </c>
      <c r="AX25" s="173">
        <f t="shared" si="12"/>
        <v>24.666667</v>
      </c>
      <c r="AY25" s="36"/>
      <c r="AZ25" s="172">
        <f t="shared" si="12"/>
        <v>4.6666670000000003</v>
      </c>
      <c r="BA25" s="36">
        <f t="shared" si="12"/>
        <v>2.6666669999999999</v>
      </c>
      <c r="BB25" s="36">
        <f t="shared" si="12"/>
        <v>4.6666670000000003</v>
      </c>
      <c r="BC25" s="173">
        <f t="shared" si="12"/>
        <v>4.3333329999999997</v>
      </c>
      <c r="BD25" s="174">
        <f t="shared" si="12"/>
        <v>2.6666669999999999</v>
      </c>
      <c r="BE25" s="172">
        <f t="shared" si="12"/>
        <v>4.6666670000000003</v>
      </c>
      <c r="BF25" s="36">
        <f t="shared" si="12"/>
        <v>2.6666669999999999</v>
      </c>
      <c r="BG25" s="36">
        <f t="shared" si="12"/>
        <v>6.6666670000000003</v>
      </c>
      <c r="BH25" s="36">
        <f t="shared" si="12"/>
        <v>10.666667</v>
      </c>
      <c r="BI25" s="173">
        <f t="shared" si="12"/>
        <v>24.666667</v>
      </c>
      <c r="BJ25" s="172">
        <f t="shared" si="12"/>
        <v>4.6666670000000003</v>
      </c>
      <c r="BK25" s="173">
        <f t="shared" si="12"/>
        <v>2.6666669999999999</v>
      </c>
    </row>
    <row r="26" spans="1:65" s="4" customFormat="1" ht="15" customHeight="1">
      <c r="A26" s="231">
        <f t="shared" si="0"/>
        <v>15</v>
      </c>
      <c r="C26" s="140" t="s">
        <v>177</v>
      </c>
      <c r="D26" s="140"/>
      <c r="E26" s="258" t="s">
        <v>41</v>
      </c>
      <c r="G26" s="223">
        <f>ROUND(G10*G25,4)</f>
        <v>42710</v>
      </c>
      <c r="H26" s="176">
        <f>ROUND(H10*H25,4)</f>
        <v>2224</v>
      </c>
      <c r="I26" s="176">
        <f>ROUND(I10*I25,4)</f>
        <v>36213</v>
      </c>
      <c r="J26" s="176">
        <f>ROUND(J10*J25,4)</f>
        <v>21582.002</v>
      </c>
      <c r="K26" s="224">
        <f>ROUND(K10*K25,4)</f>
        <v>4159.9997000000003</v>
      </c>
      <c r="L26" s="176"/>
      <c r="M26" s="223">
        <f>ROUND(M10*M25,4)</f>
        <v>57</v>
      </c>
      <c r="N26" s="176">
        <f>ROUND(N10*N25,4)</f>
        <v>430</v>
      </c>
      <c r="O26" s="224">
        <f>ROUND(O10*O25,4)</f>
        <v>528</v>
      </c>
      <c r="P26" s="176"/>
      <c r="Q26" s="223">
        <f>ROUND(Q10*Q25,4)</f>
        <v>2809</v>
      </c>
      <c r="R26" s="224">
        <f>ROUND(R10*R25,4)</f>
        <v>128</v>
      </c>
      <c r="S26" s="176"/>
      <c r="T26" s="223">
        <f>ROUND(T10*T25,4)</f>
        <v>644</v>
      </c>
      <c r="U26" s="224">
        <f>ROUND(U10*U25,4)</f>
        <v>2864</v>
      </c>
      <c r="V26" s="226"/>
      <c r="W26" s="223">
        <f t="shared" si="13" ref="W26:AX26">ROUND(W10*W25,4)</f>
        <v>32134.669000000002</v>
      </c>
      <c r="X26" s="176">
        <f t="shared" si="13"/>
        <v>14840</v>
      </c>
      <c r="Y26" s="224">
        <f t="shared" si="13"/>
        <v>123.33329999999999</v>
      </c>
      <c r="Z26" s="223">
        <f t="shared" si="13"/>
        <v>447464.05589999998</v>
      </c>
      <c r="AA26" s="176">
        <f t="shared" si="13"/>
        <v>48155.336799999997</v>
      </c>
      <c r="AB26" s="176">
        <f t="shared" si="13"/>
        <v>164538.65640000001</v>
      </c>
      <c r="AC26" s="176">
        <f t="shared" si="13"/>
        <v>235366.6784</v>
      </c>
      <c r="AD26" s="176">
        <f t="shared" si="13"/>
        <v>14666.667100000001</v>
      </c>
      <c r="AE26" s="224">
        <f t="shared" si="13"/>
        <v>100</v>
      </c>
      <c r="AF26" s="223">
        <f t="shared" si="13"/>
        <v>16609.665400000002</v>
      </c>
      <c r="AG26" s="176">
        <f t="shared" si="13"/>
        <v>9680.6659</v>
      </c>
      <c r="AH26" s="176">
        <f t="shared" si="13"/>
        <v>9173.3338000000003</v>
      </c>
      <c r="AI26" s="176">
        <f t="shared" si="13"/>
        <v>6229.3334999999997</v>
      </c>
      <c r="AJ26" s="224">
        <f t="shared" si="13"/>
        <v>6191.3334000000004</v>
      </c>
      <c r="AK26" s="223">
        <f t="shared" si="13"/>
        <v>270.66669999999999</v>
      </c>
      <c r="AL26" s="176">
        <f t="shared" si="13"/>
        <v>2720</v>
      </c>
      <c r="AM26" s="224">
        <f t="shared" si="13"/>
        <v>24.666699999999999</v>
      </c>
      <c r="AN26" s="223">
        <f t="shared" si="13"/>
        <v>5557.3339999999998</v>
      </c>
      <c r="AO26" s="176">
        <f t="shared" si="13"/>
        <v>9338.0007000000005</v>
      </c>
      <c r="AP26" s="176">
        <f t="shared" si="13"/>
        <v>29909.3315</v>
      </c>
      <c r="AQ26" s="176">
        <f t="shared" si="13"/>
        <v>32113.334900000002</v>
      </c>
      <c r="AR26" s="176">
        <f t="shared" si="13"/>
        <v>3712.0001000000002</v>
      </c>
      <c r="AS26" s="224">
        <f t="shared" si="13"/>
        <v>25</v>
      </c>
      <c r="AT26" s="223">
        <f t="shared" si="13"/>
        <v>0</v>
      </c>
      <c r="AU26" s="176">
        <f t="shared" si="13"/>
        <v>34.666699999999999</v>
      </c>
      <c r="AV26" s="176">
        <f t="shared" si="13"/>
        <v>0</v>
      </c>
      <c r="AW26" s="176">
        <f t="shared" si="13"/>
        <v>1162.6667</v>
      </c>
      <c r="AX26" s="224">
        <f t="shared" si="13"/>
        <v>394.66669999999999</v>
      </c>
      <c r="AY26" s="176"/>
      <c r="AZ26" s="223">
        <f t="shared" si="14" ref="AZ26:BK26">ROUND(AZ10*AZ25,4)</f>
        <v>149.33330000000001</v>
      </c>
      <c r="BA26" s="176">
        <f t="shared" si="14"/>
        <v>677.33339999999998</v>
      </c>
      <c r="BB26" s="176">
        <f t="shared" si="14"/>
        <v>289.33339999999998</v>
      </c>
      <c r="BC26" s="224">
        <f t="shared" si="14"/>
        <v>60.666699999999999</v>
      </c>
      <c r="BD26" s="227">
        <f t="shared" si="14"/>
        <v>61.333300000000001</v>
      </c>
      <c r="BE26" s="223">
        <f t="shared" si="14"/>
        <v>186.66669999999999</v>
      </c>
      <c r="BF26" s="176">
        <f t="shared" si="14"/>
        <v>154.66669999999999</v>
      </c>
      <c r="BG26" s="176">
        <f t="shared" si="14"/>
        <v>206.66669999999999</v>
      </c>
      <c r="BH26" s="176">
        <f t="shared" si="14"/>
        <v>618.66669999999999</v>
      </c>
      <c r="BI26" s="224">
        <f t="shared" si="14"/>
        <v>2269.3334</v>
      </c>
      <c r="BJ26" s="223">
        <f t="shared" si="14"/>
        <v>14</v>
      </c>
      <c r="BK26" s="224">
        <f t="shared" si="14"/>
        <v>296</v>
      </c>
      <c r="BL26" s="226"/>
      <c r="BM26" s="228">
        <f>SUM(G26:BK26)</f>
        <v>1209869.0655999989</v>
      </c>
    </row>
    <row r="27" spans="1:65" s="4" customFormat="1" ht="15" customHeight="1" thickBot="1">
      <c r="A27" s="231">
        <f t="shared" si="0"/>
        <v>16</v>
      </c>
      <c r="C27" s="264" t="s">
        <v>178</v>
      </c>
      <c r="D27" s="264"/>
      <c r="E27" s="257" t="s">
        <v>40</v>
      </c>
      <c r="G27" s="69">
        <f>ROUND(G26/$BM26,6)</f>
        <v>0.035300999999999999</v>
      </c>
      <c r="H27" s="37">
        <f>ROUND(H26/$BM26,6)</f>
        <v>0.001838</v>
      </c>
      <c r="I27" s="37">
        <f>ROUND(I26/$BM26,6)</f>
        <v>0.029930999999999999</v>
      </c>
      <c r="J27" s="37">
        <f>ROUND(J26/$BM26,6)</f>
        <v>0.017838</v>
      </c>
      <c r="K27" s="70">
        <f>ROUND(K26/$BM26,6)</f>
        <v>0.0034380000000000001</v>
      </c>
      <c r="L27" s="37"/>
      <c r="M27" s="69">
        <f>ROUND(M26/$BM26,6)</f>
        <v>4.6999999999999997E-05</v>
      </c>
      <c r="N27" s="37">
        <f>ROUND(N26/$BM26,6)</f>
        <v>0.00035500000000000001</v>
      </c>
      <c r="O27" s="70">
        <f>ROUND(O26/$BM26,6)</f>
        <v>0.00043600000000000003</v>
      </c>
      <c r="P27" s="37"/>
      <c r="Q27" s="69">
        <f>ROUND(Q26/$BM26,6)</f>
        <v>0.0023219999999999998</v>
      </c>
      <c r="R27" s="70">
        <f>ROUND(R26/$BM26,6)</f>
        <v>0.000106</v>
      </c>
      <c r="S27" s="37"/>
      <c r="T27" s="69">
        <f>ROUND(T26/$BM26,6)</f>
        <v>0.00053200000000000003</v>
      </c>
      <c r="U27" s="70">
        <f>ROUND(U26/$BM26,6)</f>
        <v>0.0023670000000000002</v>
      </c>
      <c r="W27" s="69">
        <f t="shared" si="15" ref="W27:AX27">ROUND(W26/$BM26,6)</f>
        <v>0.02656</v>
      </c>
      <c r="X27" s="37">
        <f t="shared" si="15"/>
        <v>0.012266000000000001</v>
      </c>
      <c r="Y27" s="70">
        <f t="shared" si="15"/>
        <v>0.000102</v>
      </c>
      <c r="Z27" s="69">
        <f t="shared" si="15"/>
        <v>0.36984499999999998</v>
      </c>
      <c r="AA27" s="37">
        <f t="shared" si="15"/>
        <v>0.039801999999999997</v>
      </c>
      <c r="AB27" s="37">
        <f t="shared" si="15"/>
        <v>0.13599700000000001</v>
      </c>
      <c r="AC27" s="37">
        <f t="shared" si="15"/>
        <v>0.19453899999999999</v>
      </c>
      <c r="AD27" s="37">
        <f t="shared" si="15"/>
        <v>0.012123</v>
      </c>
      <c r="AE27" s="70">
        <f t="shared" si="15"/>
        <v>8.2999999999999998E-05</v>
      </c>
      <c r="AF27" s="69">
        <f t="shared" si="15"/>
        <v>0.013728000000000001</v>
      </c>
      <c r="AG27" s="37">
        <f t="shared" si="15"/>
        <v>0.0080009999999999994</v>
      </c>
      <c r="AH27" s="37">
        <f t="shared" si="15"/>
        <v>0.0075820000000000002</v>
      </c>
      <c r="AI27" s="37">
        <f t="shared" si="15"/>
        <v>0.0051489999999999999</v>
      </c>
      <c r="AJ27" s="70">
        <f t="shared" si="15"/>
        <v>0.005117</v>
      </c>
      <c r="AK27" s="69">
        <f t="shared" si="15"/>
        <v>0.000224</v>
      </c>
      <c r="AL27" s="37">
        <f t="shared" si="15"/>
        <v>0.002248</v>
      </c>
      <c r="AM27" s="70">
        <f t="shared" si="15"/>
        <v>2.0000000000000002E-05</v>
      </c>
      <c r="AN27" s="69">
        <f t="shared" si="15"/>
        <v>0.0045929999999999999</v>
      </c>
      <c r="AO27" s="37">
        <f t="shared" si="15"/>
        <v>0.007718</v>
      </c>
      <c r="AP27" s="37">
        <f t="shared" si="15"/>
        <v>0.024721</v>
      </c>
      <c r="AQ27" s="37">
        <f t="shared" si="15"/>
        <v>0.026543000000000001</v>
      </c>
      <c r="AR27" s="37">
        <f t="shared" si="15"/>
        <v>0.003068</v>
      </c>
      <c r="AS27" s="70">
        <f t="shared" si="15"/>
        <v>2.0999999999999999E-05</v>
      </c>
      <c r="AT27" s="69">
        <f t="shared" si="15"/>
        <v>0</v>
      </c>
      <c r="AU27" s="37">
        <f t="shared" si="15"/>
        <v>2.9E-05</v>
      </c>
      <c r="AV27" s="37">
        <f t="shared" si="15"/>
        <v>0</v>
      </c>
      <c r="AW27" s="37">
        <f t="shared" si="15"/>
        <v>0.00096100000000000005</v>
      </c>
      <c r="AX27" s="70">
        <f t="shared" si="15"/>
        <v>0.00032600000000000001</v>
      </c>
      <c r="AY27" s="37"/>
      <c r="AZ27" s="69">
        <f t="shared" si="16" ref="AZ27:BK27">ROUND(AZ26/$BM26,6)</f>
        <v>0.00012300000000000001</v>
      </c>
      <c r="BA27" s="37">
        <f t="shared" si="16"/>
        <v>0.00055999999999999995</v>
      </c>
      <c r="BB27" s="37">
        <f t="shared" si="16"/>
        <v>0.00023900000000000001</v>
      </c>
      <c r="BC27" s="70">
        <f t="shared" si="16"/>
        <v>5.0000000000000002E-05</v>
      </c>
      <c r="BD27" s="71">
        <f t="shared" si="16"/>
        <v>5.1E-05</v>
      </c>
      <c r="BE27" s="69">
        <f t="shared" si="16"/>
        <v>0.000154</v>
      </c>
      <c r="BF27" s="37">
        <f t="shared" si="16"/>
        <v>0.00012799999999999999</v>
      </c>
      <c r="BG27" s="37">
        <f t="shared" si="16"/>
        <v>0.00017100000000000001</v>
      </c>
      <c r="BH27" s="37">
        <f t="shared" si="16"/>
        <v>0.00051099999999999995</v>
      </c>
      <c r="BI27" s="70">
        <f t="shared" si="16"/>
        <v>0.0018760000000000001</v>
      </c>
      <c r="BJ27" s="69">
        <f t="shared" si="16"/>
        <v>1.2E-05</v>
      </c>
      <c r="BK27" s="70">
        <f t="shared" si="16"/>
        <v>0.00024499999999999999</v>
      </c>
      <c r="BM27" s="62">
        <f>SUM(G27:BK27)</f>
        <v>0.99999700000000014</v>
      </c>
    </row>
    <row r="28" spans="1:66" s="4" customFormat="1" ht="29.1" customHeight="1" thickBot="1">
      <c r="A28" s="231">
        <f t="shared" si="0"/>
        <v>17</v>
      </c>
      <c r="C28" s="141" t="s">
        <v>179</v>
      </c>
      <c r="D28" s="141"/>
      <c r="E28" s="269" t="s">
        <v>42</v>
      </c>
      <c r="G28" s="74">
        <f>ROUND(G27*'Revenue Req.'!$J$28,0)</f>
        <v>117577</v>
      </c>
      <c r="H28" s="38">
        <f>ROUND(H27*'Revenue Req.'!$J$28,0)</f>
        <v>6122</v>
      </c>
      <c r="I28" s="38">
        <f>ROUND(I27*'Revenue Req.'!$J$28,0)</f>
        <v>99691</v>
      </c>
      <c r="J28" s="38">
        <f>ROUND(J27*'Revenue Req.'!$J$28,0)</f>
        <v>59413</v>
      </c>
      <c r="K28" s="75">
        <f>ROUND(K27*'Revenue Req.'!$J$28,0)</f>
        <v>11451</v>
      </c>
      <c r="L28" s="38"/>
      <c r="M28" s="74">
        <f>ROUND(M27*'Revenue Req.'!$J$28,0)</f>
        <v>157</v>
      </c>
      <c r="N28" s="38">
        <f>ROUND(N27*'Revenue Req.'!$J$28,0)</f>
        <v>1182</v>
      </c>
      <c r="O28" s="75">
        <f>ROUND(O27*'Revenue Req.'!$J$28,0)</f>
        <v>1452</v>
      </c>
      <c r="P28" s="38"/>
      <c r="Q28" s="74">
        <f>ROUND(Q27*'Revenue Req.'!$J$28,0)</f>
        <v>7734</v>
      </c>
      <c r="R28" s="75">
        <f>ROUND(R27*'Revenue Req.'!$J$28,0)</f>
        <v>353</v>
      </c>
      <c r="S28" s="38"/>
      <c r="T28" s="74">
        <f>ROUND(T27*'Revenue Req.'!$J$28,0)</f>
        <v>1772</v>
      </c>
      <c r="U28" s="75">
        <f>ROUND(U27*'Revenue Req.'!$J$28,0)</f>
        <v>7884</v>
      </c>
      <c r="W28" s="74">
        <f>ROUND(W27*'Revenue Req.'!$J$28,0)</f>
        <v>88463</v>
      </c>
      <c r="X28" s="38">
        <f>ROUND(X27*'Revenue Req.'!$J$28,0)</f>
        <v>40854</v>
      </c>
      <c r="Y28" s="75">
        <f>ROUND(Y27*'Revenue Req.'!$J$28,0)</f>
        <v>340</v>
      </c>
      <c r="Z28" s="74">
        <f>ROUND(Z27*'Revenue Req.'!$J$28,0)</f>
        <v>1231841</v>
      </c>
      <c r="AA28" s="38">
        <f>ROUND(AA27*'Revenue Req.'!$J$28,0)</f>
        <v>132568</v>
      </c>
      <c r="AB28" s="38">
        <f>ROUND(AB27*'Revenue Req.'!$J$28,0)</f>
        <v>452965</v>
      </c>
      <c r="AC28" s="38">
        <f>ROUND(AC27*'Revenue Req.'!$J$28,0)</f>
        <v>647950</v>
      </c>
      <c r="AD28" s="38">
        <f>ROUND(AD27*'Revenue Req.'!$J$28,0)</f>
        <v>40378</v>
      </c>
      <c r="AE28" s="75">
        <f>ROUND(AE27*'Revenue Req.'!$J$28,0)</f>
        <v>276</v>
      </c>
      <c r="AF28" s="74">
        <f>ROUND(AF27*'Revenue Req.'!$J$28,0)</f>
        <v>45724</v>
      </c>
      <c r="AG28" s="38">
        <f>ROUND(AG27*'Revenue Req.'!$J$28,0)</f>
        <v>26649</v>
      </c>
      <c r="AH28" s="38">
        <f>ROUND(AH27*'Revenue Req.'!$J$28,0)</f>
        <v>25253</v>
      </c>
      <c r="AI28" s="38">
        <f>ROUND(AI27*'Revenue Req.'!$J$28,0)</f>
        <v>17150</v>
      </c>
      <c r="AJ28" s="75">
        <f>ROUND(AJ27*'Revenue Req.'!$J$28,0)</f>
        <v>17043</v>
      </c>
      <c r="AK28" s="74">
        <f>ROUND(AK27*'Revenue Req.'!$J$28,0)</f>
        <v>746</v>
      </c>
      <c r="AL28" s="38">
        <f>ROUND(AL27*'Revenue Req.'!$J$28,0)</f>
        <v>7487</v>
      </c>
      <c r="AM28" s="75">
        <f>ROUND(AM27*'Revenue Req.'!$J$28,0)</f>
        <v>67</v>
      </c>
      <c r="AN28" s="74">
        <f>ROUND(AN27*'Revenue Req.'!$J$28,0)</f>
        <v>15298</v>
      </c>
      <c r="AO28" s="38">
        <f>ROUND(AO27*'Revenue Req.'!$J$28,0)</f>
        <v>25706</v>
      </c>
      <c r="AP28" s="38">
        <f>ROUND(AP27*'Revenue Req.'!$J$28,0)</f>
        <v>82338</v>
      </c>
      <c r="AQ28" s="38">
        <f>ROUND(AQ27*'Revenue Req.'!$J$28,0)</f>
        <v>88407</v>
      </c>
      <c r="AR28" s="38">
        <f>ROUND(AR27*'Revenue Req.'!$J$28,0)</f>
        <v>10219</v>
      </c>
      <c r="AS28" s="75">
        <f>ROUND(AS27*'Revenue Req.'!$J$28,0)</f>
        <v>70</v>
      </c>
      <c r="AT28" s="74">
        <f>ROUND(AT27*'Revenue Req.'!$J$28,0)</f>
        <v>0</v>
      </c>
      <c r="AU28" s="38">
        <f>ROUND(AU27*'Revenue Req.'!$J$28,0)</f>
        <v>97</v>
      </c>
      <c r="AV28" s="38">
        <f>ROUND(AV27*'Revenue Req.'!$J$28,0)</f>
        <v>0</v>
      </c>
      <c r="AW28" s="38">
        <f>ROUND(AW27*'Revenue Req.'!$J$28,0)</f>
        <v>3201</v>
      </c>
      <c r="AX28" s="75">
        <f>ROUND(AX27*'Revenue Req.'!$J$28,0)</f>
        <v>1086</v>
      </c>
      <c r="AY28" s="38"/>
      <c r="AZ28" s="74">
        <f>ROUND(AZ27*'Revenue Req.'!$J$28,0)</f>
        <v>410</v>
      </c>
      <c r="BA28" s="38">
        <f>ROUND(BA27*'Revenue Req.'!$J$28,0)</f>
        <v>1865</v>
      </c>
      <c r="BB28" s="38">
        <f>ROUND(BB27*'Revenue Req.'!$J$28,0)</f>
        <v>796</v>
      </c>
      <c r="BC28" s="75">
        <f>ROUND(BC27*'Revenue Req.'!$J$28,0)</f>
        <v>167</v>
      </c>
      <c r="BD28" s="76">
        <f>ROUND(BD27*'Revenue Req.'!$J$28,0)</f>
        <v>170</v>
      </c>
      <c r="BE28" s="74">
        <f>ROUND(BE27*'Revenue Req.'!$J$28,0)</f>
        <v>513</v>
      </c>
      <c r="BF28" s="38">
        <f>ROUND(BF27*'Revenue Req.'!$J$28,0)</f>
        <v>426</v>
      </c>
      <c r="BG28" s="38">
        <f>ROUND(BG27*'Revenue Req.'!$J$28,0)</f>
        <v>570</v>
      </c>
      <c r="BH28" s="38">
        <f>ROUND(BH27*'Revenue Req.'!$J$28,0)</f>
        <v>1702</v>
      </c>
      <c r="BI28" s="75">
        <f>ROUND(BI27*'Revenue Req.'!$J$28,0)</f>
        <v>6248</v>
      </c>
      <c r="BJ28" s="74">
        <f>ROUND(BJ27*'Revenue Req.'!$J$28,0)</f>
        <v>40</v>
      </c>
      <c r="BK28" s="75">
        <f>ROUND(BK27*'Revenue Req.'!$J$28,0)</f>
        <v>816</v>
      </c>
      <c r="BM28" s="29">
        <f>SUM(G28:BK28)</f>
        <v>3330687</v>
      </c>
      <c r="BN28" s="175">
        <f>+BM28-'Revenue Req.'!J28</f>
        <v>-8</v>
      </c>
    </row>
    <row r="29" spans="1:63" s="4" customFormat="1" ht="9" customHeight="1">
      <c r="A29" s="231"/>
      <c r="G29" s="23"/>
      <c r="H29" s="2"/>
      <c r="I29" s="2"/>
      <c r="J29" s="2"/>
      <c r="K29" s="24"/>
      <c r="L29" s="2"/>
      <c r="M29" s="23"/>
      <c r="N29" s="2"/>
      <c r="O29" s="24"/>
      <c r="P29" s="2"/>
      <c r="Q29" s="23"/>
      <c r="R29" s="24"/>
      <c r="S29" s="2"/>
      <c r="T29" s="23"/>
      <c r="U29" s="24"/>
      <c r="W29" s="20"/>
      <c r="X29" s="77"/>
      <c r="Y29" s="24"/>
      <c r="Z29" s="23"/>
      <c r="AA29" s="2"/>
      <c r="AB29" s="2"/>
      <c r="AC29" s="2"/>
      <c r="AD29" s="2"/>
      <c r="AE29" s="24"/>
      <c r="AF29" s="23"/>
      <c r="AG29" s="2"/>
      <c r="AH29" s="2"/>
      <c r="AI29" s="2"/>
      <c r="AJ29" s="24"/>
      <c r="AK29" s="23"/>
      <c r="AL29" s="2"/>
      <c r="AM29" s="24"/>
      <c r="AN29" s="23"/>
      <c r="AO29" s="2"/>
      <c r="AP29" s="2"/>
      <c r="AQ29" s="2"/>
      <c r="AR29" s="2"/>
      <c r="AS29" s="24"/>
      <c r="AT29" s="23"/>
      <c r="AU29" s="2"/>
      <c r="AV29" s="2"/>
      <c r="AW29" s="2"/>
      <c r="AX29" s="24"/>
      <c r="AY29" s="2"/>
      <c r="AZ29" s="23"/>
      <c r="BA29" s="2"/>
      <c r="BB29" s="2"/>
      <c r="BC29" s="24"/>
      <c r="BD29" s="49"/>
      <c r="BE29" s="23"/>
      <c r="BF29" s="2"/>
      <c r="BG29" s="2"/>
      <c r="BH29" s="2"/>
      <c r="BI29" s="24"/>
      <c r="BJ29" s="23"/>
      <c r="BK29" s="24"/>
    </row>
    <row r="30" spans="1:63" s="4" customFormat="1" ht="12.75">
      <c r="A30" s="231">
        <v>18</v>
      </c>
      <c r="B30" s="65" t="s">
        <v>49</v>
      </c>
      <c r="G30" s="23"/>
      <c r="H30" s="2"/>
      <c r="I30" s="2"/>
      <c r="J30" s="2"/>
      <c r="K30" s="24"/>
      <c r="L30" s="2"/>
      <c r="M30" s="23"/>
      <c r="N30" s="2"/>
      <c r="O30" s="24"/>
      <c r="P30" s="2"/>
      <c r="Q30" s="23"/>
      <c r="R30" s="24"/>
      <c r="S30" s="2"/>
      <c r="T30" s="23"/>
      <c r="U30" s="24"/>
      <c r="W30" s="23"/>
      <c r="X30" s="2"/>
      <c r="Y30" s="24"/>
      <c r="Z30" s="23"/>
      <c r="AA30" s="2"/>
      <c r="AB30" s="2"/>
      <c r="AC30" s="2"/>
      <c r="AD30" s="2"/>
      <c r="AE30" s="24"/>
      <c r="AF30" s="23"/>
      <c r="AG30" s="2"/>
      <c r="AH30" s="2"/>
      <c r="AI30" s="2"/>
      <c r="AJ30" s="24"/>
      <c r="AK30" s="23"/>
      <c r="AL30" s="2"/>
      <c r="AM30" s="24"/>
      <c r="AN30" s="23"/>
      <c r="AO30" s="2"/>
      <c r="AP30" s="2"/>
      <c r="AQ30" s="2"/>
      <c r="AR30" s="2"/>
      <c r="AS30" s="24"/>
      <c r="AT30" s="23"/>
      <c r="AU30" s="2"/>
      <c r="AV30" s="2"/>
      <c r="AW30" s="2"/>
      <c r="AX30" s="24"/>
      <c r="AY30" s="2"/>
      <c r="AZ30" s="23"/>
      <c r="BA30" s="2"/>
      <c r="BB30" s="2"/>
      <c r="BC30" s="24"/>
      <c r="BD30" s="49"/>
      <c r="BE30" s="23"/>
      <c r="BF30" s="2"/>
      <c r="BG30" s="2"/>
      <c r="BH30" s="2"/>
      <c r="BI30" s="24"/>
      <c r="BJ30" s="23"/>
      <c r="BK30" s="24"/>
    </row>
    <row r="31" spans="1:63" s="4" customFormat="1" ht="3" customHeight="1">
      <c r="A31" s="231">
        <f t="shared" si="0"/>
        <v>19</v>
      </c>
      <c r="G31" s="23"/>
      <c r="H31" s="2"/>
      <c r="I31" s="2"/>
      <c r="J31" s="2"/>
      <c r="K31" s="24"/>
      <c r="L31" s="2"/>
      <c r="M31" s="23"/>
      <c r="N31" s="2"/>
      <c r="O31" s="24"/>
      <c r="P31" s="2"/>
      <c r="Q31" s="23"/>
      <c r="R31" s="24"/>
      <c r="S31" s="2"/>
      <c r="T31" s="23"/>
      <c r="U31" s="24"/>
      <c r="W31" s="23"/>
      <c r="X31" s="2"/>
      <c r="Y31" s="24"/>
      <c r="Z31" s="23"/>
      <c r="AA31" s="2"/>
      <c r="AB31" s="2"/>
      <c r="AC31" s="2"/>
      <c r="AD31" s="2"/>
      <c r="AE31" s="24"/>
      <c r="AF31" s="23"/>
      <c r="AG31" s="2"/>
      <c r="AH31" s="2"/>
      <c r="AI31" s="2"/>
      <c r="AJ31" s="24"/>
      <c r="AK31" s="23"/>
      <c r="AL31" s="2"/>
      <c r="AM31" s="24"/>
      <c r="AN31" s="23"/>
      <c r="AO31" s="2"/>
      <c r="AP31" s="2"/>
      <c r="AQ31" s="2"/>
      <c r="AR31" s="2"/>
      <c r="AS31" s="24"/>
      <c r="AT31" s="23"/>
      <c r="AU31" s="2"/>
      <c r="AV31" s="2"/>
      <c r="AW31" s="2"/>
      <c r="AX31" s="24"/>
      <c r="AY31" s="2"/>
      <c r="AZ31" s="23"/>
      <c r="BA31" s="2"/>
      <c r="BB31" s="2"/>
      <c r="BC31" s="24"/>
      <c r="BD31" s="49"/>
      <c r="BE31" s="23"/>
      <c r="BF31" s="2"/>
      <c r="BG31" s="2"/>
      <c r="BH31" s="2"/>
      <c r="BI31" s="24"/>
      <c r="BJ31" s="23"/>
      <c r="BK31" s="24"/>
    </row>
    <row r="32" spans="1:65" s="4" customFormat="1" ht="27.95" customHeight="1">
      <c r="A32" s="231">
        <v>19</v>
      </c>
      <c r="C32" s="143" t="s">
        <v>23</v>
      </c>
      <c r="D32" s="143"/>
      <c r="E32" s="257" t="s">
        <v>170</v>
      </c>
      <c r="G32" s="124">
        <v>1</v>
      </c>
      <c r="H32" s="125">
        <f>ROUND(0.6*$G$32+0.4*H11/$G$11,6)</f>
        <v>1.005979</v>
      </c>
      <c r="I32" s="125">
        <f t="shared" si="17" ref="I32:BK32">ROUND(0.6*$G$32+0.4*I11/$G$11,6)</f>
        <v>1.0404770000000001</v>
      </c>
      <c r="J32" s="125">
        <f t="shared" si="17"/>
        <v>1.070014</v>
      </c>
      <c r="K32" s="147">
        <f t="shared" si="17"/>
        <v>1.09815</v>
      </c>
      <c r="L32" s="125"/>
      <c r="M32" s="124">
        <f t="shared" si="17"/>
        <v>1.505018</v>
      </c>
      <c r="N32" s="125">
        <f t="shared" si="17"/>
        <v>1.5335220000000001</v>
      </c>
      <c r="O32" s="147">
        <f t="shared" si="17"/>
        <v>1.5461370000000001</v>
      </c>
      <c r="P32" s="125">
        <f t="shared" si="17"/>
        <v>0.59999999999999998</v>
      </c>
      <c r="Q32" s="124">
        <f t="shared" si="17"/>
        <v>1.162928</v>
      </c>
      <c r="R32" s="147">
        <f t="shared" si="17"/>
        <v>1.1659809999999999</v>
      </c>
      <c r="S32" s="125"/>
      <c r="T32" s="124">
        <f t="shared" si="17"/>
        <v>1.8224659999999999</v>
      </c>
      <c r="U32" s="147">
        <f t="shared" si="17"/>
        <v>1.8224659999999999</v>
      </c>
      <c r="V32" s="125"/>
      <c r="W32" s="124">
        <f t="shared" si="17"/>
        <v>1</v>
      </c>
      <c r="X32" s="125">
        <f t="shared" si="17"/>
        <v>1.0404770000000001</v>
      </c>
      <c r="Y32" s="147">
        <f t="shared" si="17"/>
        <v>1.09815</v>
      </c>
      <c r="Z32" s="124">
        <f t="shared" si="17"/>
        <v>1</v>
      </c>
      <c r="AA32" s="125">
        <f t="shared" si="17"/>
        <v>1.005979</v>
      </c>
      <c r="AB32" s="125">
        <f t="shared" si="17"/>
        <v>1.0404770000000001</v>
      </c>
      <c r="AC32" s="125">
        <f t="shared" si="17"/>
        <v>1.070014</v>
      </c>
      <c r="AD32" s="125">
        <f t="shared" si="17"/>
        <v>1.09815</v>
      </c>
      <c r="AE32" s="147">
        <f t="shared" si="17"/>
        <v>1.09815</v>
      </c>
      <c r="AF32" s="124">
        <f t="shared" si="17"/>
        <v>1.005979</v>
      </c>
      <c r="AG32" s="125">
        <f t="shared" si="17"/>
        <v>1.005979</v>
      </c>
      <c r="AH32" s="125">
        <f t="shared" si="17"/>
        <v>1.070014</v>
      </c>
      <c r="AI32" s="125">
        <f t="shared" si="17"/>
        <v>1.09815</v>
      </c>
      <c r="AJ32" s="147">
        <f t="shared" si="17"/>
        <v>1.09815</v>
      </c>
      <c r="AK32" s="124">
        <f t="shared" si="17"/>
        <v>1.3082069999999999</v>
      </c>
      <c r="AL32" s="125">
        <f t="shared" si="17"/>
        <v>1.4786200000000001</v>
      </c>
      <c r="AM32" s="147">
        <f t="shared" si="17"/>
        <v>1.5362940000000001</v>
      </c>
      <c r="AN32" s="124">
        <f t="shared" si="17"/>
        <v>1.3082069999999999</v>
      </c>
      <c r="AO32" s="125">
        <f t="shared" si="17"/>
        <v>1.4441219999999999</v>
      </c>
      <c r="AP32" s="125">
        <f t="shared" si="17"/>
        <v>1.4786200000000001</v>
      </c>
      <c r="AQ32" s="125">
        <f t="shared" si="17"/>
        <v>1.5081560000000001</v>
      </c>
      <c r="AR32" s="125">
        <f t="shared" si="17"/>
        <v>1.5362940000000001</v>
      </c>
      <c r="AS32" s="147">
        <f t="shared" si="17"/>
        <v>1.5362940000000001</v>
      </c>
      <c r="AT32" s="124">
        <f t="shared" si="17"/>
        <v>1.4441219999999999</v>
      </c>
      <c r="AU32" s="125">
        <f t="shared" si="17"/>
        <v>1.4441219999999999</v>
      </c>
      <c r="AV32" s="125">
        <f t="shared" si="17"/>
        <v>1.5081560000000001</v>
      </c>
      <c r="AW32" s="125">
        <f t="shared" si="17"/>
        <v>1.5362940000000001</v>
      </c>
      <c r="AX32" s="147">
        <f t="shared" si="17"/>
        <v>1.5362940000000001</v>
      </c>
      <c r="AY32" s="125"/>
      <c r="AZ32" s="124">
        <f t="shared" si="17"/>
        <v>1.8224659999999999</v>
      </c>
      <c r="BA32" s="125">
        <f t="shared" si="17"/>
        <v>1.8224659999999999</v>
      </c>
      <c r="BB32" s="125">
        <f t="shared" si="17"/>
        <v>1.8224659999999999</v>
      </c>
      <c r="BC32" s="147">
        <f t="shared" si="17"/>
        <v>1.8224659999999999</v>
      </c>
      <c r="BD32" s="158">
        <f t="shared" si="17"/>
        <v>1</v>
      </c>
      <c r="BE32" s="124">
        <f t="shared" si="17"/>
        <v>1.505018</v>
      </c>
      <c r="BF32" s="125">
        <f t="shared" si="17"/>
        <v>1.505018</v>
      </c>
      <c r="BG32" s="125">
        <f t="shared" si="17"/>
        <v>1.5461370000000001</v>
      </c>
      <c r="BH32" s="125">
        <f t="shared" si="17"/>
        <v>1.5461370000000001</v>
      </c>
      <c r="BI32" s="147">
        <f t="shared" si="17"/>
        <v>1.5461370000000001</v>
      </c>
      <c r="BJ32" s="124">
        <f t="shared" si="17"/>
        <v>1.162928</v>
      </c>
      <c r="BK32" s="147">
        <f t="shared" si="17"/>
        <v>1.162928</v>
      </c>
      <c r="BL32" s="10"/>
      <c r="BM32" s="62">
        <f>SUM(G32:BK32)</f>
        <v>69.970775999999972</v>
      </c>
    </row>
    <row r="33" spans="1:65" s="4" customFormat="1" ht="15" customHeight="1">
      <c r="A33" s="231">
        <f t="shared" si="0"/>
        <v>20</v>
      </c>
      <c r="C33" s="140" t="s">
        <v>181</v>
      </c>
      <c r="D33" s="140"/>
      <c r="E33" s="258" t="s">
        <v>41</v>
      </c>
      <c r="G33" s="223">
        <f>ROUND(G$10*G32,4)</f>
        <v>42710</v>
      </c>
      <c r="H33" s="176">
        <f>ROUND(H$10*H32,4)</f>
        <v>1118.6486</v>
      </c>
      <c r="I33" s="176">
        <f>ROUND(I$10*I32,4)</f>
        <v>12559.597900000001</v>
      </c>
      <c r="J33" s="176">
        <f>ROUND(J$10*J32,4)</f>
        <v>6298.1023999999998</v>
      </c>
      <c r="K33" s="224">
        <f>ROUND(K$10*K32,4)</f>
        <v>856.55700000000002</v>
      </c>
      <c r="L33" s="176"/>
      <c r="M33" s="223">
        <f>ROUND(M$10*M32,4)</f>
        <v>85.786000000000001</v>
      </c>
      <c r="N33" s="176">
        <f>ROUND(N$10*N32,4)</f>
        <v>329.7072</v>
      </c>
      <c r="O33" s="224">
        <f>ROUND(O$10*O32,4)</f>
        <v>272.12009999999998</v>
      </c>
      <c r="P33" s="176"/>
      <c r="Q33" s="223">
        <f>ROUND(Q$10*Q32,4)</f>
        <v>3266.6648</v>
      </c>
      <c r="R33" s="224">
        <f>ROUND(R$10*R32,4)</f>
        <v>74.622799999999998</v>
      </c>
      <c r="S33" s="176"/>
      <c r="T33" s="223">
        <f>ROUND(T$10*T32,4)</f>
        <v>1173.6681000000001</v>
      </c>
      <c r="U33" s="224">
        <f>ROUND(U$10*U32,4)</f>
        <v>2609.7712999999999</v>
      </c>
      <c r="V33" s="226"/>
      <c r="W33" s="223">
        <f t="shared" si="18" ref="W33:AX33">ROUND(W$10*W32,4)</f>
        <v>6886</v>
      </c>
      <c r="X33" s="176">
        <f t="shared" si="18"/>
        <v>1544.0679</v>
      </c>
      <c r="Y33" s="224">
        <f t="shared" si="18"/>
        <v>5.4908000000000001</v>
      </c>
      <c r="Z33" s="223">
        <f t="shared" si="18"/>
        <v>167799</v>
      </c>
      <c r="AA33" s="176">
        <f t="shared" si="18"/>
        <v>10380.6973</v>
      </c>
      <c r="AB33" s="176">
        <f t="shared" si="18"/>
        <v>32099.7559</v>
      </c>
      <c r="AC33" s="176">
        <f t="shared" si="18"/>
        <v>37776.844299999997</v>
      </c>
      <c r="AD33" s="176">
        <f t="shared" si="18"/>
        <v>1509.9563000000001</v>
      </c>
      <c r="AE33" s="224">
        <f t="shared" si="18"/>
        <v>4.3925999999999998</v>
      </c>
      <c r="AF33" s="223">
        <f t="shared" si="18"/>
        <v>3855.9175</v>
      </c>
      <c r="AG33" s="176">
        <f t="shared" si="18"/>
        <v>2247.3571000000002</v>
      </c>
      <c r="AH33" s="176">
        <f t="shared" si="18"/>
        <v>1472.3393000000001</v>
      </c>
      <c r="AI33" s="176">
        <f t="shared" si="18"/>
        <v>641.31960000000004</v>
      </c>
      <c r="AJ33" s="224">
        <f t="shared" si="18"/>
        <v>275.63569999999999</v>
      </c>
      <c r="AK33" s="223">
        <f t="shared" si="18"/>
        <v>75.876000000000005</v>
      </c>
      <c r="AL33" s="176">
        <f t="shared" si="18"/>
        <v>402.18459999999999</v>
      </c>
      <c r="AM33" s="224">
        <f t="shared" si="18"/>
        <v>1.5363</v>
      </c>
      <c r="AN33" s="223">
        <f t="shared" si="18"/>
        <v>2726.3033999999998</v>
      </c>
      <c r="AO33" s="176">
        <f t="shared" si="18"/>
        <v>2889.6880999999998</v>
      </c>
      <c r="AP33" s="176">
        <f t="shared" si="18"/>
        <v>8292.1010000000006</v>
      </c>
      <c r="AQ33" s="176">
        <f t="shared" si="18"/>
        <v>7264.7875000000004</v>
      </c>
      <c r="AR33" s="176">
        <f t="shared" si="18"/>
        <v>534.63030000000003</v>
      </c>
      <c r="AS33" s="224">
        <f t="shared" si="18"/>
        <v>1.5363</v>
      </c>
      <c r="AT33" s="223">
        <f t="shared" si="18"/>
        <v>0</v>
      </c>
      <c r="AU33" s="176">
        <f t="shared" si="18"/>
        <v>11.553000000000001</v>
      </c>
      <c r="AV33" s="176">
        <f t="shared" si="18"/>
        <v>0</v>
      </c>
      <c r="AW33" s="176">
        <f t="shared" si="18"/>
        <v>167.45599999999999</v>
      </c>
      <c r="AX33" s="224">
        <f t="shared" si="18"/>
        <v>24.5807</v>
      </c>
      <c r="AY33" s="176"/>
      <c r="AZ33" s="223">
        <f t="shared" si="19" ref="AZ33:BK33">ROUND(AZ$10*AZ32,4)</f>
        <v>58.318899999999999</v>
      </c>
      <c r="BA33" s="176">
        <f t="shared" si="19"/>
        <v>462.90640000000002</v>
      </c>
      <c r="BB33" s="176">
        <f t="shared" si="19"/>
        <v>112.99290000000001</v>
      </c>
      <c r="BC33" s="224">
        <f t="shared" si="19"/>
        <v>25.514500000000002</v>
      </c>
      <c r="BD33" s="227">
        <f t="shared" si="19"/>
        <v>23</v>
      </c>
      <c r="BE33" s="223">
        <f t="shared" si="19"/>
        <v>60.200699999999998</v>
      </c>
      <c r="BF33" s="176">
        <f t="shared" si="19"/>
        <v>87.290999999999997</v>
      </c>
      <c r="BG33" s="176">
        <f t="shared" si="19"/>
        <v>47.930199999999999</v>
      </c>
      <c r="BH33" s="176">
        <f t="shared" si="19"/>
        <v>89.675899999999999</v>
      </c>
      <c r="BI33" s="224">
        <f t="shared" si="19"/>
        <v>142.24459999999999</v>
      </c>
      <c r="BJ33" s="223">
        <f t="shared" si="19"/>
        <v>3.4887999999999999</v>
      </c>
      <c r="BK33" s="224">
        <f t="shared" si="19"/>
        <v>129.08500000000001</v>
      </c>
      <c r="BL33" s="226"/>
      <c r="BM33" s="228">
        <f>SUM(G33:BK33)</f>
        <v>361488.90259999991</v>
      </c>
    </row>
    <row r="34" spans="1:65" s="4" customFormat="1" ht="15" customHeight="1" thickBot="1">
      <c r="A34" s="231">
        <f t="shared" si="0"/>
        <v>21</v>
      </c>
      <c r="C34" s="264" t="s">
        <v>182</v>
      </c>
      <c r="D34" s="264"/>
      <c r="E34" s="257" t="s">
        <v>40</v>
      </c>
      <c r="G34" s="69">
        <f>ROUND(G33/$BM33,6)</f>
        <v>0.11815000000000001</v>
      </c>
      <c r="H34" s="37">
        <f>ROUND(H33/$BM33,6)</f>
        <v>0.0030950000000000001</v>
      </c>
      <c r="I34" s="37">
        <f>ROUND(I33/$BM33,6)</f>
        <v>0.034743999999999997</v>
      </c>
      <c r="J34" s="37">
        <f>ROUND(J33/$BM33,6)</f>
        <v>0.017423000000000001</v>
      </c>
      <c r="K34" s="70">
        <f>ROUND(K33/$BM33,6)</f>
        <v>0.0023700000000000001</v>
      </c>
      <c r="L34" s="37"/>
      <c r="M34" s="69">
        <f>ROUND(M33/$BM33,6)</f>
        <v>0.00023699999999999999</v>
      </c>
      <c r="N34" s="37">
        <f>ROUND(N33/$BM33,6)</f>
        <v>0.00091200000000000005</v>
      </c>
      <c r="O34" s="70">
        <f>ROUND(O33/$BM33,6)</f>
        <v>0.00075299999999999998</v>
      </c>
      <c r="P34" s="37"/>
      <c r="Q34" s="69">
        <f>ROUND(Q33/$BM33,6)</f>
        <v>0.0090369999999999999</v>
      </c>
      <c r="R34" s="70">
        <f>ROUND(R33/$BM33,6)</f>
        <v>0.00020599999999999999</v>
      </c>
      <c r="S34" s="37"/>
      <c r="T34" s="69">
        <f>ROUND(T33/$BM33,6)</f>
        <v>0.0032469999999999999</v>
      </c>
      <c r="U34" s="70">
        <f>ROUND(U33/$BM33,6)</f>
        <v>0.0072199999999999999</v>
      </c>
      <c r="W34" s="69">
        <f t="shared" si="20" ref="W34:AX34">ROUND(W33/$BM33,6)</f>
        <v>0.019049</v>
      </c>
      <c r="X34" s="37">
        <f t="shared" si="20"/>
        <v>0.0042709999999999996</v>
      </c>
      <c r="Y34" s="70">
        <f t="shared" si="20"/>
        <v>1.5E-05</v>
      </c>
      <c r="Z34" s="69">
        <f t="shared" si="20"/>
        <v>0.46418900000000002</v>
      </c>
      <c r="AA34" s="37">
        <f t="shared" si="20"/>
        <v>0.028716999999999999</v>
      </c>
      <c r="AB34" s="37">
        <f t="shared" si="20"/>
        <v>0.088799000000000003</v>
      </c>
      <c r="AC34" s="37">
        <f t="shared" si="20"/>
        <v>0.104503</v>
      </c>
      <c r="AD34" s="37">
        <f t="shared" si="20"/>
        <v>0.0041770000000000002</v>
      </c>
      <c r="AE34" s="70">
        <f t="shared" si="20"/>
        <v>1.2E-05</v>
      </c>
      <c r="AF34" s="69">
        <f t="shared" si="20"/>
        <v>0.010666999999999999</v>
      </c>
      <c r="AG34" s="37">
        <f t="shared" si="20"/>
        <v>0.0062170000000000003</v>
      </c>
      <c r="AH34" s="37">
        <f t="shared" si="20"/>
        <v>0.0040730000000000002</v>
      </c>
      <c r="AI34" s="37">
        <f t="shared" si="20"/>
        <v>0.001774</v>
      </c>
      <c r="AJ34" s="70">
        <f t="shared" si="20"/>
        <v>0.00076300000000000001</v>
      </c>
      <c r="AK34" s="69">
        <f t="shared" si="20"/>
        <v>0.00021000000000000001</v>
      </c>
      <c r="AL34" s="37">
        <f t="shared" si="20"/>
        <v>0.0011130000000000001</v>
      </c>
      <c r="AM34" s="70">
        <f t="shared" si="20"/>
        <v>3.9999999999999998E-06</v>
      </c>
      <c r="AN34" s="69">
        <f t="shared" si="20"/>
        <v>0.0075420000000000001</v>
      </c>
      <c r="AO34" s="37">
        <f t="shared" si="20"/>
        <v>0.0079939999999999994</v>
      </c>
      <c r="AP34" s="37">
        <f t="shared" si="20"/>
        <v>0.022939000000000001</v>
      </c>
      <c r="AQ34" s="37">
        <f t="shared" si="20"/>
        <v>0.020097</v>
      </c>
      <c r="AR34" s="37">
        <f t="shared" si="20"/>
        <v>0.0014790000000000001</v>
      </c>
      <c r="AS34" s="70">
        <f t="shared" si="20"/>
        <v>3.9999999999999998E-06</v>
      </c>
      <c r="AT34" s="69">
        <f t="shared" si="20"/>
        <v>0</v>
      </c>
      <c r="AU34" s="37">
        <f t="shared" si="20"/>
        <v>3.1999999999999999E-05</v>
      </c>
      <c r="AV34" s="37">
        <f t="shared" si="20"/>
        <v>0</v>
      </c>
      <c r="AW34" s="37">
        <f t="shared" si="20"/>
        <v>0.00046299999999999998</v>
      </c>
      <c r="AX34" s="70">
        <f t="shared" si="20"/>
        <v>6.7999999999999999E-05</v>
      </c>
      <c r="AY34" s="37"/>
      <c r="AZ34" s="69">
        <f t="shared" si="21" ref="AZ34:BK34">ROUND(AZ33/$BM33,6)</f>
        <v>0.00016100000000000001</v>
      </c>
      <c r="BA34" s="37">
        <f t="shared" si="21"/>
        <v>0.001281</v>
      </c>
      <c r="BB34" s="37">
        <f t="shared" si="21"/>
        <v>0.00031300000000000002</v>
      </c>
      <c r="BC34" s="70">
        <f t="shared" si="21"/>
        <v>7.1000000000000005E-05</v>
      </c>
      <c r="BD34" s="71">
        <f t="shared" si="21"/>
        <v>6.3999999999999997E-05</v>
      </c>
      <c r="BE34" s="69">
        <f t="shared" si="21"/>
        <v>0.00016699999999999999</v>
      </c>
      <c r="BF34" s="37">
        <f t="shared" si="21"/>
        <v>0.000241</v>
      </c>
      <c r="BG34" s="37">
        <f t="shared" si="21"/>
        <v>0.00013300000000000001</v>
      </c>
      <c r="BH34" s="37">
        <f t="shared" si="21"/>
        <v>0.00024800000000000001</v>
      </c>
      <c r="BI34" s="70">
        <f t="shared" si="21"/>
        <v>0.00039300000000000001</v>
      </c>
      <c r="BJ34" s="69">
        <f t="shared" si="21"/>
        <v>1.0000000000000001E-05</v>
      </c>
      <c r="BK34" s="70">
        <f t="shared" si="21"/>
        <v>0.000357</v>
      </c>
      <c r="BM34" s="62">
        <f>SUM(G34:BK34)</f>
        <v>1.0000040000000001</v>
      </c>
    </row>
    <row r="35" spans="1:66" s="4" customFormat="1" ht="27.95" customHeight="1" thickBot="1">
      <c r="A35" s="231">
        <f t="shared" si="0"/>
        <v>22</v>
      </c>
      <c r="C35" s="141" t="s">
        <v>183</v>
      </c>
      <c r="D35" s="141"/>
      <c r="E35" s="269" t="s">
        <v>42</v>
      </c>
      <c r="G35" s="74">
        <f>ROUND(G34*'Revenue Req.'!$P$28,0)</f>
        <v>935433</v>
      </c>
      <c r="H35" s="38">
        <f>ROUND(H34*'Revenue Req.'!$P$28,0)</f>
        <v>24504</v>
      </c>
      <c r="I35" s="38">
        <f>ROUND(I34*'Revenue Req.'!$P$28,0)</f>
        <v>275080</v>
      </c>
      <c r="J35" s="38">
        <f>ROUND(J34*'Revenue Req.'!$P$28,0)</f>
        <v>137944</v>
      </c>
      <c r="K35" s="75">
        <f>ROUND(K34*'Revenue Req.'!$P$28,0)</f>
        <v>18764</v>
      </c>
      <c r="L35" s="38"/>
      <c r="M35" s="74">
        <f>ROUND(M34*'Revenue Req.'!$P$28,0)</f>
        <v>1876</v>
      </c>
      <c r="N35" s="38">
        <f>ROUND(N34*'Revenue Req.'!$P$28,0)</f>
        <v>7221</v>
      </c>
      <c r="O35" s="75">
        <f>ROUND(O34*'Revenue Req.'!$P$28,0)</f>
        <v>5962</v>
      </c>
      <c r="P35" s="38"/>
      <c r="Q35" s="74">
        <f>ROUND(Q34*'Revenue Req.'!$P$28,0)</f>
        <v>71549</v>
      </c>
      <c r="R35" s="75">
        <f>ROUND(R34*'Revenue Req.'!$P$28,0)</f>
        <v>1631</v>
      </c>
      <c r="S35" s="38"/>
      <c r="T35" s="74">
        <f>ROUND(T34*'Revenue Req.'!$P$28,0)</f>
        <v>25708</v>
      </c>
      <c r="U35" s="75">
        <f>ROUND(U34*'Revenue Req.'!$P$28,0)</f>
        <v>57163</v>
      </c>
      <c r="W35" s="74">
        <f>ROUND(W34*'Revenue Req.'!$P$28,0)</f>
        <v>150817</v>
      </c>
      <c r="X35" s="38">
        <f>ROUND(X34*'Revenue Req.'!$P$28,0)</f>
        <v>33815</v>
      </c>
      <c r="Y35" s="75">
        <f>ROUND(Y34*'Revenue Req.'!$P$28,0)</f>
        <v>119</v>
      </c>
      <c r="Z35" s="74">
        <f>ROUND(Z34*'Revenue Req.'!$P$28,0)</f>
        <v>3675139</v>
      </c>
      <c r="AA35" s="38">
        <f>ROUND(AA34*'Revenue Req.'!$P$28,0)</f>
        <v>227362</v>
      </c>
      <c r="AB35" s="38">
        <f>ROUND(AB34*'Revenue Req.'!$P$28,0)</f>
        <v>703051</v>
      </c>
      <c r="AC35" s="38">
        <f>ROUND(AC34*'Revenue Req.'!$P$28,0)</f>
        <v>827385</v>
      </c>
      <c r="AD35" s="38">
        <f>ROUND(AD34*'Revenue Req.'!$P$28,0)</f>
        <v>33071</v>
      </c>
      <c r="AE35" s="75">
        <f>ROUND(AE34*'Revenue Req.'!$P$28,0)</f>
        <v>95</v>
      </c>
      <c r="AF35" s="74">
        <f>ROUND(AF34*'Revenue Req.'!$P$28,0)</f>
        <v>84454</v>
      </c>
      <c r="AG35" s="38">
        <f>ROUND(AG34*'Revenue Req.'!$P$28,0)</f>
        <v>49222</v>
      </c>
      <c r="AH35" s="38">
        <f>ROUND(AH34*'Revenue Req.'!$P$28,0)</f>
        <v>32247</v>
      </c>
      <c r="AI35" s="38">
        <f>ROUND(AI34*'Revenue Req.'!$P$28,0)</f>
        <v>14045</v>
      </c>
      <c r="AJ35" s="75">
        <f>ROUND(AJ34*'Revenue Req.'!$P$28,0)</f>
        <v>6041</v>
      </c>
      <c r="AK35" s="74">
        <f>ROUND(AK34*'Revenue Req.'!$P$28,0)</f>
        <v>1663</v>
      </c>
      <c r="AL35" s="38">
        <f>ROUND(AL34*'Revenue Req.'!$P$28,0)</f>
        <v>8812</v>
      </c>
      <c r="AM35" s="75">
        <f>ROUND(AM34*'Revenue Req.'!$P$28,0)</f>
        <v>32</v>
      </c>
      <c r="AN35" s="74">
        <f>ROUND(AN34*'Revenue Req.'!$P$28,0)</f>
        <v>59713</v>
      </c>
      <c r="AO35" s="38">
        <f>ROUND(AO34*'Revenue Req.'!$P$28,0)</f>
        <v>63291</v>
      </c>
      <c r="AP35" s="38">
        <f>ROUND(AP34*'Revenue Req.'!$P$28,0)</f>
        <v>181616</v>
      </c>
      <c r="AQ35" s="38">
        <f>ROUND(AQ34*'Revenue Req.'!$P$28,0)</f>
        <v>159115</v>
      </c>
      <c r="AR35" s="38">
        <f>ROUND(AR34*'Revenue Req.'!$P$28,0)</f>
        <v>11710</v>
      </c>
      <c r="AS35" s="75">
        <f>ROUND(AS34*'Revenue Req.'!$P$28,0)</f>
        <v>32</v>
      </c>
      <c r="AT35" s="74">
        <f>ROUND(AT34*'Revenue Req.'!$P$28,0)</f>
        <v>0</v>
      </c>
      <c r="AU35" s="38">
        <f>ROUND(AU34*'Revenue Req.'!$P$28,0)</f>
        <v>253</v>
      </c>
      <c r="AV35" s="38">
        <f>ROUND(AV34*'Revenue Req.'!$P$28,0)</f>
        <v>0</v>
      </c>
      <c r="AW35" s="38">
        <f>ROUND(AW34*'Revenue Req.'!$P$28,0)</f>
        <v>3666</v>
      </c>
      <c r="AX35" s="75">
        <f>ROUND(AX34*'Revenue Req.'!$P$28,0)</f>
        <v>538</v>
      </c>
      <c r="AY35" s="38"/>
      <c r="AZ35" s="74">
        <f>ROUND(AZ34*'Revenue Req.'!$P$28,0)</f>
        <v>1275</v>
      </c>
      <c r="BA35" s="38">
        <f>ROUND(BA34*'Revenue Req.'!$P$28,0)</f>
        <v>10142</v>
      </c>
      <c r="BB35" s="38">
        <f>ROUND(BB34*'Revenue Req.'!$P$28,0)</f>
        <v>2478</v>
      </c>
      <c r="BC35" s="75">
        <f>ROUND(BC34*'Revenue Req.'!$P$28,0)</f>
        <v>562</v>
      </c>
      <c r="BD35" s="76">
        <f>ROUND(BD34*'Revenue Req.'!$P$28,0)</f>
        <v>507</v>
      </c>
      <c r="BE35" s="74">
        <f>ROUND(BE34*'Revenue Req.'!$P$28,0)</f>
        <v>1322</v>
      </c>
      <c r="BF35" s="38">
        <f>ROUND(BF34*'Revenue Req.'!$P$28,0)</f>
        <v>1908</v>
      </c>
      <c r="BG35" s="38">
        <f>ROUND(BG34*'Revenue Req.'!$P$28,0)</f>
        <v>1053</v>
      </c>
      <c r="BH35" s="38">
        <f>ROUND(BH34*'Revenue Req.'!$P$28,0)</f>
        <v>1963</v>
      </c>
      <c r="BI35" s="75">
        <f>ROUND(BI34*'Revenue Req.'!$P$28,0)</f>
        <v>3112</v>
      </c>
      <c r="BJ35" s="74">
        <f>ROUND(BJ34*'Revenue Req.'!$P$28,0)</f>
        <v>79</v>
      </c>
      <c r="BK35" s="75">
        <f>ROUND(BK34*'Revenue Req.'!$P$28,0)</f>
        <v>2826</v>
      </c>
      <c r="BM35" s="29">
        <f>SUM(G35:BK35)</f>
        <v>7917366</v>
      </c>
      <c r="BN35" s="175">
        <f>+BM35-'Revenue Req.'!P28</f>
        <v>32</v>
      </c>
    </row>
    <row r="36" spans="1:63" s="4" customFormat="1" ht="9" customHeight="1">
      <c r="A36" s="231"/>
      <c r="G36" s="23"/>
      <c r="H36" s="2"/>
      <c r="I36" s="2"/>
      <c r="J36" s="2"/>
      <c r="K36" s="24"/>
      <c r="L36" s="2"/>
      <c r="M36" s="23"/>
      <c r="N36" s="2"/>
      <c r="O36" s="24"/>
      <c r="P36" s="2"/>
      <c r="Q36" s="23"/>
      <c r="R36" s="24"/>
      <c r="S36" s="2"/>
      <c r="T36" s="23"/>
      <c r="U36" s="24"/>
      <c r="W36" s="23"/>
      <c r="X36" s="2"/>
      <c r="Y36" s="24"/>
      <c r="Z36" s="23"/>
      <c r="AA36" s="2"/>
      <c r="AB36" s="2"/>
      <c r="AC36" s="2"/>
      <c r="AD36" s="2"/>
      <c r="AE36" s="24"/>
      <c r="AF36" s="23"/>
      <c r="AG36" s="2"/>
      <c r="AH36" s="2"/>
      <c r="AI36" s="2"/>
      <c r="AJ36" s="24"/>
      <c r="AK36" s="23"/>
      <c r="AL36" s="2"/>
      <c r="AM36" s="24"/>
      <c r="AN36" s="23"/>
      <c r="AO36" s="2"/>
      <c r="AP36" s="2"/>
      <c r="AQ36" s="2"/>
      <c r="AR36" s="2"/>
      <c r="AS36" s="24"/>
      <c r="AT36" s="23"/>
      <c r="AU36" s="2"/>
      <c r="AV36" s="2"/>
      <c r="AW36" s="2"/>
      <c r="AX36" s="24"/>
      <c r="AY36" s="2"/>
      <c r="AZ36" s="23"/>
      <c r="BA36" s="2"/>
      <c r="BB36" s="2"/>
      <c r="BC36" s="24"/>
      <c r="BD36" s="49"/>
      <c r="BE36" s="23"/>
      <c r="BF36" s="2"/>
      <c r="BG36" s="2"/>
      <c r="BH36" s="2"/>
      <c r="BI36" s="24"/>
      <c r="BJ36" s="23"/>
      <c r="BK36" s="24"/>
    </row>
    <row r="37" spans="1:63" s="4" customFormat="1" ht="12.75">
      <c r="A37" s="231">
        <v>23</v>
      </c>
      <c r="B37" s="65" t="s">
        <v>50</v>
      </c>
      <c r="G37" s="23"/>
      <c r="H37" s="2"/>
      <c r="I37" s="2"/>
      <c r="J37" s="2"/>
      <c r="K37" s="24"/>
      <c r="L37" s="2"/>
      <c r="M37" s="23"/>
      <c r="N37" s="2"/>
      <c r="O37" s="24"/>
      <c r="P37" s="2"/>
      <c r="Q37" s="23"/>
      <c r="R37" s="24"/>
      <c r="S37" s="2"/>
      <c r="T37" s="23"/>
      <c r="U37" s="24"/>
      <c r="W37" s="23"/>
      <c r="X37" s="2"/>
      <c r="Y37" s="24"/>
      <c r="Z37" s="23"/>
      <c r="AA37" s="2"/>
      <c r="AB37" s="2"/>
      <c r="AC37" s="2"/>
      <c r="AD37" s="2"/>
      <c r="AE37" s="24"/>
      <c r="AF37" s="23"/>
      <c r="AG37" s="2"/>
      <c r="AH37" s="2"/>
      <c r="AI37" s="2"/>
      <c r="AJ37" s="24"/>
      <c r="AK37" s="23"/>
      <c r="AL37" s="2"/>
      <c r="AM37" s="24"/>
      <c r="AN37" s="23"/>
      <c r="AO37" s="2"/>
      <c r="AP37" s="2"/>
      <c r="AQ37" s="2"/>
      <c r="AR37" s="2"/>
      <c r="AS37" s="24"/>
      <c r="AT37" s="23"/>
      <c r="AU37" s="2"/>
      <c r="AV37" s="2"/>
      <c r="AW37" s="2"/>
      <c r="AX37" s="24"/>
      <c r="AY37" s="2"/>
      <c r="AZ37" s="23"/>
      <c r="BA37" s="2"/>
      <c r="BB37" s="2"/>
      <c r="BC37" s="24"/>
      <c r="BD37" s="49"/>
      <c r="BE37" s="23"/>
      <c r="BF37" s="2"/>
      <c r="BG37" s="2"/>
      <c r="BH37" s="2"/>
      <c r="BI37" s="24"/>
      <c r="BJ37" s="23"/>
      <c r="BK37" s="24"/>
    </row>
    <row r="38" spans="1:63" s="4" customFormat="1" ht="3" customHeight="1">
      <c r="A38" s="231"/>
      <c r="G38" s="23"/>
      <c r="H38" s="2"/>
      <c r="I38" s="2"/>
      <c r="J38" s="2"/>
      <c r="K38" s="24"/>
      <c r="L38" s="2"/>
      <c r="M38" s="23"/>
      <c r="N38" s="2"/>
      <c r="O38" s="24"/>
      <c r="P38" s="2"/>
      <c r="Q38" s="23"/>
      <c r="R38" s="24"/>
      <c r="S38" s="2"/>
      <c r="T38" s="23"/>
      <c r="U38" s="24"/>
      <c r="W38" s="23"/>
      <c r="X38" s="2"/>
      <c r="Y38" s="24"/>
      <c r="Z38" s="23"/>
      <c r="AA38" s="2"/>
      <c r="AB38" s="2"/>
      <c r="AC38" s="2"/>
      <c r="AD38" s="2"/>
      <c r="AE38" s="24"/>
      <c r="AF38" s="23"/>
      <c r="AG38" s="2"/>
      <c r="AH38" s="2"/>
      <c r="AI38" s="2"/>
      <c r="AJ38" s="24"/>
      <c r="AK38" s="23"/>
      <c r="AL38" s="2"/>
      <c r="AM38" s="24"/>
      <c r="AN38" s="23"/>
      <c r="AO38" s="2"/>
      <c r="AP38" s="2"/>
      <c r="AQ38" s="2"/>
      <c r="AR38" s="2"/>
      <c r="AS38" s="24"/>
      <c r="AT38" s="23"/>
      <c r="AU38" s="2"/>
      <c r="AV38" s="2"/>
      <c r="AW38" s="2"/>
      <c r="AX38" s="24"/>
      <c r="AY38" s="2"/>
      <c r="AZ38" s="23"/>
      <c r="BA38" s="2"/>
      <c r="BB38" s="2"/>
      <c r="BC38" s="24"/>
      <c r="BD38" s="49"/>
      <c r="BE38" s="23"/>
      <c r="BF38" s="2"/>
      <c r="BG38" s="2"/>
      <c r="BH38" s="2"/>
      <c r="BI38" s="24"/>
      <c r="BJ38" s="23"/>
      <c r="BK38" s="24"/>
    </row>
    <row r="39" spans="1:65" s="4" customFormat="1" ht="13.5" customHeight="1" thickBot="1">
      <c r="A39" s="231">
        <v>24</v>
      </c>
      <c r="C39" s="264" t="s">
        <v>184</v>
      </c>
      <c r="D39" s="264"/>
      <c r="E39" s="257" t="s">
        <v>51</v>
      </c>
      <c r="G39" s="69">
        <f>ROUND(G10/$BM10,6)</f>
        <v>0.12331</v>
      </c>
      <c r="H39" s="37">
        <f>ROUND(H10/$BM10,6)</f>
        <v>0.0032109999999999999</v>
      </c>
      <c r="I39" s="37">
        <f>ROUND(I10/$BM10,6)</f>
        <v>0.034851</v>
      </c>
      <c r="J39" s="37">
        <f>ROUND(J10/$BM10,6)</f>
        <v>0.016993999999999999</v>
      </c>
      <c r="K39" s="70">
        <f>ROUND(K10/$BM10,6)</f>
        <v>0.0022520000000000001</v>
      </c>
      <c r="L39" s="37"/>
      <c r="M39" s="69">
        <f>ROUND(M10/$BM10,6)</f>
        <v>0.000165</v>
      </c>
      <c r="N39" s="37">
        <f>ROUND(N10/$BM10,6)</f>
        <v>0.00062100000000000002</v>
      </c>
      <c r="O39" s="70">
        <f>ROUND(O10/$BM10,6)</f>
        <v>0.00050799999999999999</v>
      </c>
      <c r="P39" s="37"/>
      <c r="Q39" s="69">
        <f>ROUND(Q10/$BM10,6)</f>
        <v>0.0081099999999999992</v>
      </c>
      <c r="R39" s="70">
        <f>ROUND(R10/$BM10,6)</f>
        <v>0.000185</v>
      </c>
      <c r="S39" s="37"/>
      <c r="T39" s="69">
        <f>ROUND(T10/$BM10,6)</f>
        <v>0.001859</v>
      </c>
      <c r="U39" s="70">
        <f>ROUND(U10/$BM10,6)</f>
        <v>0.0041339999999999997</v>
      </c>
      <c r="W39" s="69">
        <f t="shared" si="22" ref="W39:AX39">ROUND(W10/$BM10,6)</f>
        <v>0.019880999999999999</v>
      </c>
      <c r="X39" s="37">
        <f t="shared" si="22"/>
        <v>0.0042849999999999997</v>
      </c>
      <c r="Y39" s="70">
        <f t="shared" si="22"/>
        <v>1.4E-05</v>
      </c>
      <c r="Z39" s="69">
        <f t="shared" si="22"/>
        <v>0.48446</v>
      </c>
      <c r="AA39" s="37">
        <f t="shared" si="22"/>
        <v>0.029791999999999999</v>
      </c>
      <c r="AB39" s="37">
        <f t="shared" si="22"/>
        <v>0.089070999999999997</v>
      </c>
      <c r="AC39" s="37">
        <f t="shared" si="22"/>
        <v>0.10193099999999999</v>
      </c>
      <c r="AD39" s="37">
        <f t="shared" si="22"/>
        <v>0.0039699999999999996</v>
      </c>
      <c r="AE39" s="70">
        <f t="shared" si="22"/>
        <v>1.2E-05</v>
      </c>
      <c r="AF39" s="69">
        <f t="shared" si="22"/>
        <v>0.011065999999999999</v>
      </c>
      <c r="AG39" s="37">
        <f t="shared" si="22"/>
        <v>0.00645</v>
      </c>
      <c r="AH39" s="37">
        <f t="shared" si="22"/>
        <v>0.003973</v>
      </c>
      <c r="AI39" s="37">
        <f t="shared" si="22"/>
        <v>0.001686</v>
      </c>
      <c r="AJ39" s="70">
        <f t="shared" si="22"/>
        <v>0.00072499999999999995</v>
      </c>
      <c r="AK39" s="69">
        <f t="shared" si="22"/>
        <v>0.00016699999999999999</v>
      </c>
      <c r="AL39" s="37">
        <f t="shared" si="22"/>
        <v>0.000785</v>
      </c>
      <c r="AM39" s="70">
        <f t="shared" si="22"/>
        <v>3.0000000000000001E-06</v>
      </c>
      <c r="AN39" s="69">
        <f t="shared" si="22"/>
        <v>0.0060169999999999998</v>
      </c>
      <c r="AO39" s="37">
        <f t="shared" si="22"/>
        <v>0.005777</v>
      </c>
      <c r="AP39" s="37">
        <f t="shared" si="22"/>
        <v>0.016191000000000001</v>
      </c>
      <c r="AQ39" s="37">
        <f t="shared" si="22"/>
        <v>0.013906999999999999</v>
      </c>
      <c r="AR39" s="37">
        <f t="shared" si="22"/>
        <v>0.001005</v>
      </c>
      <c r="AS39" s="70">
        <f t="shared" si="22"/>
        <v>3.0000000000000001E-06</v>
      </c>
      <c r="AT39" s="69">
        <f t="shared" si="22"/>
        <v>0</v>
      </c>
      <c r="AU39" s="37">
        <f t="shared" si="22"/>
        <v>2.3E-05</v>
      </c>
      <c r="AV39" s="37">
        <f t="shared" si="22"/>
        <v>0</v>
      </c>
      <c r="AW39" s="37">
        <f t="shared" si="22"/>
        <v>0.00031500000000000001</v>
      </c>
      <c r="AX39" s="70">
        <f t="shared" si="22"/>
        <v>4.6E-05</v>
      </c>
      <c r="AY39" s="37"/>
      <c r="AZ39" s="69">
        <f t="shared" si="23" ref="AZ39:BK39">ROUND(AZ10/$BM10,6)</f>
        <v>9.2E-05</v>
      </c>
      <c r="BA39" s="37">
        <f t="shared" si="23"/>
        <v>0.00073300000000000004</v>
      </c>
      <c r="BB39" s="37">
        <f t="shared" si="23"/>
        <v>0.00017899999999999999</v>
      </c>
      <c r="BC39" s="70">
        <f t="shared" si="23"/>
        <v>4.0000000000000003E-05</v>
      </c>
      <c r="BD39" s="71">
        <f t="shared" si="23"/>
        <v>6.6000000000000005E-05</v>
      </c>
      <c r="BE39" s="69">
        <f t="shared" si="23"/>
        <v>0.000115</v>
      </c>
      <c r="BF39" s="37">
        <f t="shared" si="23"/>
        <v>0.00016699999999999999</v>
      </c>
      <c r="BG39" s="37">
        <f t="shared" si="23"/>
        <v>9.0000000000000006E-05</v>
      </c>
      <c r="BH39" s="37">
        <f t="shared" si="23"/>
        <v>0.00016699999999999999</v>
      </c>
      <c r="BI39" s="70">
        <f t="shared" si="23"/>
        <v>0.00026600000000000001</v>
      </c>
      <c r="BJ39" s="69">
        <f t="shared" si="23"/>
        <v>9.0000000000000002E-06</v>
      </c>
      <c r="BK39" s="70">
        <f t="shared" si="23"/>
        <v>0.00032000000000000003</v>
      </c>
      <c r="BM39" s="62">
        <f>SUM(G39:BK39)</f>
        <v>0.99999900000000019</v>
      </c>
    </row>
    <row r="40" spans="1:66" s="4" customFormat="1" ht="30" customHeight="1" thickBot="1">
      <c r="A40" s="231">
        <f t="shared" si="0"/>
        <v>25</v>
      </c>
      <c r="C40" s="141" t="s">
        <v>186</v>
      </c>
      <c r="D40" s="141"/>
      <c r="E40" s="269" t="s">
        <v>42</v>
      </c>
      <c r="G40" s="74">
        <f>ROUND(G39*'Revenue Req.'!$L$28,0)</f>
        <v>1022659</v>
      </c>
      <c r="H40" s="38">
        <f>ROUND(H39*'Revenue Req.'!$L$28,0)</f>
        <v>26630</v>
      </c>
      <c r="I40" s="38">
        <f>ROUND(I39*'Revenue Req.'!$L$28,0)</f>
        <v>289033</v>
      </c>
      <c r="J40" s="38">
        <f>ROUND(J39*'Revenue Req.'!$L$28,0)</f>
        <v>140938</v>
      </c>
      <c r="K40" s="75">
        <f>ROUND(K39*'Revenue Req.'!$L$28,0)</f>
        <v>18677</v>
      </c>
      <c r="L40" s="38"/>
      <c r="M40" s="74">
        <f>ROUND(M39*'Revenue Req.'!$L$28,0)</f>
        <v>1368</v>
      </c>
      <c r="N40" s="38">
        <f>ROUND(N39*'Revenue Req.'!$L$28,0)</f>
        <v>5150</v>
      </c>
      <c r="O40" s="75">
        <f>ROUND(O39*'Revenue Req.'!$L$28,0)</f>
        <v>4213</v>
      </c>
      <c r="P40" s="38"/>
      <c r="Q40" s="74">
        <f>ROUND(Q39*'Revenue Req.'!$L$28,0)</f>
        <v>67259</v>
      </c>
      <c r="R40" s="75">
        <f>ROUND(R39*'Revenue Req.'!$L$28,0)</f>
        <v>1534</v>
      </c>
      <c r="S40" s="38"/>
      <c r="T40" s="74">
        <f>ROUND(T39*'Revenue Req.'!$L$28,0)</f>
        <v>15417</v>
      </c>
      <c r="U40" s="75">
        <f>ROUND(U39*'Revenue Req.'!$L$28,0)</f>
        <v>34285</v>
      </c>
      <c r="W40" s="74">
        <f>ROUND(W39*'Revenue Req.'!$L$28,0)</f>
        <v>164881</v>
      </c>
      <c r="X40" s="38">
        <f>ROUND(X39*'Revenue Req.'!$L$28,0)</f>
        <v>35537</v>
      </c>
      <c r="Y40" s="75">
        <f>ROUND(Y39*'Revenue Req.'!$L$28,0)</f>
        <v>116</v>
      </c>
      <c r="Z40" s="74">
        <f>ROUND(Z39*'Revenue Req.'!$L$28,0)</f>
        <v>4017820</v>
      </c>
      <c r="AA40" s="38">
        <f>ROUND(AA39*'Revenue Req.'!$L$28,0)</f>
        <v>247077</v>
      </c>
      <c r="AB40" s="38">
        <f>ROUND(AB39*'Revenue Req.'!$L$28,0)</f>
        <v>738701</v>
      </c>
      <c r="AC40" s="38">
        <f>ROUND(AC39*'Revenue Req.'!$L$28,0)</f>
        <v>845354</v>
      </c>
      <c r="AD40" s="38">
        <f>ROUND(AD39*'Revenue Req.'!$L$28,0)</f>
        <v>32925</v>
      </c>
      <c r="AE40" s="75">
        <f>ROUND(AE39*'Revenue Req.'!$L$28,0)</f>
        <v>100</v>
      </c>
      <c r="AF40" s="74">
        <f>ROUND(AF39*'Revenue Req.'!$L$28,0)</f>
        <v>91775</v>
      </c>
      <c r="AG40" s="38">
        <f>ROUND(AG39*'Revenue Req.'!$L$28,0)</f>
        <v>53492</v>
      </c>
      <c r="AH40" s="38">
        <f>ROUND(AH39*'Revenue Req.'!$L$28,0)</f>
        <v>32950</v>
      </c>
      <c r="AI40" s="38">
        <f>ROUND(AI39*'Revenue Req.'!$L$28,0)</f>
        <v>13983</v>
      </c>
      <c r="AJ40" s="75">
        <f>ROUND(AJ39*'Revenue Req.'!$L$28,0)</f>
        <v>6013</v>
      </c>
      <c r="AK40" s="74">
        <f>ROUND(AK39*'Revenue Req.'!$L$28,0)</f>
        <v>1385</v>
      </c>
      <c r="AL40" s="38">
        <f>ROUND(AL39*'Revenue Req.'!$L$28,0)</f>
        <v>6510</v>
      </c>
      <c r="AM40" s="75">
        <f>ROUND(AM39*'Revenue Req.'!$L$28,0)</f>
        <v>25</v>
      </c>
      <c r="AN40" s="74">
        <f>ROUND(AN39*'Revenue Req.'!$L$28,0)</f>
        <v>49901</v>
      </c>
      <c r="AO40" s="38">
        <f>ROUND(AO39*'Revenue Req.'!$L$28,0)</f>
        <v>47911</v>
      </c>
      <c r="AP40" s="38">
        <f>ROUND(AP39*'Revenue Req.'!$L$28,0)</f>
        <v>134278</v>
      </c>
      <c r="AQ40" s="38">
        <f>ROUND(AQ39*'Revenue Req.'!$L$28,0)</f>
        <v>115336</v>
      </c>
      <c r="AR40" s="38">
        <f>ROUND(AR39*'Revenue Req.'!$L$28,0)</f>
        <v>8335</v>
      </c>
      <c r="AS40" s="75">
        <f>ROUND(AS39*'Revenue Req.'!$L$28,0)</f>
        <v>25</v>
      </c>
      <c r="AT40" s="74">
        <f>ROUND(AT39*'Revenue Req.'!$L$28,0)</f>
        <v>0</v>
      </c>
      <c r="AU40" s="38">
        <f>ROUND(AU39*'Revenue Req.'!$L$28,0)</f>
        <v>191</v>
      </c>
      <c r="AV40" s="38">
        <f>ROUND(AV39*'Revenue Req.'!$L$28,0)</f>
        <v>0</v>
      </c>
      <c r="AW40" s="38">
        <f>ROUND(AW39*'Revenue Req.'!$L$28,0)</f>
        <v>2612</v>
      </c>
      <c r="AX40" s="75">
        <f>ROUND(AX39*'Revenue Req.'!$L$28,0)</f>
        <v>381</v>
      </c>
      <c r="AY40" s="38"/>
      <c r="AZ40" s="74">
        <f>ROUND(AZ39*'Revenue Req.'!$L$28,0)</f>
        <v>763</v>
      </c>
      <c r="BA40" s="38">
        <f>ROUND(BA39*'Revenue Req.'!$L$28,0)</f>
        <v>6079</v>
      </c>
      <c r="BB40" s="38">
        <f>ROUND(BB39*'Revenue Req.'!$L$28,0)</f>
        <v>1485</v>
      </c>
      <c r="BC40" s="75">
        <f>ROUND(BC39*'Revenue Req.'!$L$28,0)</f>
        <v>332</v>
      </c>
      <c r="BD40" s="76">
        <f>ROUND(BD39*'Revenue Req.'!$L$28,0)</f>
        <v>547</v>
      </c>
      <c r="BE40" s="74">
        <f>ROUND(BE39*'Revenue Req.'!$L$28,0)</f>
        <v>954</v>
      </c>
      <c r="BF40" s="38">
        <f>ROUND(BF39*'Revenue Req.'!$L$28,0)</f>
        <v>1385</v>
      </c>
      <c r="BG40" s="38">
        <f>ROUND(BG39*'Revenue Req.'!$L$28,0)</f>
        <v>746</v>
      </c>
      <c r="BH40" s="38">
        <f>ROUND(BH39*'Revenue Req.'!$L$28,0)</f>
        <v>1385</v>
      </c>
      <c r="BI40" s="75">
        <f>ROUND(BI39*'Revenue Req.'!$L$28,0)</f>
        <v>2206</v>
      </c>
      <c r="BJ40" s="74">
        <f>ROUND(BJ39*'Revenue Req.'!$L$28,0)</f>
        <v>75</v>
      </c>
      <c r="BK40" s="75">
        <f>ROUND(BK39*'Revenue Req.'!$L$28,0)</f>
        <v>2654</v>
      </c>
      <c r="BM40" s="29">
        <f>SUM(G40:BK40)</f>
        <v>8293388</v>
      </c>
      <c r="BN40" s="175">
        <f>+BM40-'Revenue Req.'!L28</f>
        <v>-11</v>
      </c>
    </row>
    <row r="41" spans="1:63" s="4" customFormat="1" ht="9" customHeight="1" thickBot="1">
      <c r="A41" s="231"/>
      <c r="G41" s="23"/>
      <c r="H41" s="2"/>
      <c r="I41" s="2"/>
      <c r="J41" s="2"/>
      <c r="K41" s="24"/>
      <c r="L41" s="2"/>
      <c r="M41" s="23"/>
      <c r="N41" s="2"/>
      <c r="O41" s="24"/>
      <c r="P41" s="2"/>
      <c r="Q41" s="23"/>
      <c r="R41" s="24"/>
      <c r="S41" s="2"/>
      <c r="T41" s="23"/>
      <c r="U41" s="24"/>
      <c r="W41" s="23"/>
      <c r="X41" s="2"/>
      <c r="Y41" s="24"/>
      <c r="Z41" s="23"/>
      <c r="AA41" s="2"/>
      <c r="AB41" s="2"/>
      <c r="AC41" s="2"/>
      <c r="AD41" s="2"/>
      <c r="AE41" s="24"/>
      <c r="AF41" s="23"/>
      <c r="AG41" s="2"/>
      <c r="AH41" s="2"/>
      <c r="AI41" s="2"/>
      <c r="AJ41" s="24"/>
      <c r="AK41" s="23"/>
      <c r="AL41" s="2"/>
      <c r="AM41" s="24"/>
      <c r="AN41" s="23"/>
      <c r="AO41" s="2"/>
      <c r="AP41" s="2"/>
      <c r="AQ41" s="2"/>
      <c r="AR41" s="2"/>
      <c r="AS41" s="24"/>
      <c r="AT41" s="23"/>
      <c r="AU41" s="2"/>
      <c r="AV41" s="2"/>
      <c r="AW41" s="2"/>
      <c r="AX41" s="24"/>
      <c r="AY41" s="2"/>
      <c r="AZ41" s="23"/>
      <c r="BA41" s="2"/>
      <c r="BB41" s="2"/>
      <c r="BC41" s="24"/>
      <c r="BD41" s="49"/>
      <c r="BE41" s="23"/>
      <c r="BF41" s="2"/>
      <c r="BG41" s="2"/>
      <c r="BH41" s="2"/>
      <c r="BI41" s="24"/>
      <c r="BJ41" s="23"/>
      <c r="BK41" s="24"/>
    </row>
    <row r="42" spans="1:65" s="4" customFormat="1" ht="13.5" customHeight="1" thickBot="1">
      <c r="A42" s="231">
        <v>26</v>
      </c>
      <c r="C42" s="65" t="s">
        <v>185</v>
      </c>
      <c r="E42" s="16" t="s">
        <v>55</v>
      </c>
      <c r="G42" s="78">
        <f t="shared" si="24" ref="G42:K42">+G40+G35+G28+G21</f>
        <v>5725341</v>
      </c>
      <c r="H42" s="79">
        <f t="shared" si="24"/>
        <v>153707</v>
      </c>
      <c r="I42" s="79">
        <f t="shared" si="24"/>
        <v>1799679</v>
      </c>
      <c r="J42" s="79">
        <f t="shared" si="24"/>
        <v>929311</v>
      </c>
      <c r="K42" s="80">
        <f t="shared" si="24"/>
        <v>131883</v>
      </c>
      <c r="L42" s="38"/>
      <c r="M42" s="78">
        <f t="shared" si="25" ref="M42:R42">+M40+M35+M28+M21</f>
        <v>14431</v>
      </c>
      <c r="N42" s="79">
        <f t="shared" si="25"/>
        <v>56427</v>
      </c>
      <c r="O42" s="80">
        <f t="shared" si="25"/>
        <v>47213</v>
      </c>
      <c r="P42" s="38"/>
      <c r="Q42" s="78">
        <f t="shared" si="25"/>
        <v>484350</v>
      </c>
      <c r="R42" s="80">
        <f t="shared" si="25"/>
        <v>11266</v>
      </c>
      <c r="S42" s="38"/>
      <c r="T42" s="78">
        <f t="shared" si="26" ref="T42:U42">+T40+T35+T28+T21</f>
        <v>211079</v>
      </c>
      <c r="U42" s="80">
        <f t="shared" si="26"/>
        <v>473317</v>
      </c>
      <c r="W42" s="78">
        <f>+W40+W35+W28+W21</f>
        <v>992584</v>
      </c>
      <c r="X42" s="79">
        <f t="shared" si="27" ref="X42:BK42">+X40+X35+X28+X21</f>
        <v>249860</v>
      </c>
      <c r="Y42" s="80">
        <f t="shared" si="27"/>
        <v>1100</v>
      </c>
      <c r="Z42" s="78">
        <f t="shared" si="27"/>
        <v>23263550</v>
      </c>
      <c r="AA42" s="79">
        <f t="shared" si="27"/>
        <v>1501952</v>
      </c>
      <c r="AB42" s="79">
        <f t="shared" si="27"/>
        <v>4797765</v>
      </c>
      <c r="AC42" s="79">
        <f t="shared" si="27"/>
        <v>5865637</v>
      </c>
      <c r="AD42" s="79">
        <f t="shared" si="27"/>
        <v>252692</v>
      </c>
      <c r="AE42" s="80">
        <f t="shared" si="27"/>
        <v>898</v>
      </c>
      <c r="AF42" s="78">
        <f t="shared" si="27"/>
        <v>554377</v>
      </c>
      <c r="AG42" s="79">
        <f t="shared" si="27"/>
        <v>323118</v>
      </c>
      <c r="AH42" s="79">
        <f t="shared" si="27"/>
        <v>228626</v>
      </c>
      <c r="AI42" s="79">
        <f t="shared" si="27"/>
        <v>107323</v>
      </c>
      <c r="AJ42" s="80">
        <f t="shared" si="27"/>
        <v>55820</v>
      </c>
      <c r="AK42" s="78">
        <f t="shared" si="27"/>
        <v>12559</v>
      </c>
      <c r="AL42" s="79">
        <f t="shared" si="27"/>
        <v>73858</v>
      </c>
      <c r="AM42" s="80">
        <f t="shared" si="27"/>
        <v>321</v>
      </c>
      <c r="AN42" s="78">
        <f t="shared" si="27"/>
        <v>440199</v>
      </c>
      <c r="AO42" s="79">
        <f t="shared" si="27"/>
        <v>497762</v>
      </c>
      <c r="AP42" s="79">
        <f t="shared" si="27"/>
        <v>1450853</v>
      </c>
      <c r="AQ42" s="79">
        <f t="shared" si="27"/>
        <v>1297394</v>
      </c>
      <c r="AR42" s="79">
        <f t="shared" si="27"/>
        <v>99861</v>
      </c>
      <c r="AS42" s="80">
        <f t="shared" si="27"/>
        <v>324</v>
      </c>
      <c r="AT42" s="78">
        <f t="shared" si="27"/>
        <v>0</v>
      </c>
      <c r="AU42" s="79">
        <f t="shared" si="27"/>
        <v>1985</v>
      </c>
      <c r="AV42" s="79">
        <f t="shared" si="27"/>
        <v>0</v>
      </c>
      <c r="AW42" s="79">
        <f t="shared" si="27"/>
        <v>31277</v>
      </c>
      <c r="AX42" s="80">
        <f t="shared" si="27"/>
        <v>5189</v>
      </c>
      <c r="AY42" s="38"/>
      <c r="AZ42" s="78">
        <f t="shared" si="27"/>
        <v>10819</v>
      </c>
      <c r="BA42" s="79">
        <f t="shared" si="27"/>
        <v>84433</v>
      </c>
      <c r="BB42" s="79">
        <f t="shared" si="27"/>
        <v>20944</v>
      </c>
      <c r="BC42" s="80">
        <f t="shared" si="27"/>
        <v>4705</v>
      </c>
      <c r="BD42" s="81">
        <f t="shared" si="27"/>
        <v>3194</v>
      </c>
      <c r="BE42" s="78">
        <f t="shared" si="27"/>
        <v>10537</v>
      </c>
      <c r="BF42" s="79">
        <f t="shared" si="27"/>
        <v>14946</v>
      </c>
      <c r="BG42" s="79">
        <f t="shared" si="27"/>
        <v>8639</v>
      </c>
      <c r="BH42" s="79">
        <f t="shared" si="27"/>
        <v>16770</v>
      </c>
      <c r="BI42" s="80">
        <f t="shared" si="27"/>
        <v>30147</v>
      </c>
      <c r="BJ42" s="78">
        <f t="shared" si="27"/>
        <v>555</v>
      </c>
      <c r="BK42" s="80">
        <f t="shared" si="27"/>
        <v>19657</v>
      </c>
      <c r="BM42" s="29">
        <f>SUM(G42:BK42)</f>
        <v>52370234</v>
      </c>
    </row>
    <row r="43" spans="1:63" s="4" customFormat="1" ht="9" customHeight="1" thickTop="1">
      <c r="A43" s="231"/>
      <c r="G43" s="23"/>
      <c r="H43" s="2"/>
      <c r="I43" s="2"/>
      <c r="J43" s="2"/>
      <c r="K43" s="24"/>
      <c r="L43" s="2"/>
      <c r="M43" s="23"/>
      <c r="N43" s="2"/>
      <c r="O43" s="24"/>
      <c r="P43" s="2"/>
      <c r="Q43" s="23"/>
      <c r="R43" s="24"/>
      <c r="S43" s="2"/>
      <c r="T43" s="23"/>
      <c r="U43" s="24"/>
      <c r="W43" s="23"/>
      <c r="X43" s="2"/>
      <c r="Y43" s="24"/>
      <c r="Z43" s="23"/>
      <c r="AA43" s="2"/>
      <c r="AB43" s="2"/>
      <c r="AC43" s="2"/>
      <c r="AD43" s="2"/>
      <c r="AE43" s="24"/>
      <c r="AF43" s="23"/>
      <c r="AG43" s="2"/>
      <c r="AH43" s="2"/>
      <c r="AI43" s="2"/>
      <c r="AJ43" s="24"/>
      <c r="AK43" s="23"/>
      <c r="AL43" s="2"/>
      <c r="AM43" s="24"/>
      <c r="AN43" s="23"/>
      <c r="AO43" s="2"/>
      <c r="AP43" s="2"/>
      <c r="AQ43" s="2"/>
      <c r="AR43" s="2"/>
      <c r="AS43" s="24"/>
      <c r="AT43" s="23"/>
      <c r="AU43" s="2"/>
      <c r="AV43" s="2"/>
      <c r="AW43" s="2"/>
      <c r="AX43" s="24"/>
      <c r="AY43" s="2"/>
      <c r="AZ43" s="23"/>
      <c r="BA43" s="2"/>
      <c r="BB43" s="2"/>
      <c r="BC43" s="24"/>
      <c r="BD43" s="49"/>
      <c r="BE43" s="23"/>
      <c r="BF43" s="2"/>
      <c r="BG43" s="2"/>
      <c r="BH43" s="2"/>
      <c r="BI43" s="24"/>
      <c r="BJ43" s="23"/>
      <c r="BK43" s="24"/>
    </row>
    <row r="44" spans="1:63" s="4" customFormat="1" ht="12.75">
      <c r="A44" s="231">
        <v>27</v>
      </c>
      <c r="B44" s="65" t="s">
        <v>52</v>
      </c>
      <c r="G44" s="23"/>
      <c r="H44" s="2"/>
      <c r="I44" s="2"/>
      <c r="J44" s="2"/>
      <c r="K44" s="24"/>
      <c r="L44" s="2"/>
      <c r="M44" s="23"/>
      <c r="N44" s="2"/>
      <c r="O44" s="24"/>
      <c r="P44" s="2"/>
      <c r="Q44" s="23"/>
      <c r="R44" s="24"/>
      <c r="S44" s="2"/>
      <c r="T44" s="23"/>
      <c r="U44" s="24"/>
      <c r="W44" s="23"/>
      <c r="X44" s="2"/>
      <c r="Y44" s="24"/>
      <c r="Z44" s="23"/>
      <c r="AA44" s="2"/>
      <c r="AB44" s="2"/>
      <c r="AC44" s="2"/>
      <c r="AD44" s="2"/>
      <c r="AE44" s="24"/>
      <c r="AF44" s="23"/>
      <c r="AG44" s="2"/>
      <c r="AH44" s="2"/>
      <c r="AI44" s="2"/>
      <c r="AJ44" s="24"/>
      <c r="AK44" s="23"/>
      <c r="AL44" s="2"/>
      <c r="AM44" s="24"/>
      <c r="AN44" s="23"/>
      <c r="AO44" s="2"/>
      <c r="AP44" s="2"/>
      <c r="AQ44" s="2"/>
      <c r="AR44" s="2"/>
      <c r="AS44" s="24"/>
      <c r="AT44" s="23"/>
      <c r="AU44" s="2"/>
      <c r="AV44" s="2"/>
      <c r="AW44" s="2"/>
      <c r="AX44" s="24"/>
      <c r="AY44" s="2"/>
      <c r="AZ44" s="23"/>
      <c r="BA44" s="2"/>
      <c r="BB44" s="2"/>
      <c r="BC44" s="24"/>
      <c r="BD44" s="49"/>
      <c r="BE44" s="23"/>
      <c r="BF44" s="2"/>
      <c r="BG44" s="2"/>
      <c r="BH44" s="2"/>
      <c r="BI44" s="24"/>
      <c r="BJ44" s="23"/>
      <c r="BK44" s="24"/>
    </row>
    <row r="45" spans="1:63" s="4" customFormat="1" ht="3" customHeight="1">
      <c r="A45" s="231"/>
      <c r="G45" s="23"/>
      <c r="H45" s="2"/>
      <c r="I45" s="2"/>
      <c r="J45" s="2"/>
      <c r="K45" s="24"/>
      <c r="L45" s="2"/>
      <c r="M45" s="23"/>
      <c r="N45" s="2"/>
      <c r="O45" s="24"/>
      <c r="P45" s="2"/>
      <c r="Q45" s="23"/>
      <c r="R45" s="24"/>
      <c r="S45" s="2"/>
      <c r="T45" s="23"/>
      <c r="U45" s="24"/>
      <c r="W45" s="23"/>
      <c r="X45" s="2"/>
      <c r="Y45" s="24"/>
      <c r="Z45" s="23"/>
      <c r="AA45" s="2"/>
      <c r="AB45" s="2"/>
      <c r="AC45" s="2"/>
      <c r="AD45" s="2"/>
      <c r="AE45" s="24"/>
      <c r="AF45" s="23"/>
      <c r="AG45" s="2"/>
      <c r="AH45" s="2"/>
      <c r="AI45" s="2"/>
      <c r="AJ45" s="24"/>
      <c r="AK45" s="23"/>
      <c r="AL45" s="2"/>
      <c r="AM45" s="24"/>
      <c r="AN45" s="23"/>
      <c r="AO45" s="2"/>
      <c r="AP45" s="2"/>
      <c r="AQ45" s="2"/>
      <c r="AR45" s="2"/>
      <c r="AS45" s="24"/>
      <c r="AT45" s="23"/>
      <c r="AU45" s="2"/>
      <c r="AV45" s="2"/>
      <c r="AW45" s="2"/>
      <c r="AX45" s="24"/>
      <c r="AY45" s="2"/>
      <c r="AZ45" s="23"/>
      <c r="BA45" s="2"/>
      <c r="BB45" s="2"/>
      <c r="BC45" s="24"/>
      <c r="BD45" s="49"/>
      <c r="BE45" s="23"/>
      <c r="BF45" s="2"/>
      <c r="BG45" s="2"/>
      <c r="BH45" s="2"/>
      <c r="BI45" s="24"/>
      <c r="BJ45" s="23"/>
      <c r="BK45" s="24"/>
    </row>
    <row r="46" spans="1:65" s="4" customFormat="1" ht="27.95" customHeight="1">
      <c r="A46" s="231">
        <v>28</v>
      </c>
      <c r="C46" s="264" t="s">
        <v>187</v>
      </c>
      <c r="D46" s="264"/>
      <c r="E46" s="257" t="s">
        <v>98</v>
      </c>
      <c r="G46" s="69">
        <f>ROUND(G42/$BM42,6)</f>
        <v>0.10932400000000001</v>
      </c>
      <c r="H46" s="37">
        <f>ROUND(H42/$BM42,6)</f>
        <v>0.0029350000000000001</v>
      </c>
      <c r="I46" s="37">
        <f>ROUND(I42/$BM42,6)</f>
        <v>0.034365</v>
      </c>
      <c r="J46" s="37">
        <f>ROUND(J42/$BM42,6)</f>
        <v>0.017745</v>
      </c>
      <c r="K46" s="70">
        <f>ROUND(K42/$BM42,6)</f>
        <v>0.0025179999999999998</v>
      </c>
      <c r="L46" s="37"/>
      <c r="M46" s="69">
        <f>ROUND(M42/$BM42,6)</f>
        <v>0.00027599999999999999</v>
      </c>
      <c r="N46" s="37">
        <f>ROUND(N42/$BM42,6)</f>
        <v>0.0010770000000000001</v>
      </c>
      <c r="O46" s="70">
        <f>ROUND(O42/$BM42,6)</f>
        <v>0.00090200000000000002</v>
      </c>
      <c r="P46" s="37"/>
      <c r="Q46" s="69">
        <f>ROUND(Q42/$BM42,6)</f>
        <v>0.0092490000000000003</v>
      </c>
      <c r="R46" s="70">
        <f>ROUND(R42/$BM42,6)</f>
        <v>0.000215</v>
      </c>
      <c r="S46" s="37"/>
      <c r="T46" s="69">
        <f>ROUND(T42/$BM42,6)</f>
        <v>0.0040309999999999999</v>
      </c>
      <c r="U46" s="70">
        <f>ROUND(U42/$BM42,6)</f>
        <v>0.0090379999999999992</v>
      </c>
      <c r="W46" s="69">
        <f t="shared" si="28" ref="W46:AX46">ROUND(W42/$BM42,6)</f>
        <v>0.018953000000000001</v>
      </c>
      <c r="X46" s="37">
        <f t="shared" si="28"/>
        <v>0.0047710000000000001</v>
      </c>
      <c r="Y46" s="70">
        <f t="shared" si="28"/>
        <v>2.0999999999999999E-05</v>
      </c>
      <c r="Z46" s="69">
        <f t="shared" si="28"/>
        <v>0.44421300000000002</v>
      </c>
      <c r="AA46" s="37">
        <f t="shared" si="28"/>
        <v>0.028679</v>
      </c>
      <c r="AB46" s="37">
        <f t="shared" si="28"/>
        <v>0.091611999999999999</v>
      </c>
      <c r="AC46" s="37">
        <f t="shared" si="28"/>
        <v>0.11200300000000001</v>
      </c>
      <c r="AD46" s="37">
        <f t="shared" si="28"/>
        <v>0.0048250000000000003</v>
      </c>
      <c r="AE46" s="70">
        <f t="shared" si="28"/>
        <v>1.7E-05</v>
      </c>
      <c r="AF46" s="69">
        <f t="shared" si="28"/>
        <v>0.010586</v>
      </c>
      <c r="AG46" s="37">
        <f t="shared" si="28"/>
        <v>0.0061700000000000001</v>
      </c>
      <c r="AH46" s="37">
        <f t="shared" si="28"/>
        <v>0.0043660000000000001</v>
      </c>
      <c r="AI46" s="37">
        <f t="shared" si="28"/>
        <v>0.002049</v>
      </c>
      <c r="AJ46" s="70">
        <f t="shared" si="28"/>
        <v>0.0010660000000000001</v>
      </c>
      <c r="AK46" s="69">
        <f t="shared" si="28"/>
        <v>0.00024000000000000001</v>
      </c>
      <c r="AL46" s="37">
        <f t="shared" si="28"/>
        <v>0.00141</v>
      </c>
      <c r="AM46" s="70">
        <f t="shared" si="28"/>
        <v>6.0000000000000002E-06</v>
      </c>
      <c r="AN46" s="69">
        <f t="shared" si="28"/>
        <v>0.0084060000000000003</v>
      </c>
      <c r="AO46" s="37">
        <f t="shared" si="28"/>
        <v>0.0095049999999999996</v>
      </c>
      <c r="AP46" s="37">
        <f t="shared" si="28"/>
        <v>0.027703999999999999</v>
      </c>
      <c r="AQ46" s="37">
        <f t="shared" si="28"/>
        <v>0.024774000000000001</v>
      </c>
      <c r="AR46" s="37">
        <f t="shared" si="28"/>
        <v>0.0019070000000000001</v>
      </c>
      <c r="AS46" s="70">
        <f t="shared" si="28"/>
        <v>6.0000000000000002E-06</v>
      </c>
      <c r="AT46" s="69">
        <f t="shared" si="28"/>
        <v>0</v>
      </c>
      <c r="AU46" s="37">
        <f t="shared" si="28"/>
        <v>3.8000000000000002E-05</v>
      </c>
      <c r="AV46" s="37">
        <f t="shared" si="28"/>
        <v>0</v>
      </c>
      <c r="AW46" s="37">
        <f t="shared" si="28"/>
        <v>0.00059699999999999998</v>
      </c>
      <c r="AX46" s="70">
        <f t="shared" si="28"/>
        <v>9.8999999999999994E-05</v>
      </c>
      <c r="AY46" s="37"/>
      <c r="AZ46" s="69">
        <f t="shared" si="29" ref="AZ46:BK46">ROUND(AZ42/$BM42,6)</f>
        <v>0.00020699999999999999</v>
      </c>
      <c r="BA46" s="37">
        <f t="shared" si="29"/>
        <v>0.0016119999999999999</v>
      </c>
      <c r="BB46" s="37">
        <f t="shared" si="29"/>
        <v>0.00040000000000000002</v>
      </c>
      <c r="BC46" s="70">
        <f t="shared" si="29"/>
        <v>9.0000000000000006E-05</v>
      </c>
      <c r="BD46" s="71">
        <f t="shared" si="29"/>
        <v>6.0999999999999999E-05</v>
      </c>
      <c r="BE46" s="69">
        <f t="shared" si="29"/>
        <v>0.00020100000000000001</v>
      </c>
      <c r="BF46" s="37">
        <f t="shared" si="29"/>
        <v>0.00028499999999999999</v>
      </c>
      <c r="BG46" s="37">
        <f t="shared" si="29"/>
        <v>0.000165</v>
      </c>
      <c r="BH46" s="37">
        <f t="shared" si="29"/>
        <v>0.00032000000000000003</v>
      </c>
      <c r="BI46" s="70">
        <f t="shared" si="29"/>
        <v>0.00057600000000000001</v>
      </c>
      <c r="BJ46" s="69">
        <f t="shared" si="29"/>
        <v>1.1E-05</v>
      </c>
      <c r="BK46" s="70">
        <f t="shared" si="29"/>
        <v>0.00037500000000000001</v>
      </c>
      <c r="BM46" s="62">
        <f>SUM(G46:BK46)</f>
        <v>1.0000009999999995</v>
      </c>
    </row>
    <row r="47" spans="1:66" s="4" customFormat="1" ht="27.95" customHeight="1">
      <c r="A47" s="231">
        <f t="shared" si="0"/>
        <v>29</v>
      </c>
      <c r="C47" s="141" t="s">
        <v>188</v>
      </c>
      <c r="D47" s="141"/>
      <c r="E47" s="269" t="s">
        <v>42</v>
      </c>
      <c r="G47" s="82">
        <f>ROUND(G46*'Revenue Req.'!$N$28,0)</f>
        <v>-361252</v>
      </c>
      <c r="H47" s="39">
        <f>ROUND(H46*'Revenue Req.'!$N$28,0)</f>
        <v>-9698</v>
      </c>
      <c r="I47" s="39">
        <f>ROUND(I46*'Revenue Req.'!$N$28,0)</f>
        <v>-113556</v>
      </c>
      <c r="J47" s="39">
        <f>ROUND(J46*'Revenue Req.'!$N$28,0)</f>
        <v>-58637</v>
      </c>
      <c r="K47" s="83">
        <f>ROUND(K46*'Revenue Req.'!$N$28,0)</f>
        <v>-8321</v>
      </c>
      <c r="L47" s="39"/>
      <c r="M47" s="82">
        <f>ROUND(M46*'Revenue Req.'!$N$28,0)</f>
        <v>-912</v>
      </c>
      <c r="N47" s="39">
        <f>ROUND(N46*'Revenue Req.'!$N$28,0)</f>
        <v>-3559</v>
      </c>
      <c r="O47" s="83">
        <f>ROUND(O46*'Revenue Req.'!$N$28,0)</f>
        <v>-2981</v>
      </c>
      <c r="P47" s="39"/>
      <c r="Q47" s="82">
        <f>ROUND(Q46*'Revenue Req.'!$N$28,0)</f>
        <v>-30563</v>
      </c>
      <c r="R47" s="83">
        <f>ROUND(R46*'Revenue Req.'!$N$28,0)</f>
        <v>-710</v>
      </c>
      <c r="S47" s="39"/>
      <c r="T47" s="82">
        <f>ROUND(T46*'Revenue Req.'!$N$28,0)</f>
        <v>-13320</v>
      </c>
      <c r="U47" s="83">
        <f>ROUND(U46*'Revenue Req.'!$N$28,0)</f>
        <v>-29865</v>
      </c>
      <c r="W47" s="82">
        <f>ROUND(W46*'Revenue Req.'!$N$28,0)</f>
        <v>-62629</v>
      </c>
      <c r="X47" s="39">
        <f>ROUND(X46*'Revenue Req.'!$N$28,0)</f>
        <v>-15765</v>
      </c>
      <c r="Y47" s="83">
        <f>ROUND(Y46*'Revenue Req.'!$N$28,0)</f>
        <v>-69</v>
      </c>
      <c r="Z47" s="82">
        <f>ROUND(Z46*'Revenue Req.'!$N$28,0)</f>
        <v>-1467863</v>
      </c>
      <c r="AA47" s="39">
        <f>ROUND(AA46*'Revenue Req.'!$N$28,0)</f>
        <v>-94767</v>
      </c>
      <c r="AB47" s="39">
        <f>ROUND(AB46*'Revenue Req.'!$N$28,0)</f>
        <v>-302724</v>
      </c>
      <c r="AC47" s="39">
        <f>ROUND(AC46*'Revenue Req.'!$N$28,0)</f>
        <v>-370104</v>
      </c>
      <c r="AD47" s="39">
        <f>ROUND(AD46*'Revenue Req.'!$N$28,0)</f>
        <v>-15944</v>
      </c>
      <c r="AE47" s="83">
        <f>ROUND(AE46*'Revenue Req.'!$N$28,0)</f>
        <v>-56</v>
      </c>
      <c r="AF47" s="82">
        <f>ROUND(AF46*'Revenue Req.'!$N$28,0)</f>
        <v>-34981</v>
      </c>
      <c r="AG47" s="39">
        <f>ROUND(AG46*'Revenue Req.'!$N$28,0)</f>
        <v>-20388</v>
      </c>
      <c r="AH47" s="39">
        <f>ROUND(AH46*'Revenue Req.'!$N$28,0)</f>
        <v>-14427</v>
      </c>
      <c r="AI47" s="39">
        <f>ROUND(AI46*'Revenue Req.'!$N$28,0)</f>
        <v>-6771</v>
      </c>
      <c r="AJ47" s="83">
        <f>ROUND(AJ46*'Revenue Req.'!$N$28,0)</f>
        <v>-3523</v>
      </c>
      <c r="AK47" s="82">
        <f>ROUND(AK46*'Revenue Req.'!$N$28,0)</f>
        <v>-793</v>
      </c>
      <c r="AL47" s="39">
        <f>ROUND(AL46*'Revenue Req.'!$N$28,0)</f>
        <v>-4659</v>
      </c>
      <c r="AM47" s="83">
        <f>ROUND(AM46*'Revenue Req.'!$N$28,0)</f>
        <v>-20</v>
      </c>
      <c r="AN47" s="82">
        <f>ROUND(AN46*'Revenue Req.'!$N$28,0)</f>
        <v>-27777</v>
      </c>
      <c r="AO47" s="39">
        <f>ROUND(AO46*'Revenue Req.'!$N$28,0)</f>
        <v>-31408</v>
      </c>
      <c r="AP47" s="39">
        <f>ROUND(AP46*'Revenue Req.'!$N$28,0)</f>
        <v>-91545</v>
      </c>
      <c r="AQ47" s="39">
        <f>ROUND(AQ46*'Revenue Req.'!$N$28,0)</f>
        <v>-81864</v>
      </c>
      <c r="AR47" s="39">
        <f>ROUND(AR46*'Revenue Req.'!$N$28,0)</f>
        <v>-6302</v>
      </c>
      <c r="AS47" s="83">
        <f>ROUND(AS46*'Revenue Req.'!$N$28,0)</f>
        <v>-20</v>
      </c>
      <c r="AT47" s="82">
        <f>ROUND(AT46*'Revenue Req.'!$N$28,0)</f>
        <v>0</v>
      </c>
      <c r="AU47" s="39">
        <f>ROUND(AU46*'Revenue Req.'!$N$28,0)</f>
        <v>-126</v>
      </c>
      <c r="AV47" s="39">
        <f>ROUND(AV46*'Revenue Req.'!$N$28,0)</f>
        <v>0</v>
      </c>
      <c r="AW47" s="39">
        <f>ROUND(AW46*'Revenue Req.'!$N$28,0)</f>
        <v>-1973</v>
      </c>
      <c r="AX47" s="83">
        <f>ROUND(AX46*'Revenue Req.'!$N$28,0)</f>
        <v>-327</v>
      </c>
      <c r="AY47" s="39"/>
      <c r="AZ47" s="82">
        <f>ROUND(AZ46*'Revenue Req.'!$N$28,0)</f>
        <v>-684</v>
      </c>
      <c r="BA47" s="39">
        <f>ROUND(BA46*'Revenue Req.'!$N$28,0)</f>
        <v>-5327</v>
      </c>
      <c r="BB47" s="39">
        <f>ROUND(BB46*'Revenue Req.'!$N$28,0)</f>
        <v>-1322</v>
      </c>
      <c r="BC47" s="83">
        <f>ROUND(BC46*'Revenue Req.'!$N$28,0)</f>
        <v>-297</v>
      </c>
      <c r="BD47" s="84">
        <f>ROUND(BD46*'Revenue Req.'!$N$28,0)</f>
        <v>-202</v>
      </c>
      <c r="BE47" s="82">
        <f>ROUND(BE46*'Revenue Req.'!$N$28,0)</f>
        <v>-664</v>
      </c>
      <c r="BF47" s="39">
        <f>ROUND(BF46*'Revenue Req.'!$N$28,0)</f>
        <v>-942</v>
      </c>
      <c r="BG47" s="39">
        <f>ROUND(BG46*'Revenue Req.'!$N$28,0)</f>
        <v>-545</v>
      </c>
      <c r="BH47" s="39">
        <f>ROUND(BH46*'Revenue Req.'!$N$28,0)</f>
        <v>-1057</v>
      </c>
      <c r="BI47" s="83">
        <f>ROUND(BI46*'Revenue Req.'!$N$28,0)</f>
        <v>-1903</v>
      </c>
      <c r="BJ47" s="82">
        <f>ROUND(BJ46*'Revenue Req.'!$N$28,0)</f>
        <v>-36</v>
      </c>
      <c r="BK47" s="83">
        <f>ROUND(BK46*'Revenue Req.'!$N$28,0)</f>
        <v>-1239</v>
      </c>
      <c r="BM47" s="85">
        <f>SUM(G47:BK47)</f>
        <v>-3304417</v>
      </c>
      <c r="BN47" s="148">
        <f>+BM47-'Revenue Req.'!N28</f>
        <v>-5</v>
      </c>
    </row>
    <row r="48" spans="1:65" s="4" customFormat="1" ht="9" customHeight="1" thickBot="1">
      <c r="A48" s="231"/>
      <c r="C48" s="72"/>
      <c r="D48" s="72"/>
      <c r="E48" s="73"/>
      <c r="G48" s="82"/>
      <c r="H48" s="39"/>
      <c r="I48" s="39"/>
      <c r="J48" s="39"/>
      <c r="K48" s="83"/>
      <c r="L48" s="39"/>
      <c r="M48" s="82"/>
      <c r="N48" s="39"/>
      <c r="O48" s="83"/>
      <c r="P48" s="39"/>
      <c r="Q48" s="82"/>
      <c r="R48" s="83"/>
      <c r="S48" s="39"/>
      <c r="T48" s="82"/>
      <c r="U48" s="83"/>
      <c r="W48" s="82"/>
      <c r="X48" s="39"/>
      <c r="Y48" s="83"/>
      <c r="Z48" s="82"/>
      <c r="AA48" s="39"/>
      <c r="AB48" s="39"/>
      <c r="AC48" s="39"/>
      <c r="AD48" s="39"/>
      <c r="AE48" s="83"/>
      <c r="AF48" s="82"/>
      <c r="AG48" s="39"/>
      <c r="AH48" s="39"/>
      <c r="AI48" s="39"/>
      <c r="AJ48" s="83"/>
      <c r="AK48" s="82"/>
      <c r="AL48" s="39"/>
      <c r="AM48" s="83"/>
      <c r="AN48" s="82"/>
      <c r="AO48" s="39"/>
      <c r="AP48" s="39"/>
      <c r="AQ48" s="39"/>
      <c r="AR48" s="39"/>
      <c r="AS48" s="83"/>
      <c r="AT48" s="82"/>
      <c r="AU48" s="39"/>
      <c r="AV48" s="39"/>
      <c r="AW48" s="39"/>
      <c r="AX48" s="83"/>
      <c r="AY48" s="39"/>
      <c r="AZ48" s="82"/>
      <c r="BA48" s="39"/>
      <c r="BB48" s="39"/>
      <c r="BC48" s="83"/>
      <c r="BD48" s="84"/>
      <c r="BE48" s="82"/>
      <c r="BF48" s="39"/>
      <c r="BG48" s="39"/>
      <c r="BH48" s="39"/>
      <c r="BI48" s="83"/>
      <c r="BJ48" s="82"/>
      <c r="BK48" s="83"/>
      <c r="BM48" s="13"/>
    </row>
    <row r="49" spans="1:66" s="4" customFormat="1" ht="13.5" customHeight="1" thickBot="1">
      <c r="A49" s="231">
        <v>30</v>
      </c>
      <c r="C49" s="143" t="s">
        <v>92</v>
      </c>
      <c r="D49" s="72"/>
      <c r="E49" s="16" t="s">
        <v>56</v>
      </c>
      <c r="G49" s="78">
        <f t="shared" si="30" ref="G49:K49">+G47+G42</f>
        <v>5364089</v>
      </c>
      <c r="H49" s="79">
        <f t="shared" si="30"/>
        <v>144009</v>
      </c>
      <c r="I49" s="79">
        <f t="shared" si="30"/>
        <v>1686123</v>
      </c>
      <c r="J49" s="79">
        <f t="shared" si="30"/>
        <v>870674</v>
      </c>
      <c r="K49" s="80">
        <f t="shared" si="30"/>
        <v>123562</v>
      </c>
      <c r="L49" s="38"/>
      <c r="M49" s="78">
        <f t="shared" si="31" ref="M49:R49">+M47+M42</f>
        <v>13519</v>
      </c>
      <c r="N49" s="79">
        <f t="shared" si="31"/>
        <v>52868</v>
      </c>
      <c r="O49" s="80">
        <f t="shared" si="31"/>
        <v>44232</v>
      </c>
      <c r="P49" s="38"/>
      <c r="Q49" s="78">
        <f t="shared" si="31"/>
        <v>453787</v>
      </c>
      <c r="R49" s="80">
        <f t="shared" si="31"/>
        <v>10556</v>
      </c>
      <c r="S49" s="38"/>
      <c r="T49" s="78">
        <f t="shared" si="32" ref="T49:U49">+T47+T42</f>
        <v>197759</v>
      </c>
      <c r="U49" s="80">
        <f t="shared" si="32"/>
        <v>443452</v>
      </c>
      <c r="W49" s="78">
        <f>+W47+W42</f>
        <v>929955</v>
      </c>
      <c r="X49" s="79">
        <f t="shared" si="33" ref="X49:BK49">+X47+X42</f>
        <v>234095</v>
      </c>
      <c r="Y49" s="80">
        <f t="shared" si="33"/>
        <v>1031</v>
      </c>
      <c r="Z49" s="78">
        <f t="shared" si="33"/>
        <v>21795687</v>
      </c>
      <c r="AA49" s="79">
        <f t="shared" si="33"/>
        <v>1407185</v>
      </c>
      <c r="AB49" s="79">
        <f t="shared" si="33"/>
        <v>4495041</v>
      </c>
      <c r="AC49" s="79">
        <f t="shared" si="33"/>
        <v>5495533</v>
      </c>
      <c r="AD49" s="79">
        <f t="shared" si="33"/>
        <v>236748</v>
      </c>
      <c r="AE49" s="80">
        <f t="shared" si="33"/>
        <v>842</v>
      </c>
      <c r="AF49" s="78">
        <f t="shared" si="33"/>
        <v>519396</v>
      </c>
      <c r="AG49" s="79">
        <f t="shared" si="33"/>
        <v>302730</v>
      </c>
      <c r="AH49" s="79">
        <f t="shared" si="33"/>
        <v>214199</v>
      </c>
      <c r="AI49" s="79">
        <f t="shared" si="33"/>
        <v>100552</v>
      </c>
      <c r="AJ49" s="80">
        <f t="shared" si="33"/>
        <v>52297</v>
      </c>
      <c r="AK49" s="78">
        <f t="shared" si="33"/>
        <v>11766</v>
      </c>
      <c r="AL49" s="79">
        <f t="shared" si="33"/>
        <v>69199</v>
      </c>
      <c r="AM49" s="80">
        <f t="shared" si="33"/>
        <v>301</v>
      </c>
      <c r="AN49" s="78">
        <f t="shared" si="33"/>
        <v>412422</v>
      </c>
      <c r="AO49" s="79">
        <f t="shared" si="33"/>
        <v>466354</v>
      </c>
      <c r="AP49" s="79">
        <f t="shared" si="33"/>
        <v>1359308</v>
      </c>
      <c r="AQ49" s="79">
        <f t="shared" si="33"/>
        <v>1215530</v>
      </c>
      <c r="AR49" s="79">
        <f t="shared" si="33"/>
        <v>93559</v>
      </c>
      <c r="AS49" s="80">
        <f t="shared" si="33"/>
        <v>304</v>
      </c>
      <c r="AT49" s="78">
        <f t="shared" si="33"/>
        <v>0</v>
      </c>
      <c r="AU49" s="79">
        <f t="shared" si="33"/>
        <v>1859</v>
      </c>
      <c r="AV49" s="79">
        <f t="shared" si="33"/>
        <v>0</v>
      </c>
      <c r="AW49" s="79">
        <f t="shared" si="33"/>
        <v>29304</v>
      </c>
      <c r="AX49" s="80">
        <f t="shared" si="33"/>
        <v>4862</v>
      </c>
      <c r="AY49" s="38"/>
      <c r="AZ49" s="78">
        <f t="shared" si="33"/>
        <v>10135</v>
      </c>
      <c r="BA49" s="79">
        <f t="shared" si="33"/>
        <v>79106</v>
      </c>
      <c r="BB49" s="79">
        <f t="shared" si="33"/>
        <v>19622</v>
      </c>
      <c r="BC49" s="80">
        <f t="shared" si="33"/>
        <v>4408</v>
      </c>
      <c r="BD49" s="81">
        <f t="shared" si="33"/>
        <v>2992</v>
      </c>
      <c r="BE49" s="78">
        <f t="shared" si="33"/>
        <v>9873</v>
      </c>
      <c r="BF49" s="79">
        <f t="shared" si="33"/>
        <v>14004</v>
      </c>
      <c r="BG49" s="79">
        <f t="shared" si="33"/>
        <v>8094</v>
      </c>
      <c r="BH49" s="79">
        <f t="shared" si="33"/>
        <v>15713</v>
      </c>
      <c r="BI49" s="80">
        <f t="shared" si="33"/>
        <v>28244</v>
      </c>
      <c r="BJ49" s="78">
        <f t="shared" si="33"/>
        <v>519</v>
      </c>
      <c r="BK49" s="80">
        <f t="shared" si="33"/>
        <v>18418</v>
      </c>
      <c r="BM49" s="29">
        <f>SUM(G49:BK49)</f>
        <v>49065817</v>
      </c>
      <c r="BN49" s="175">
        <f>+BM49-'Revenue Req.'!J44</f>
        <v>37.609873414039612</v>
      </c>
    </row>
    <row r="50" spans="1:65" s="4" customFormat="1" ht="9" customHeight="1" thickTop="1">
      <c r="A50" s="231"/>
      <c r="C50" s="141"/>
      <c r="D50" s="72"/>
      <c r="E50" s="73"/>
      <c r="G50" s="82"/>
      <c r="H50" s="39"/>
      <c r="I50" s="39"/>
      <c r="J50" s="39"/>
      <c r="K50" s="83"/>
      <c r="L50" s="39"/>
      <c r="M50" s="82"/>
      <c r="N50" s="39"/>
      <c r="O50" s="83"/>
      <c r="P50" s="39"/>
      <c r="Q50" s="82"/>
      <c r="R50" s="83"/>
      <c r="S50" s="39"/>
      <c r="T50" s="82"/>
      <c r="U50" s="83"/>
      <c r="W50" s="82"/>
      <c r="X50" s="39"/>
      <c r="Y50" s="83"/>
      <c r="Z50" s="82"/>
      <c r="AA50" s="39"/>
      <c r="AB50" s="39"/>
      <c r="AC50" s="39"/>
      <c r="AD50" s="39"/>
      <c r="AE50" s="83"/>
      <c r="AF50" s="82"/>
      <c r="AG50" s="39"/>
      <c r="AH50" s="39"/>
      <c r="AI50" s="39"/>
      <c r="AJ50" s="83"/>
      <c r="AK50" s="82"/>
      <c r="AL50" s="39"/>
      <c r="AM50" s="83"/>
      <c r="AN50" s="82"/>
      <c r="AO50" s="39"/>
      <c r="AP50" s="39"/>
      <c r="AQ50" s="39"/>
      <c r="AR50" s="39"/>
      <c r="AS50" s="83"/>
      <c r="AT50" s="82"/>
      <c r="AU50" s="39"/>
      <c r="AV50" s="39"/>
      <c r="AW50" s="39"/>
      <c r="AX50" s="83"/>
      <c r="AY50" s="39"/>
      <c r="AZ50" s="82"/>
      <c r="BA50" s="39"/>
      <c r="BB50" s="39"/>
      <c r="BC50" s="83"/>
      <c r="BD50" s="84"/>
      <c r="BE50" s="82"/>
      <c r="BF50" s="39"/>
      <c r="BG50" s="39"/>
      <c r="BH50" s="39"/>
      <c r="BI50" s="83"/>
      <c r="BJ50" s="82"/>
      <c r="BK50" s="83"/>
      <c r="BM50" s="13"/>
    </row>
    <row r="51" spans="1:65" s="4" customFormat="1" ht="13.5" customHeight="1" thickBot="1">
      <c r="A51" s="231">
        <v>31</v>
      </c>
      <c r="C51" s="143" t="s">
        <v>93</v>
      </c>
      <c r="D51" s="72"/>
      <c r="E51" s="16" t="s">
        <v>53</v>
      </c>
      <c r="G51" s="214">
        <f t="shared" si="34" ref="G51:BD51">ROUND(G49/G10/12,2)</f>
        <v>10.470000000000001</v>
      </c>
      <c r="H51" s="215">
        <f t="shared" si="34"/>
        <v>10.789999999999999</v>
      </c>
      <c r="I51" s="215">
        <f t="shared" si="34"/>
        <v>11.640000000000001</v>
      </c>
      <c r="J51" s="215">
        <f t="shared" si="34"/>
        <v>12.33</v>
      </c>
      <c r="K51" s="216">
        <f t="shared" si="34"/>
        <v>13.199999999999999</v>
      </c>
      <c r="L51" s="86" t="e">
        <f t="shared" si="34"/>
        <v>#DIV/0!</v>
      </c>
      <c r="M51" s="214">
        <f>ROUND(M49/M10/12,2)+0.3</f>
        <v>20.060000000000002</v>
      </c>
      <c r="N51" s="215">
        <f>ROUND(N49/N10/12,2)+0.35</f>
        <v>20.84</v>
      </c>
      <c r="O51" s="216">
        <f>ROUND(O49/O10/12,2)+0.5</f>
        <v>21.440000000000001</v>
      </c>
      <c r="P51" s="217" t="e">
        <f t="shared" si="34"/>
        <v>#DIV/0!</v>
      </c>
      <c r="Q51" s="214">
        <f t="shared" si="34"/>
        <v>13.460000000000001</v>
      </c>
      <c r="R51" s="216">
        <f t="shared" si="34"/>
        <v>13.74</v>
      </c>
      <c r="S51" s="217"/>
      <c r="T51" s="214">
        <f t="shared" si="34"/>
        <v>25.59</v>
      </c>
      <c r="U51" s="216">
        <f t="shared" si="34"/>
        <v>25.809999999999999</v>
      </c>
      <c r="V51" s="217"/>
      <c r="W51" s="214">
        <f t="shared" si="34"/>
        <v>11.25</v>
      </c>
      <c r="X51" s="215">
        <f t="shared" si="34"/>
        <v>13.15</v>
      </c>
      <c r="Y51" s="216">
        <f t="shared" si="34"/>
        <v>17.18</v>
      </c>
      <c r="Z51" s="214">
        <f t="shared" si="34"/>
        <v>10.82</v>
      </c>
      <c r="AA51" s="215">
        <f t="shared" si="34"/>
        <v>11.359999999999999</v>
      </c>
      <c r="AB51" s="215">
        <f t="shared" si="34"/>
        <v>12.140000000000001</v>
      </c>
      <c r="AC51" s="215">
        <f t="shared" si="34"/>
        <v>12.970000000000001</v>
      </c>
      <c r="AD51" s="215">
        <f t="shared" si="34"/>
        <v>14.35</v>
      </c>
      <c r="AE51" s="216">
        <f t="shared" si="34"/>
        <v>17.539999999999999</v>
      </c>
      <c r="AF51" s="214">
        <f>ROUND(AF49/AF10/12,2)+0.42</f>
        <v>11.709999999999999</v>
      </c>
      <c r="AG51" s="215">
        <f>ROUND(AG49/AG10/12,2)+0.42</f>
        <v>11.709999999999999</v>
      </c>
      <c r="AH51" s="215">
        <f>ROUND(AH49/AH10/12,2)+0.37</f>
        <v>13.34</v>
      </c>
      <c r="AI51" s="215">
        <f t="shared" si="34"/>
        <v>14.35</v>
      </c>
      <c r="AJ51" s="216">
        <f t="shared" si="34"/>
        <v>17.359999999999999</v>
      </c>
      <c r="AK51" s="214">
        <f t="shared" si="34"/>
        <v>16.91</v>
      </c>
      <c r="AL51" s="215">
        <f t="shared" si="34"/>
        <v>21.199999999999999</v>
      </c>
      <c r="AM51" s="216">
        <f t="shared" si="34"/>
        <v>25.079999999999998</v>
      </c>
      <c r="AN51" s="214">
        <f t="shared" si="34"/>
        <v>16.489999999999998</v>
      </c>
      <c r="AO51" s="215">
        <f t="shared" si="34"/>
        <v>19.420000000000002</v>
      </c>
      <c r="AP51" s="215">
        <f t="shared" si="34"/>
        <v>20.199999999999999</v>
      </c>
      <c r="AQ51" s="215">
        <f t="shared" si="34"/>
        <v>21.030000000000001</v>
      </c>
      <c r="AR51" s="215">
        <f t="shared" si="34"/>
        <v>22.399999999999999</v>
      </c>
      <c r="AS51" s="216">
        <f t="shared" si="34"/>
        <v>25.329999999999998</v>
      </c>
      <c r="AT51" s="218" t="str">
        <f>IF(AT10=0,"N/A",ROUND(AT49/AT10/12,2))</f>
        <v>N/A</v>
      </c>
      <c r="AU51" s="215">
        <f t="shared" si="34"/>
        <v>19.359999999999999</v>
      </c>
      <c r="AV51" s="219" t="str">
        <f>IF(AV10=0,"N/A",ROUND(AV49/AV10/12,2))</f>
        <v>N/A</v>
      </c>
      <c r="AW51" s="215">
        <f t="shared" si="34"/>
        <v>22.399999999999999</v>
      </c>
      <c r="AX51" s="216">
        <f t="shared" si="34"/>
        <v>25.32</v>
      </c>
      <c r="AY51" s="215"/>
      <c r="AZ51" s="214">
        <f>ROUND(AZ49/AZ10/12,2)-12</f>
        <v>14.390000000000001</v>
      </c>
      <c r="BA51" s="215">
        <f>ROUND(BA49/BA10/12,2)-12</f>
        <v>13.949999999999999</v>
      </c>
      <c r="BB51" s="215">
        <f>ROUND(BB49/BB10/12,2)-12</f>
        <v>14.370000000000001</v>
      </c>
      <c r="BC51" s="216">
        <f>ROUND(BC49/BC10/12,2)-9</f>
        <v>17.239999999999998</v>
      </c>
      <c r="BD51" s="220">
        <f t="shared" si="34"/>
        <v>10.84</v>
      </c>
      <c r="BE51" s="214">
        <f>ROUND(BE49/BE10/12,2)+4</f>
        <v>24.57</v>
      </c>
      <c r="BF51" s="215">
        <f>ROUND(BF49/BF10/12,2)+4</f>
        <v>24.120000000000001</v>
      </c>
      <c r="BG51" s="215">
        <f>ROUND(BG49/BG10/12,2)+2</f>
        <v>23.760000000000002</v>
      </c>
      <c r="BH51" s="215">
        <f>ROUND(BH49/BH10/12,2)+11</f>
        <v>33.579999999999998</v>
      </c>
      <c r="BI51" s="216">
        <f>ROUND(BI49/BI10/12,2)+11</f>
        <v>36.579999999999998</v>
      </c>
      <c r="BJ51" s="214">
        <f>ROUND(BJ49/BJ10/12,2)-2</f>
        <v>12.42</v>
      </c>
      <c r="BK51" s="216">
        <f>ROUND(BK49/BK10/12,2)-2</f>
        <v>11.83</v>
      </c>
      <c r="BM51" s="13"/>
    </row>
    <row r="52" spans="1:65" s="4" customFormat="1" ht="13.5" customHeight="1" thickTop="1">
      <c r="A52" s="231"/>
      <c r="C52" s="143"/>
      <c r="D52" s="72"/>
      <c r="E52" s="16"/>
      <c r="G52" s="87"/>
      <c r="H52" s="40"/>
      <c r="I52" s="40"/>
      <c r="J52" s="40"/>
      <c r="K52" s="88"/>
      <c r="L52" s="40"/>
      <c r="M52" s="87"/>
      <c r="N52" s="40"/>
      <c r="O52" s="88"/>
      <c r="P52" s="40"/>
      <c r="Q52" s="87"/>
      <c r="R52" s="88"/>
      <c r="S52" s="40"/>
      <c r="T52" s="87"/>
      <c r="U52" s="88"/>
      <c r="W52" s="87"/>
      <c r="X52" s="40"/>
      <c r="Y52" s="88"/>
      <c r="Z52" s="87"/>
      <c r="AA52" s="40"/>
      <c r="AB52" s="40"/>
      <c r="AC52" s="40"/>
      <c r="AD52" s="40"/>
      <c r="AE52" s="88"/>
      <c r="AF52" s="87"/>
      <c r="AG52" s="40"/>
      <c r="AH52" s="40"/>
      <c r="AI52" s="40"/>
      <c r="AJ52" s="88"/>
      <c r="AK52" s="87"/>
      <c r="AL52" s="40"/>
      <c r="AM52" s="88"/>
      <c r="AN52" s="87"/>
      <c r="AO52" s="40"/>
      <c r="AP52" s="40"/>
      <c r="AQ52" s="40"/>
      <c r="AR52" s="40"/>
      <c r="AS52" s="88"/>
      <c r="AT52" s="87"/>
      <c r="AU52" s="40"/>
      <c r="AV52" s="40"/>
      <c r="AW52" s="40"/>
      <c r="AX52" s="88"/>
      <c r="AY52" s="40"/>
      <c r="AZ52" s="87"/>
      <c r="BA52" s="40"/>
      <c r="BB52" s="40"/>
      <c r="BC52" s="88"/>
      <c r="BD52" s="89"/>
      <c r="BE52" s="87"/>
      <c r="BF52" s="40"/>
      <c r="BG52" s="40"/>
      <c r="BH52" s="40"/>
      <c r="BI52" s="88"/>
      <c r="BJ52" s="87"/>
      <c r="BK52" s="88"/>
      <c r="BM52" s="13"/>
    </row>
    <row r="53" spans="1:77" s="31" customFormat="1" ht="12.75">
      <c r="A53" s="231">
        <v>32</v>
      </c>
      <c r="C53" s="140" t="s">
        <v>24</v>
      </c>
      <c r="D53" s="141"/>
      <c r="E53" s="16" t="s">
        <v>54</v>
      </c>
      <c r="G53" s="160">
        <v>11.52</v>
      </c>
      <c r="H53" s="161">
        <v>11.91</v>
      </c>
      <c r="I53" s="161">
        <v>12.710000000000001</v>
      </c>
      <c r="J53" s="161">
        <v>13.300000000000001</v>
      </c>
      <c r="K53" s="162">
        <v>15.4</v>
      </c>
      <c r="L53" s="161"/>
      <c r="M53" s="160">
        <v>25.140000000000001</v>
      </c>
      <c r="N53" s="161">
        <v>25.989999999999998</v>
      </c>
      <c r="O53" s="162">
        <v>27.280000000000001</v>
      </c>
      <c r="P53" s="161"/>
      <c r="Q53" s="160">
        <v>13.92</v>
      </c>
      <c r="R53" s="162">
        <v>14.300000000000001</v>
      </c>
      <c r="S53" s="161"/>
      <c r="T53" s="160">
        <v>28.59</v>
      </c>
      <c r="U53" s="162">
        <v>29.760000000000002</v>
      </c>
      <c r="W53" s="163">
        <v>10.65</v>
      </c>
      <c r="X53" s="161">
        <v>11.859999999999999</v>
      </c>
      <c r="Y53" s="162">
        <v>15</v>
      </c>
      <c r="Z53" s="160">
        <v>10.310000000000001</v>
      </c>
      <c r="AA53" s="161">
        <v>10.859999999999999</v>
      </c>
      <c r="AB53" s="161">
        <v>10.99</v>
      </c>
      <c r="AC53" s="161">
        <v>11.210000000000001</v>
      </c>
      <c r="AD53" s="161">
        <v>12.6</v>
      </c>
      <c r="AE53" s="162">
        <v>14.779999999999999</v>
      </c>
      <c r="AF53" s="160">
        <v>12.42</v>
      </c>
      <c r="AG53" s="161">
        <f>+AF53</f>
        <v>12.42</v>
      </c>
      <c r="AH53" s="161">
        <v>14.15</v>
      </c>
      <c r="AI53" s="161">
        <v>14.6</v>
      </c>
      <c r="AJ53" s="162">
        <v>17.859999999999999</v>
      </c>
      <c r="AK53" s="160">
        <v>14.880000000000001</v>
      </c>
      <c r="AL53" s="161">
        <v>19.699999999999999</v>
      </c>
      <c r="AM53" s="162">
        <v>23.73</v>
      </c>
      <c r="AN53" s="160">
        <v>14.84</v>
      </c>
      <c r="AO53" s="161">
        <v>16.699999999999999</v>
      </c>
      <c r="AP53" s="161">
        <v>19.390000000000001</v>
      </c>
      <c r="AQ53" s="161">
        <v>19.629999999999999</v>
      </c>
      <c r="AR53" s="161">
        <v>22.25</v>
      </c>
      <c r="AS53" s="162">
        <v>23.719999999999999</v>
      </c>
      <c r="AT53" s="160">
        <f>+AU53</f>
        <v>19.329999999999998</v>
      </c>
      <c r="AU53" s="161">
        <v>19.329999999999998</v>
      </c>
      <c r="AV53" s="161">
        <v>22.539999999999999</v>
      </c>
      <c r="AW53" s="161">
        <v>22.539999999999999</v>
      </c>
      <c r="AX53" s="162">
        <v>25.77</v>
      </c>
      <c r="AY53" s="161"/>
      <c r="AZ53" s="160">
        <v>10.640000000000001</v>
      </c>
      <c r="BA53" s="161">
        <v>10.310000000000001</v>
      </c>
      <c r="BB53" s="161">
        <v>10.859999999999999</v>
      </c>
      <c r="BC53" s="162">
        <v>12.470000000000001</v>
      </c>
      <c r="BD53" s="164">
        <v>10.310000000000001</v>
      </c>
      <c r="BE53" s="160">
        <v>26.530000000000001</v>
      </c>
      <c r="BF53" s="161">
        <v>25.969999999999999</v>
      </c>
      <c r="BG53" s="161">
        <f>BF53</f>
        <v>25.969999999999999</v>
      </c>
      <c r="BH53" s="161">
        <v>36.189999999999998</v>
      </c>
      <c r="BI53" s="162">
        <v>40.18</v>
      </c>
      <c r="BJ53" s="160">
        <v>10.23</v>
      </c>
      <c r="BK53" s="162">
        <v>9.8699999999999992</v>
      </c>
      <c r="BL53" s="142"/>
      <c r="BN53" s="142">
        <f>SUM(G53:BK53)</f>
        <v>923.40999999999985</v>
      </c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</row>
    <row r="54" spans="1:65" s="4" customFormat="1" ht="4.5" customHeight="1">
      <c r="A54" s="231"/>
      <c r="C54" s="140"/>
      <c r="D54" s="72"/>
      <c r="E54" s="16"/>
      <c r="G54" s="87"/>
      <c r="H54" s="40"/>
      <c r="I54" s="40"/>
      <c r="J54" s="40"/>
      <c r="K54" s="88"/>
      <c r="L54" s="40"/>
      <c r="M54" s="87"/>
      <c r="N54" s="40"/>
      <c r="O54" s="88"/>
      <c r="P54" s="40"/>
      <c r="Q54" s="87"/>
      <c r="R54" s="88"/>
      <c r="S54" s="40"/>
      <c r="T54" s="87"/>
      <c r="U54" s="88"/>
      <c r="W54" s="87"/>
      <c r="X54" s="40"/>
      <c r="Y54" s="88"/>
      <c r="Z54" s="87"/>
      <c r="AA54" s="40"/>
      <c r="AB54" s="40"/>
      <c r="AC54" s="40"/>
      <c r="AD54" s="40"/>
      <c r="AE54" s="88"/>
      <c r="AF54" s="87"/>
      <c r="AG54" s="40"/>
      <c r="AH54" s="40"/>
      <c r="AI54" s="40"/>
      <c r="AJ54" s="88"/>
      <c r="AK54" s="87"/>
      <c r="AL54" s="40"/>
      <c r="AM54" s="88"/>
      <c r="AN54" s="87"/>
      <c r="AO54" s="40"/>
      <c r="AP54" s="40"/>
      <c r="AQ54" s="40"/>
      <c r="AR54" s="40"/>
      <c r="AS54" s="88"/>
      <c r="AT54" s="87"/>
      <c r="AU54" s="40"/>
      <c r="AV54" s="40"/>
      <c r="AW54" s="40"/>
      <c r="AX54" s="88"/>
      <c r="AY54" s="40"/>
      <c r="AZ54" s="87"/>
      <c r="BA54" s="40"/>
      <c r="BB54" s="40"/>
      <c r="BC54" s="88"/>
      <c r="BD54" s="89"/>
      <c r="BE54" s="87"/>
      <c r="BF54" s="40"/>
      <c r="BG54" s="40"/>
      <c r="BH54" s="40"/>
      <c r="BI54" s="88"/>
      <c r="BJ54" s="87"/>
      <c r="BK54" s="88"/>
      <c r="BM54" s="13"/>
    </row>
    <row r="55" spans="1:76" s="4" customFormat="1" ht="18" customHeight="1">
      <c r="A55" s="231">
        <v>33</v>
      </c>
      <c r="C55" s="143" t="s">
        <v>94</v>
      </c>
      <c r="D55" s="72"/>
      <c r="E55" s="16" t="s">
        <v>169</v>
      </c>
      <c r="G55" s="90">
        <f t="shared" si="35" ref="G55:K55">ROUND(G51/G53-1,4)</f>
        <v>-0.0911</v>
      </c>
      <c r="H55" s="41">
        <f t="shared" si="35"/>
        <v>-0.094</v>
      </c>
      <c r="I55" s="41">
        <f t="shared" si="35"/>
        <v>-0.084199999999999997</v>
      </c>
      <c r="J55" s="41">
        <f t="shared" si="35"/>
        <v>-0.072900000000000006</v>
      </c>
      <c r="K55" s="91">
        <f t="shared" si="35"/>
        <v>-0.1429</v>
      </c>
      <c r="L55" s="41"/>
      <c r="M55" s="90">
        <f t="shared" si="36" ref="M55:R55">ROUND(M51/M53-1,4)</f>
        <v>-0.2021</v>
      </c>
      <c r="N55" s="41">
        <f t="shared" si="36"/>
        <v>-0.19819999999999999</v>
      </c>
      <c r="O55" s="91">
        <f t="shared" si="36"/>
        <v>-0.21410000000000001</v>
      </c>
      <c r="P55" s="41"/>
      <c r="Q55" s="90">
        <f t="shared" si="36"/>
        <v>-0.033000000000000002</v>
      </c>
      <c r="R55" s="91">
        <f t="shared" si="36"/>
        <v>-0.039199999999999999</v>
      </c>
      <c r="S55" s="41"/>
      <c r="T55" s="90">
        <f t="shared" si="37" ref="T55:U55">ROUND(T51/T53-1,4)</f>
        <v>-0.10489999999999999</v>
      </c>
      <c r="U55" s="91">
        <f t="shared" si="37"/>
        <v>-0.13270000000000001</v>
      </c>
      <c r="W55" s="90">
        <f>ROUND(W51/W53-1,4)</f>
        <v>0.056300000000000003</v>
      </c>
      <c r="X55" s="41">
        <f t="shared" si="38" ref="X55:BK55">ROUND(X51/X53-1,4)</f>
        <v>0.10879999999999999</v>
      </c>
      <c r="Y55" s="91">
        <f t="shared" si="38"/>
        <v>0.14530000000000001</v>
      </c>
      <c r="Z55" s="90">
        <f t="shared" si="38"/>
        <v>0.049500000000000002</v>
      </c>
      <c r="AA55" s="41">
        <f t="shared" si="38"/>
        <v>0.045999999999999999</v>
      </c>
      <c r="AB55" s="41">
        <f t="shared" si="38"/>
        <v>0.1046</v>
      </c>
      <c r="AC55" s="41">
        <f t="shared" si="38"/>
        <v>0.157</v>
      </c>
      <c r="AD55" s="41">
        <f t="shared" si="38"/>
        <v>0.1389</v>
      </c>
      <c r="AE55" s="91">
        <f t="shared" si="38"/>
        <v>0.18670000000000001</v>
      </c>
      <c r="AF55" s="90">
        <f t="shared" si="38"/>
        <v>-0.057200000000000001</v>
      </c>
      <c r="AG55" s="41">
        <f t="shared" si="38"/>
        <v>-0.057200000000000001</v>
      </c>
      <c r="AH55" s="41">
        <f t="shared" si="38"/>
        <v>-0.057200000000000001</v>
      </c>
      <c r="AI55" s="41">
        <f t="shared" si="38"/>
        <v>-0.017100000000000001</v>
      </c>
      <c r="AJ55" s="91">
        <f t="shared" si="38"/>
        <v>-0.028000000000000001</v>
      </c>
      <c r="AK55" s="90">
        <f t="shared" si="38"/>
        <v>0.13639999999999999</v>
      </c>
      <c r="AL55" s="41">
        <f t="shared" si="38"/>
        <v>0.076100000000000001</v>
      </c>
      <c r="AM55" s="91">
        <f t="shared" si="38"/>
        <v>0.056899999999999999</v>
      </c>
      <c r="AN55" s="90">
        <f t="shared" si="38"/>
        <v>0.11119999999999999</v>
      </c>
      <c r="AO55" s="41">
        <f t="shared" si="38"/>
        <v>0.16289999999999999</v>
      </c>
      <c r="AP55" s="41">
        <f t="shared" si="38"/>
        <v>0.041799999999999997</v>
      </c>
      <c r="AQ55" s="41">
        <f t="shared" si="38"/>
        <v>0.071300000000000002</v>
      </c>
      <c r="AR55" s="41">
        <f t="shared" si="38"/>
        <v>0.0067000000000000002</v>
      </c>
      <c r="AS55" s="91">
        <f t="shared" si="38"/>
        <v>0.067900000000000002</v>
      </c>
      <c r="AT55" s="155" t="str">
        <f>IF(AT10=0,"N/A",ROUND(AT51/AT53-1,4))</f>
        <v>N/A</v>
      </c>
      <c r="AU55" s="41">
        <f t="shared" si="38"/>
        <v>0.0016000000000000001</v>
      </c>
      <c r="AV55" s="156" t="str">
        <f>IF(AV10=0,"N/A",ROUND(AV51/AV53-1,4))</f>
        <v>N/A</v>
      </c>
      <c r="AW55" s="41">
        <f t="shared" si="38"/>
        <v>-0.0061999999999999998</v>
      </c>
      <c r="AX55" s="91">
        <f t="shared" si="38"/>
        <v>-0.017500000000000002</v>
      </c>
      <c r="AY55" s="41"/>
      <c r="AZ55" s="90">
        <f t="shared" si="38"/>
        <v>0.35239999999999999</v>
      </c>
      <c r="BA55" s="41">
        <f t="shared" si="38"/>
        <v>0.35310000000000002</v>
      </c>
      <c r="BB55" s="41">
        <f t="shared" si="38"/>
        <v>0.32319999999999999</v>
      </c>
      <c r="BC55" s="91">
        <f t="shared" si="38"/>
        <v>0.38250000000000001</v>
      </c>
      <c r="BD55" s="92">
        <f t="shared" si="38"/>
        <v>0.051400000000000001</v>
      </c>
      <c r="BE55" s="90">
        <f t="shared" si="38"/>
        <v>-0.073899999999999993</v>
      </c>
      <c r="BF55" s="41">
        <f t="shared" si="38"/>
        <v>-0.071199999999999999</v>
      </c>
      <c r="BG55" s="41">
        <f t="shared" si="38"/>
        <v>-0.085099999999999995</v>
      </c>
      <c r="BH55" s="41">
        <f t="shared" si="38"/>
        <v>-0.072099999999999997</v>
      </c>
      <c r="BI55" s="91">
        <f t="shared" si="38"/>
        <v>-0.089599999999999999</v>
      </c>
      <c r="BJ55" s="90">
        <f t="shared" si="38"/>
        <v>0.21410000000000001</v>
      </c>
      <c r="BK55" s="91">
        <f t="shared" si="38"/>
        <v>0.1986</v>
      </c>
      <c r="BL55" s="2"/>
      <c r="BM55" s="5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s="4" customFormat="1" ht="13.5" customHeight="1" thickBot="1">
      <c r="A56" s="231"/>
      <c r="C56" s="67"/>
      <c r="D56" s="72"/>
      <c r="E56" s="16"/>
      <c r="G56" s="93"/>
      <c r="H56" s="94"/>
      <c r="I56" s="94"/>
      <c r="J56" s="94"/>
      <c r="K56" s="95"/>
      <c r="L56" s="41"/>
      <c r="M56" s="93"/>
      <c r="N56" s="94"/>
      <c r="O56" s="95"/>
      <c r="P56" s="41"/>
      <c r="Q56" s="93"/>
      <c r="R56" s="95"/>
      <c r="S56" s="41"/>
      <c r="T56" s="93"/>
      <c r="U56" s="95"/>
      <c r="W56" s="93"/>
      <c r="X56" s="94"/>
      <c r="Y56" s="95"/>
      <c r="Z56" s="93"/>
      <c r="AA56" s="94"/>
      <c r="AB56" s="94"/>
      <c r="AC56" s="94"/>
      <c r="AD56" s="94"/>
      <c r="AE56" s="95"/>
      <c r="AF56" s="93"/>
      <c r="AG56" s="94"/>
      <c r="AH56" s="94"/>
      <c r="AI56" s="94"/>
      <c r="AJ56" s="95"/>
      <c r="AK56" s="93"/>
      <c r="AL56" s="94"/>
      <c r="AM56" s="95"/>
      <c r="AN56" s="93"/>
      <c r="AO56" s="94"/>
      <c r="AP56" s="94"/>
      <c r="AQ56" s="94"/>
      <c r="AR56" s="94"/>
      <c r="AS56" s="95"/>
      <c r="AT56" s="93"/>
      <c r="AU56" s="94"/>
      <c r="AV56" s="94"/>
      <c r="AW56" s="94"/>
      <c r="AX56" s="95"/>
      <c r="AY56" s="41"/>
      <c r="AZ56" s="93"/>
      <c r="BA56" s="94"/>
      <c r="BB56" s="94"/>
      <c r="BC56" s="95"/>
      <c r="BD56" s="96"/>
      <c r="BE56" s="93"/>
      <c r="BF56" s="94"/>
      <c r="BG56" s="94"/>
      <c r="BH56" s="94"/>
      <c r="BI56" s="95"/>
      <c r="BJ56" s="93"/>
      <c r="BK56" s="95"/>
      <c r="BL56" s="2"/>
      <c r="BM56" s="5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65" s="4" customFormat="1" ht="8.1" customHeight="1">
      <c r="A57" s="231"/>
      <c r="C57" s="67"/>
      <c r="D57" s="72"/>
      <c r="E57" s="16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M57" s="13"/>
    </row>
    <row r="58" spans="1:5" s="4" customFormat="1" ht="8.1" customHeight="1">
      <c r="A58" s="231"/>
      <c r="C58" s="177"/>
      <c r="D58" s="177"/>
      <c r="E58" s="73"/>
    </row>
    <row r="59" spans="1:6" s="4" customFormat="1" ht="29.45" customHeight="1">
      <c r="A59" s="231">
        <v>34</v>
      </c>
      <c r="C59" s="273" t="s">
        <v>167</v>
      </c>
      <c r="D59" s="274"/>
      <c r="E59" s="274"/>
      <c r="F59" s="256"/>
    </row>
    <row r="60" spans="1:5" s="4" customFormat="1" ht="13.5" customHeight="1">
      <c r="A60" s="231">
        <f t="shared" si="0"/>
        <v>35</v>
      </c>
      <c r="C60" s="210" t="s">
        <v>168</v>
      </c>
      <c r="D60" s="10"/>
      <c r="E60" s="10"/>
    </row>
    <row r="61" spans="1:16 51:54" s="4" customFormat="1" ht="13.5" customHeight="1">
      <c r="A61" s="231">
        <f t="shared" si="0"/>
        <v>36</v>
      </c>
      <c r="C61" s="210" t="s">
        <v>79</v>
      </c>
      <c r="D61" s="10"/>
      <c r="E61" s="10"/>
      <c r="P61" s="2"/>
      <c r="AY61" s="2"/>
      <c r="AZ61" s="33"/>
      <c r="BA61" s="184"/>
      <c r="BB61" s="41"/>
    </row>
    <row r="62" spans="1:16 51:51" s="4" customFormat="1" ht="13.5" customHeight="1">
      <c r="A62" s="231">
        <f t="shared" si="0"/>
        <v>37</v>
      </c>
      <c r="C62" s="9" t="s">
        <v>96</v>
      </c>
      <c r="D62" s="10"/>
      <c r="E62" s="10"/>
      <c r="P62" s="2"/>
      <c r="AY62" s="2"/>
    </row>
    <row r="63" spans="1:16 51:51" s="4" customFormat="1" ht="13.5" customHeight="1">
      <c r="A63" s="231">
        <f t="shared" si="0"/>
        <v>38</v>
      </c>
      <c r="C63" s="210" t="s">
        <v>95</v>
      </c>
      <c r="D63" s="10"/>
      <c r="E63" s="10"/>
      <c r="P63" s="2"/>
      <c r="AY63" s="2"/>
    </row>
    <row r="64" spans="1:16 51:51" s="4" customFormat="1" ht="49.5" customHeight="1">
      <c r="A64" s="271">
        <f t="shared" si="0"/>
        <v>39</v>
      </c>
      <c r="C64" s="275" t="s">
        <v>99</v>
      </c>
      <c r="D64" s="276"/>
      <c r="E64" s="276"/>
      <c r="P64" s="2"/>
      <c r="AY64" s="2"/>
    </row>
    <row r="65" spans="1:16 51:51" s="4" customFormat="1" ht="13.5" customHeight="1">
      <c r="A65" s="231">
        <f t="shared" si="0"/>
        <v>40</v>
      </c>
      <c r="C65" s="210" t="s">
        <v>101</v>
      </c>
      <c r="D65" s="10"/>
      <c r="E65" s="10"/>
      <c r="P65" s="2"/>
      <c r="AY65" s="2"/>
    </row>
    <row r="66" ht="3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62.1" customHeight="1"/>
    <row r="78" ht="85.5" customHeight="1"/>
    <row r="79" ht="13.5" customHeight="1"/>
    <row r="80" ht="13.5" customHeight="1"/>
    <row r="81" spans="7:70" ht="13.5" customHeight="1">
      <c r="G81" s="39">
        <f>G51*12*G10</f>
        <v>5366084.4000000004</v>
      </c>
      <c r="H81" s="39">
        <f>H51*12*H10</f>
        <v>143981.75999999998</v>
      </c>
      <c r="I81" s="39">
        <f>I51*12*I10</f>
        <v>1686077.28</v>
      </c>
      <c r="J81" s="39">
        <f>J51*12*J10</f>
        <v>870892.56000000006</v>
      </c>
      <c r="K81" s="39">
        <f>K51*12*K10</f>
        <v>123551.99999999999</v>
      </c>
      <c r="L81" s="39"/>
      <c r="M81" s="39">
        <f>M51*12*M10</f>
        <v>13721.040000000001</v>
      </c>
      <c r="N81" s="39">
        <f>N51*12*N10</f>
        <v>53767.199999999997</v>
      </c>
      <c r="O81" s="39">
        <f>O51*12*O10</f>
        <v>45281.280000000006</v>
      </c>
      <c r="P81" s="39"/>
      <c r="Q81" s="39">
        <f>Q51*12*Q10</f>
        <v>453709.68000000005</v>
      </c>
      <c r="R81" s="39">
        <f>R51*12*R10</f>
        <v>10552.32</v>
      </c>
      <c r="S81" s="39"/>
      <c r="T81" s="39">
        <f>T51*12*T10</f>
        <v>197759.51999999999</v>
      </c>
      <c r="U81" s="39">
        <f>U51*12*U10</f>
        <v>443519.03999999998</v>
      </c>
      <c r="V81" s="39"/>
      <c r="W81" s="39">
        <f t="shared" si="39" ref="W81:AS81">W51*12*W10</f>
        <v>929610</v>
      </c>
      <c r="X81" s="39">
        <f t="shared" si="39"/>
        <v>234175.20000000001</v>
      </c>
      <c r="Y81" s="39">
        <f t="shared" si="39"/>
        <v>1030.8</v>
      </c>
      <c r="Z81" s="39">
        <f t="shared" si="39"/>
        <v>21787022.16</v>
      </c>
      <c r="AA81" s="39">
        <f t="shared" si="39"/>
        <v>1406686.0799999998</v>
      </c>
      <c r="AB81" s="39">
        <f t="shared" si="39"/>
        <v>4494373.6800000006</v>
      </c>
      <c r="AC81" s="39">
        <f t="shared" si="39"/>
        <v>5494870.2000000002</v>
      </c>
      <c r="AD81" s="39">
        <f t="shared" si="39"/>
        <v>236774.99999999997</v>
      </c>
      <c r="AE81" s="39">
        <f t="shared" si="39"/>
        <v>841.91999999999996</v>
      </c>
      <c r="AF81" s="39">
        <f t="shared" si="39"/>
        <v>538613.15999999992</v>
      </c>
      <c r="AG81" s="39">
        <f t="shared" si="39"/>
        <v>313921.67999999993</v>
      </c>
      <c r="AH81" s="39">
        <f t="shared" si="39"/>
        <v>220270.07999999999</v>
      </c>
      <c r="AI81" s="39">
        <f t="shared" si="39"/>
        <v>100564.79999999999</v>
      </c>
      <c r="AJ81" s="39">
        <f t="shared" si="39"/>
        <v>52288.32</v>
      </c>
      <c r="AK81" s="39">
        <f t="shared" si="39"/>
        <v>11769.360000000001</v>
      </c>
      <c r="AL81" s="39">
        <f t="shared" si="39"/>
        <v>69196.799999999988</v>
      </c>
      <c r="AM81" s="39">
        <f t="shared" si="39"/>
        <v>300.95999999999998</v>
      </c>
      <c r="AN81" s="39">
        <f t="shared" si="39"/>
        <v>412381.91999999998</v>
      </c>
      <c r="AO81" s="39">
        <f t="shared" si="39"/>
        <v>466313.04000000004</v>
      </c>
      <c r="AP81" s="39">
        <f t="shared" si="39"/>
        <v>1359379.2</v>
      </c>
      <c r="AQ81" s="39">
        <f t="shared" si="39"/>
        <v>1215618.1200000001</v>
      </c>
      <c r="AR81" s="39">
        <f t="shared" si="39"/>
        <v>93542.39999999998</v>
      </c>
      <c r="AS81" s="39">
        <f t="shared" si="39"/>
        <v>303.95999999999998</v>
      </c>
      <c r="AT81" s="39"/>
      <c r="AU81" s="39">
        <f>AU51*12*AU10</f>
        <v>1858.56</v>
      </c>
      <c r="AV81" s="39"/>
      <c r="AW81" s="39">
        <f>AW51*12*AW10</f>
        <v>29299.199999999993</v>
      </c>
      <c r="AX81" s="39">
        <f>AX51*12*AX10</f>
        <v>4861.4400000000005</v>
      </c>
      <c r="AY81" s="39"/>
      <c r="AZ81" s="39">
        <f t="shared" si="40" ref="AZ81:BK81">AZ51*12*AZ10</f>
        <v>5525.7600000000002</v>
      </c>
      <c r="BA81" s="39">
        <f t="shared" si="40"/>
        <v>42519.599999999991</v>
      </c>
      <c r="BB81" s="39">
        <f t="shared" si="40"/>
        <v>10691.280000000001</v>
      </c>
      <c r="BC81" s="39">
        <f t="shared" si="40"/>
        <v>2896.3199999999997</v>
      </c>
      <c r="BD81" s="39">
        <f t="shared" si="40"/>
        <v>2991.8399999999997</v>
      </c>
      <c r="BE81" s="39">
        <f t="shared" si="40"/>
        <v>11793.600000000002</v>
      </c>
      <c r="BF81" s="39">
        <f t="shared" si="40"/>
        <v>16787.52</v>
      </c>
      <c r="BG81" s="39">
        <f t="shared" si="40"/>
        <v>8838.7199999999993</v>
      </c>
      <c r="BH81" s="39">
        <f t="shared" si="40"/>
        <v>23371.68</v>
      </c>
      <c r="BI81" s="39">
        <f t="shared" si="40"/>
        <v>40384.32</v>
      </c>
      <c r="BJ81" s="39">
        <f t="shared" si="40"/>
        <v>447.12</v>
      </c>
      <c r="BK81" s="39">
        <f t="shared" si="40"/>
        <v>15757.560000000001</v>
      </c>
      <c r="BL81" s="4"/>
      <c r="BM81" s="225"/>
      <c r="BN81" s="4"/>
      <c r="BO81" s="4"/>
      <c r="BP81" s="4"/>
      <c r="BQ81" s="4"/>
      <c r="BR81" s="4"/>
    </row>
    <row r="82" spans="1:70" ht="13.5" customHeight="1">
      <c r="A82" s="232" t="s">
        <v>108</v>
      </c>
      <c r="G82" s="178">
        <f>G49-G81</f>
        <v>-1995.4000000003725</v>
      </c>
      <c r="H82" s="178">
        <f>H49-H81</f>
        <v>27.240000000019791</v>
      </c>
      <c r="I82" s="178">
        <f>I49-I81</f>
        <v>45.71999999997206</v>
      </c>
      <c r="J82" s="178">
        <f>J49-J81</f>
        <v>-218.56000000005588</v>
      </c>
      <c r="K82" s="178">
        <f>K49-K81</f>
        <v>10.000000000014552</v>
      </c>
      <c r="L82" s="178"/>
      <c r="M82" s="178">
        <f>M49-M81</f>
        <v>-202.04000000000087</v>
      </c>
      <c r="N82" s="178">
        <f>N49-N81</f>
        <v>-899.19999999999709</v>
      </c>
      <c r="O82" s="178">
        <f>O49-O81</f>
        <v>-1049.2800000000061</v>
      </c>
      <c r="P82" s="178"/>
      <c r="Q82" s="178">
        <f>Q49-Q81</f>
        <v>77.319999999948777</v>
      </c>
      <c r="R82" s="178">
        <f>R49-R81</f>
        <v>3.680000000000291</v>
      </c>
      <c r="S82" s="178"/>
      <c r="T82" s="178">
        <f>T49-T81</f>
        <v>-0.51999999998952262</v>
      </c>
      <c r="U82" s="178">
        <f>U49-U81</f>
        <v>-67.039999999979045</v>
      </c>
      <c r="V82" s="178"/>
      <c r="W82" s="178">
        <f t="shared" si="41" ref="W82:AS82">W49-W81</f>
        <v>345</v>
      </c>
      <c r="X82" s="178">
        <f t="shared" si="41"/>
        <v>-80.200000000011642</v>
      </c>
      <c r="Y82" s="178">
        <f t="shared" si="41"/>
        <v>0.20000000000004548</v>
      </c>
      <c r="Z82" s="178">
        <f t="shared" si="41"/>
        <v>8664.839999999851</v>
      </c>
      <c r="AA82" s="178">
        <f t="shared" si="41"/>
        <v>498.92000000015832</v>
      </c>
      <c r="AB82" s="178">
        <f t="shared" si="41"/>
        <v>667.3199999993667</v>
      </c>
      <c r="AC82" s="178">
        <f t="shared" si="41"/>
        <v>662.79999999981374</v>
      </c>
      <c r="AD82" s="178">
        <f t="shared" si="41"/>
        <v>-26.999999999970896</v>
      </c>
      <c r="AE82" s="178">
        <f t="shared" si="41"/>
        <v>0.080000000000040927</v>
      </c>
      <c r="AF82" s="178">
        <f t="shared" si="41"/>
        <v>-19217.159999999916</v>
      </c>
      <c r="AG82" s="178">
        <f t="shared" si="41"/>
        <v>-11191.679999999935</v>
      </c>
      <c r="AH82" s="178">
        <f t="shared" si="41"/>
        <v>-6071.0799999999872</v>
      </c>
      <c r="AI82" s="178">
        <f t="shared" si="41"/>
        <v>-12.799999999988359</v>
      </c>
      <c r="AJ82" s="178">
        <f t="shared" si="41"/>
        <v>8.680000000000291</v>
      </c>
      <c r="AK82" s="178">
        <f t="shared" si="41"/>
        <v>-3.3600000000005821</v>
      </c>
      <c r="AL82" s="178">
        <f t="shared" si="41"/>
        <v>2.2000000000116415</v>
      </c>
      <c r="AM82" s="178">
        <f t="shared" si="41"/>
        <v>0.040000000000020464</v>
      </c>
      <c r="AN82" s="178">
        <f t="shared" si="41"/>
        <v>40.080000000016298</v>
      </c>
      <c r="AO82" s="178">
        <f t="shared" si="41"/>
        <v>40.959999999962747</v>
      </c>
      <c r="AP82" s="178">
        <f t="shared" si="41"/>
        <v>-71.199999999953434</v>
      </c>
      <c r="AQ82" s="178">
        <f t="shared" si="41"/>
        <v>-88.120000000111759</v>
      </c>
      <c r="AR82" s="178">
        <f t="shared" si="41"/>
        <v>16.600000000020373</v>
      </c>
      <c r="AS82" s="178">
        <f t="shared" si="41"/>
        <v>0.040000000000020464</v>
      </c>
      <c r="AT82" s="178"/>
      <c r="AU82" s="178">
        <f>AU49-AU81</f>
        <v>0.44000000000005457</v>
      </c>
      <c r="AV82" s="178"/>
      <c r="AW82" s="178">
        <f>AW49-AW81</f>
        <v>4.8000000000065484</v>
      </c>
      <c r="AX82" s="178">
        <f>AX49-AX81</f>
        <v>0.55999999999949068</v>
      </c>
      <c r="AY82" s="178"/>
      <c r="AZ82" s="178">
        <f t="shared" si="42" ref="AZ82:BK82">AZ49-AZ81</f>
        <v>4609.2399999999998</v>
      </c>
      <c r="BA82" s="178">
        <f t="shared" si="42"/>
        <v>36586.400000000009</v>
      </c>
      <c r="BB82" s="178">
        <f t="shared" si="42"/>
        <v>8930.7199999999993</v>
      </c>
      <c r="BC82" s="178">
        <f t="shared" si="42"/>
        <v>1511.6800000000003</v>
      </c>
      <c r="BD82" s="178">
        <f t="shared" si="42"/>
        <v>0.16000000000030923</v>
      </c>
      <c r="BE82" s="178">
        <f t="shared" si="42"/>
        <v>-1920.6000000000022</v>
      </c>
      <c r="BF82" s="178">
        <f t="shared" si="42"/>
        <v>-2783.5200000000004</v>
      </c>
      <c r="BG82" s="178">
        <f t="shared" si="42"/>
        <v>-744.71999999999935</v>
      </c>
      <c r="BH82" s="178">
        <f t="shared" si="42"/>
        <v>-7658.6800000000003</v>
      </c>
      <c r="BI82" s="178">
        <f t="shared" si="42"/>
        <v>-12140.32</v>
      </c>
      <c r="BJ82" s="178">
        <f t="shared" si="42"/>
        <v>71.879999999999995</v>
      </c>
      <c r="BK82" s="178">
        <f t="shared" si="42"/>
        <v>2660.4399999999987</v>
      </c>
      <c r="BL82" s="4"/>
      <c r="BM82" s="179">
        <f>SUM(G82:BL82)</f>
        <v>-954.440000001111</v>
      </c>
      <c r="BN82" s="208" t="s">
        <v>190</v>
      </c>
      <c r="BO82" s="209"/>
      <c r="BP82" s="4"/>
      <c r="BQ82" s="4"/>
      <c r="BR82" s="4"/>
    </row>
    <row r="83" spans="7:70" ht="13.5" customHeight="1">
      <c r="G83" s="180"/>
      <c r="H83" s="4"/>
      <c r="I83" s="4"/>
      <c r="J83" s="4"/>
      <c r="K83" s="4"/>
      <c r="L83" s="4"/>
      <c r="M83" s="4"/>
      <c r="N83" s="4"/>
      <c r="O83" s="4"/>
      <c r="P83" s="2"/>
      <c r="Q83" s="4"/>
      <c r="R83" s="4"/>
      <c r="S83" s="4"/>
      <c r="T83" s="4"/>
      <c r="U83" s="4"/>
      <c r="V83" s="4"/>
      <c r="W83" s="4"/>
      <c r="X83" s="4"/>
      <c r="Y83" s="4"/>
      <c r="Z83" s="181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182"/>
      <c r="AO83" s="182"/>
      <c r="AP83" s="182"/>
      <c r="AQ83" s="182"/>
      <c r="AR83" s="182"/>
      <c r="AS83" s="182"/>
      <c r="AT83" s="180"/>
      <c r="AU83" s="4"/>
      <c r="AV83" s="4"/>
      <c r="AW83" s="4"/>
      <c r="AX83" s="4"/>
      <c r="AZ83" s="40"/>
      <c r="BA83" s="2"/>
      <c r="BB83" s="183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</row>
    <row r="84" spans="7:70" ht="13.5" customHeight="1">
      <c r="G84" s="4"/>
      <c r="H84" s="4"/>
      <c r="I84" s="4"/>
      <c r="J84" s="4"/>
      <c r="K84" s="4"/>
      <c r="L84" s="4"/>
      <c r="M84" s="4"/>
      <c r="N84" s="4"/>
      <c r="O84" s="4"/>
      <c r="P84" s="2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Z84" s="40"/>
      <c r="BA84" s="2"/>
      <c r="BB84" s="183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270"/>
      <c r="BO84" s="4"/>
      <c r="BP84" s="4"/>
      <c r="BQ84" s="4"/>
      <c r="BR84" s="4"/>
    </row>
    <row r="85" ht="13.5" customHeight="1"/>
    <row r="86" ht="13.5" customHeight="1"/>
    <row r="87" ht="13.5" customHeight="1"/>
    <row r="88" ht="13.5" customHeight="1"/>
    <row r="89" ht="13.5" customHeight="1"/>
    <row r="90" ht="13.5" customHeight="1"/>
  </sheetData>
  <mergeCells count="26">
    <mergeCell ref="Z6:AE6"/>
    <mergeCell ref="W5:Y5"/>
    <mergeCell ref="W6:Y6"/>
    <mergeCell ref="G5:K5"/>
    <mergeCell ref="G6:K6"/>
    <mergeCell ref="M5:O5"/>
    <mergeCell ref="M6:O6"/>
    <mergeCell ref="Q5:R5"/>
    <mergeCell ref="T5:U5"/>
    <mergeCell ref="Q6:R6"/>
    <mergeCell ref="C59:E59"/>
    <mergeCell ref="C64:E64"/>
    <mergeCell ref="BJ5:BK5"/>
    <mergeCell ref="AN5:AS5"/>
    <mergeCell ref="AT5:AX5"/>
    <mergeCell ref="T6:U6"/>
    <mergeCell ref="AT6:AX6"/>
    <mergeCell ref="AN6:AS6"/>
    <mergeCell ref="AZ5:BC5"/>
    <mergeCell ref="BE5:BI5"/>
    <mergeCell ref="AF5:AJ5"/>
    <mergeCell ref="AF6:AJ6"/>
    <mergeCell ref="AK5:AM5"/>
    <mergeCell ref="AK6:AM6"/>
    <mergeCell ref="B14:F14"/>
    <mergeCell ref="Z5:AE5"/>
  </mergeCells>
  <printOptions horizontalCentered="1"/>
  <pageMargins left="0.75" right="0.5" top="1.7" bottom="0.5" header="0.5" footer="0"/>
  <pageSetup orientation="portrait" scale="65" r:id="rId1"/>
  <headerFooter alignWithMargins="0">
    <oddHeader>&amp;C
2022  RATE  CASE
ONCOR  ELECTRIC DELIVERY  COMPANY  LLC
MONTHLY  RATES  FOR  UNMETERED  FACILITIES  -  SCHEDULES  A and B
FOR THE TEST YEAR ENDING DECEMBER 31, 2021
SPONSOR:  MATTHEW A. TROXLE
&amp;RWP/IV-J-7/2
Page &amp;P of &amp;N</oddHeader>
  </headerFooter>
  <colBreaks count="9" manualBreakCount="9">
    <brk id="11" min="1" max="66" man="1"/>
    <brk id="21" min="1" max="66" man="1"/>
    <brk id="25" min="1" max="66" man="1"/>
    <brk id="31" min="1" max="66" man="1"/>
    <brk id="36" min="1" max="66" man="1"/>
    <brk id="39" min="1" max="66" man="1"/>
    <brk id="45" min="1" max="66" man="1"/>
    <brk id="50" min="1" max="66" man="1"/>
    <brk id="56" min="1" max="6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B1:AN52"/>
  <sheetViews>
    <sheetView zoomScale="120" zoomScaleNormal="120" workbookViewId="0" topLeftCell="A13">
      <selection pane="topLeft" activeCell="C5" sqref="C5:Q5"/>
    </sheetView>
  </sheetViews>
  <sheetFormatPr defaultRowHeight="12.75"/>
  <cols>
    <col min="2" max="2" width="6.75" style="8" customWidth="1"/>
    <col min="4" max="4" width="5.625" customWidth="1"/>
    <col min="5" max="5" width="18.75" customWidth="1"/>
    <col min="6" max="6" width="1.625" customWidth="1"/>
    <col min="7" max="7" width="2.625" customWidth="1"/>
    <col min="8" max="8" width="12.75" customWidth="1"/>
    <col min="9" max="9" width="3.625" customWidth="1"/>
    <col min="10" max="10" width="12.75" customWidth="1"/>
    <col min="11" max="11" width="3.625" customWidth="1"/>
    <col min="12" max="12" width="12.75" customWidth="1"/>
    <col min="13" max="13" width="3.625" customWidth="1"/>
    <col min="14" max="14" width="12.75" customWidth="1"/>
    <col min="15" max="15" width="3.625" customWidth="1"/>
    <col min="16" max="16" width="12.75" customWidth="1"/>
    <col min="17" max="17" width="2.625" customWidth="1"/>
    <col min="18" max="18" width="10.625" customWidth="1"/>
    <col min="19" max="19" width="1.75" customWidth="1"/>
    <col min="20" max="20" width="10.625" customWidth="1"/>
    <col min="21" max="21" width="10.5" customWidth="1"/>
    <col min="22" max="22" width="60.625" customWidth="1"/>
    <col min="23" max="27" width="10.5" customWidth="1"/>
    <col min="29" max="29" width="11.125" bestFit="1" customWidth="1"/>
  </cols>
  <sheetData>
    <row r="1" spans="16:16" ht="12.75">
      <c r="P1" s="17" t="s">
        <v>62</v>
      </c>
    </row>
    <row r="2" spans="16:16" ht="12.75">
      <c r="P2" s="17" t="s">
        <v>61</v>
      </c>
    </row>
    <row r="3" spans="15:15" ht="15.6" customHeight="1">
      <c r="O3" s="17"/>
    </row>
    <row r="4" spans="2:17" s="4" customFormat="1" ht="14.1" customHeight="1">
      <c r="B4" s="10"/>
      <c r="C4" s="289" t="s">
        <v>104</v>
      </c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3:17" ht="14.1" customHeight="1">
      <c r="C5" s="288" t="s">
        <v>60</v>
      </c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</row>
    <row r="6" spans="3:17" ht="14.1" customHeight="1">
      <c r="C6" s="288" t="s">
        <v>76</v>
      </c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8"/>
      <c r="Q6" s="288"/>
    </row>
    <row r="7" spans="2:17" s="4" customFormat="1" ht="14.1" customHeight="1">
      <c r="B7" s="10"/>
      <c r="C7" s="289" t="s">
        <v>103</v>
      </c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</row>
    <row r="8" spans="3:17" ht="9" customHeight="1"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3:17" ht="12.75">
      <c r="C9" s="288" t="s">
        <v>100</v>
      </c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</row>
    <row r="10" spans="2:16" s="8" customFormat="1" ht="44.1" customHeight="1" thickBot="1">
      <c r="B10" s="233" t="s">
        <v>110</v>
      </c>
      <c r="C10" s="234" t="s">
        <v>111</v>
      </c>
      <c r="D10" s="290" t="s">
        <v>112</v>
      </c>
      <c r="E10" s="291"/>
      <c r="F10" s="234"/>
      <c r="G10" s="234"/>
      <c r="H10" s="234" t="s">
        <v>113</v>
      </c>
      <c r="I10" s="234"/>
      <c r="J10" s="234" t="s">
        <v>114</v>
      </c>
      <c r="K10" s="234"/>
      <c r="L10" s="234" t="s">
        <v>115</v>
      </c>
      <c r="M10" s="234"/>
      <c r="N10" s="234" t="s">
        <v>116</v>
      </c>
      <c r="O10" s="234"/>
      <c r="P10" s="234" t="s">
        <v>117</v>
      </c>
    </row>
    <row r="11" spans="3:28" ht="6" customHeight="1">
      <c r="C11" s="97"/>
      <c r="D11" s="98"/>
      <c r="E11" s="47"/>
      <c r="F11" s="99"/>
      <c r="G11" s="98"/>
      <c r="H11" s="100"/>
      <c r="I11" s="98"/>
      <c r="J11" s="98"/>
      <c r="K11" s="98"/>
      <c r="L11" s="101"/>
      <c r="M11" s="101"/>
      <c r="N11" s="99"/>
      <c r="O11" s="99"/>
      <c r="P11" s="99"/>
      <c r="Q11" s="102"/>
      <c r="R11" s="8"/>
      <c r="S11" s="8"/>
      <c r="T11" s="10"/>
      <c r="U11" s="10"/>
      <c r="V11" s="10"/>
      <c r="W11" s="10"/>
      <c r="X11" s="10"/>
      <c r="Y11" s="10"/>
      <c r="Z11" s="10"/>
      <c r="AA11" s="10"/>
      <c r="AB11" s="10"/>
    </row>
    <row r="12" spans="3:31" ht="15" customHeight="1">
      <c r="C12" s="103" t="s">
        <v>9</v>
      </c>
      <c r="D12" s="9"/>
      <c r="E12" s="2"/>
      <c r="F12" s="5"/>
      <c r="G12" s="9"/>
      <c r="H12" s="104"/>
      <c r="I12" s="9"/>
      <c r="J12" s="9"/>
      <c r="K12" s="9"/>
      <c r="L12" s="105"/>
      <c r="M12" s="105"/>
      <c r="N12" s="5"/>
      <c r="O12" s="5"/>
      <c r="P12" s="5"/>
      <c r="Q12" s="19"/>
      <c r="R12" s="8"/>
      <c r="S12" s="8"/>
      <c r="T12" s="10"/>
      <c r="U12" s="10"/>
      <c r="V12" s="10"/>
      <c r="W12" s="10"/>
      <c r="X12" s="10"/>
      <c r="Y12" s="10"/>
      <c r="Z12" s="10"/>
      <c r="AA12" s="10"/>
      <c r="AB12" s="10"/>
      <c r="AC12" s="4"/>
      <c r="AD12" s="4"/>
      <c r="AE12" s="4"/>
    </row>
    <row r="13" spans="2:31" ht="45" customHeight="1">
      <c r="B13" s="231">
        <v>1</v>
      </c>
      <c r="C13" s="18"/>
      <c r="D13" s="237" t="s">
        <v>3</v>
      </c>
      <c r="E13" s="168"/>
      <c r="F13" s="238"/>
      <c r="G13" s="168"/>
      <c r="H13" s="238" t="s">
        <v>4</v>
      </c>
      <c r="I13" s="168"/>
      <c r="J13" s="238" t="s">
        <v>5</v>
      </c>
      <c r="K13" s="238"/>
      <c r="L13" s="238" t="s">
        <v>6</v>
      </c>
      <c r="M13" s="239"/>
      <c r="N13" s="238" t="s">
        <v>21</v>
      </c>
      <c r="O13" s="201"/>
      <c r="P13" s="238" t="s">
        <v>8</v>
      </c>
      <c r="Q13" s="19"/>
      <c r="R13" s="11" t="s">
        <v>66</v>
      </c>
      <c r="S13" s="11"/>
      <c r="T13" s="27" t="s">
        <v>58</v>
      </c>
      <c r="U13" s="28" t="s">
        <v>57</v>
      </c>
      <c r="V13" s="28"/>
      <c r="W13" s="28"/>
      <c r="X13" s="28"/>
      <c r="Y13" s="28"/>
      <c r="Z13" s="28"/>
      <c r="AA13" s="28"/>
      <c r="AB13" s="10"/>
      <c r="AC13" s="113"/>
      <c r="AD13" s="4"/>
      <c r="AE13" s="4"/>
    </row>
    <row r="14" spans="2:31" ht="4.5" customHeight="1">
      <c r="B14" s="231"/>
      <c r="C14" s="18"/>
      <c r="D14" s="9"/>
      <c r="E14" s="2"/>
      <c r="F14" s="5"/>
      <c r="G14" s="9"/>
      <c r="H14" s="104"/>
      <c r="I14" s="9"/>
      <c r="J14" s="9"/>
      <c r="K14" s="9"/>
      <c r="L14" s="105"/>
      <c r="M14" s="105"/>
      <c r="N14" s="5"/>
      <c r="O14" s="5"/>
      <c r="P14" s="5"/>
      <c r="Q14" s="19"/>
      <c r="R14" s="8"/>
      <c r="S14" s="8"/>
      <c r="T14" s="10"/>
      <c r="U14" s="10"/>
      <c r="V14" s="10"/>
      <c r="W14" s="10"/>
      <c r="X14" s="10"/>
      <c r="Y14" s="10"/>
      <c r="Z14" s="10"/>
      <c r="AA14" s="10"/>
      <c r="AB14" s="10"/>
      <c r="AC14" s="4"/>
      <c r="AD14" s="4"/>
      <c r="AE14" s="4"/>
    </row>
    <row r="15" spans="2:31" s="30" customFormat="1" ht="12.75">
      <c r="B15" s="231">
        <v>2</v>
      </c>
      <c r="C15" s="149"/>
      <c r="D15" s="240" t="s">
        <v>65</v>
      </c>
      <c r="E15" s="240"/>
      <c r="F15" s="240"/>
      <c r="G15" s="240"/>
      <c r="H15" s="240">
        <f>'[2]Cost Assignments by Group'!H$62</f>
        <v>3167791</v>
      </c>
      <c r="I15" s="241"/>
      <c r="J15" s="240">
        <f>'[2]Cost Assignments by Group'!I$62</f>
        <v>2417640</v>
      </c>
      <c r="K15" s="241"/>
      <c r="L15" s="240">
        <f>'[2]Cost Assignments by Group'!J$62</f>
        <v>2485641</v>
      </c>
      <c r="M15" s="241"/>
      <c r="N15" s="240">
        <f>'[2]Cost Assignments by Group'!K$62</f>
        <v>-4195338</v>
      </c>
      <c r="O15" s="241"/>
      <c r="P15" s="240">
        <f>'[2]Cost Assignments by Group'!L$62</f>
        <v>0</v>
      </c>
      <c r="Q15" s="150"/>
      <c r="R15" s="151">
        <f>SUM(H15:P15)</f>
        <v>3875734</v>
      </c>
      <c r="S15" s="151"/>
      <c r="T15" s="85"/>
      <c r="U15" s="85"/>
      <c r="V15" s="85"/>
      <c r="W15" s="85"/>
      <c r="X15" s="85"/>
      <c r="Y15" s="85"/>
      <c r="Z15" s="85"/>
      <c r="AA15" s="85"/>
      <c r="AB15" s="85"/>
      <c r="AC15" s="152"/>
      <c r="AD15" s="148"/>
      <c r="AE15" s="148"/>
    </row>
    <row r="16" spans="2:31" s="30" customFormat="1" ht="12.75">
      <c r="B16" s="231">
        <f t="shared" si="0" ref="B16:B47">1+B15</f>
        <v>3</v>
      </c>
      <c r="C16" s="149"/>
      <c r="D16" s="240" t="s">
        <v>59</v>
      </c>
      <c r="E16" s="240"/>
      <c r="F16" s="240"/>
      <c r="G16" s="242"/>
      <c r="H16" s="242">
        <f>'[4]II-I-DIST'!$Q$22</f>
        <v>25182581.788684003</v>
      </c>
      <c r="I16" s="241"/>
      <c r="J16" s="242">
        <v>0</v>
      </c>
      <c r="K16" s="241"/>
      <c r="L16" s="242">
        <v>0</v>
      </c>
      <c r="M16" s="241"/>
      <c r="N16" s="242">
        <v>0</v>
      </c>
      <c r="O16" s="241"/>
      <c r="P16" s="242">
        <v>0</v>
      </c>
      <c r="Q16" s="150"/>
      <c r="R16" s="151">
        <f>SUM(H16:P16)</f>
        <v>25182581.788684003</v>
      </c>
      <c r="S16" s="151"/>
      <c r="T16" s="85"/>
      <c r="U16" s="85"/>
      <c r="V16" s="85"/>
      <c r="W16" s="85"/>
      <c r="X16" s="85"/>
      <c r="Y16" s="85"/>
      <c r="Z16" s="85"/>
      <c r="AA16" s="85"/>
      <c r="AB16" s="85"/>
      <c r="AC16" s="148"/>
      <c r="AD16" s="148"/>
      <c r="AE16" s="148"/>
    </row>
    <row r="17" spans="2:31" s="30" customFormat="1" ht="12.75">
      <c r="B17" s="231">
        <f t="shared" si="0"/>
        <v>4</v>
      </c>
      <c r="C17" s="149"/>
      <c r="D17" s="240" t="s">
        <v>63</v>
      </c>
      <c r="E17" s="240"/>
      <c r="F17" s="240"/>
      <c r="G17" s="240"/>
      <c r="H17" s="240">
        <f>'[2]Cost Assignments by Group'!H$128</f>
        <v>0</v>
      </c>
      <c r="I17" s="241"/>
      <c r="J17" s="240">
        <f>'[2]Cost Assignments by Group'!I$128</f>
        <v>696825.76821847993</v>
      </c>
      <c r="K17" s="241"/>
      <c r="L17" s="240">
        <f>'[2]Cost Assignments by Group'!J$128</f>
        <v>508815.24491062126</v>
      </c>
      <c r="M17" s="241"/>
      <c r="N17" s="240">
        <f>'[2]Cost Assignments by Group'!K$128</f>
        <v>0</v>
      </c>
      <c r="O17" s="241"/>
      <c r="P17" s="240">
        <f>'[2]Cost Assignments by Group'!L$128</f>
        <v>9755171.8230503593</v>
      </c>
      <c r="Q17" s="150"/>
      <c r="R17" s="151">
        <f>SUM(H17:P17)</f>
        <v>10960812.836179461</v>
      </c>
      <c r="S17" s="151"/>
      <c r="T17" s="85"/>
      <c r="U17" s="85"/>
      <c r="V17" s="85"/>
      <c r="W17" s="85"/>
      <c r="X17" s="85"/>
      <c r="Y17" s="85"/>
      <c r="Z17" s="85"/>
      <c r="AA17" s="85"/>
      <c r="AB17" s="85"/>
      <c r="AC17" s="152"/>
      <c r="AD17" s="148"/>
      <c r="AE17" s="148"/>
    </row>
    <row r="18" spans="2:31" s="30" customFormat="1" ht="12.75">
      <c r="B18" s="231">
        <f t="shared" si="0"/>
        <v>5</v>
      </c>
      <c r="C18" s="149"/>
      <c r="D18" s="240" t="s">
        <v>7</v>
      </c>
      <c r="E18" s="240"/>
      <c r="F18" s="240"/>
      <c r="G18" s="240"/>
      <c r="H18" s="240">
        <f>'[2]Cost Assignments by Group'!H$154</f>
        <v>7988641.1337396605</v>
      </c>
      <c r="I18" s="241"/>
      <c r="J18" s="240">
        <f>'[2]Cost Assignments by Group'!I$154</f>
        <v>0</v>
      </c>
      <c r="K18" s="241"/>
      <c r="L18" s="240">
        <f>'[2]Cost Assignments by Group'!J$154</f>
        <v>5743014.5165479304</v>
      </c>
      <c r="M18" s="241"/>
      <c r="N18" s="240">
        <f>'[2]Cost Assignments by Group'!K$154</f>
        <v>0</v>
      </c>
      <c r="O18" s="241"/>
      <c r="P18" s="240">
        <f>'[2]Cost Assignments by Group'!L$154</f>
        <v>0</v>
      </c>
      <c r="Q18" s="150"/>
      <c r="R18" s="151">
        <f>SUM(H18:P18)</f>
        <v>13731655.650287591</v>
      </c>
      <c r="S18" s="151"/>
      <c r="T18" s="153" t="s">
        <v>75</v>
      </c>
      <c r="U18" s="85"/>
      <c r="V18" s="85"/>
      <c r="W18" s="85"/>
      <c r="X18" s="85"/>
      <c r="Y18" s="85"/>
      <c r="Z18" s="85"/>
      <c r="AA18" s="85"/>
      <c r="AB18" s="153"/>
      <c r="AC18" s="152"/>
      <c r="AD18" s="148"/>
      <c r="AE18" s="148"/>
    </row>
    <row r="19" spans="2:31" s="30" customFormat="1" ht="12.75">
      <c r="B19" s="231">
        <f t="shared" si="0"/>
        <v>6</v>
      </c>
      <c r="C19" s="149"/>
      <c r="D19" s="240" t="s">
        <v>15</v>
      </c>
      <c r="E19" s="240"/>
      <c r="F19" s="240"/>
      <c r="G19" s="240"/>
      <c r="H19" s="240">
        <f>'[2]Cost Assignments by Group'!H$178</f>
        <v>4666686.7690703664</v>
      </c>
      <c r="I19" s="241"/>
      <c r="J19" s="240">
        <f>'[2]Cost Assignments by Group'!I$178</f>
        <v>1045833.6440593592</v>
      </c>
      <c r="K19" s="241"/>
      <c r="L19" s="240">
        <f>'[2]Cost Assignments by Group'!J$178</f>
        <v>7000</v>
      </c>
      <c r="M19" s="241"/>
      <c r="N19" s="240">
        <f>'[2]Cost Assignments by Group'!K$178</f>
        <v>595769.28379062901</v>
      </c>
      <c r="O19" s="241"/>
      <c r="P19" s="240">
        <f>'[2]Cost Assignments by Group'!L$178</f>
        <v>134199.63432489309</v>
      </c>
      <c r="Q19" s="150"/>
      <c r="R19" s="151">
        <f>SUM(H19:P19)</f>
        <v>6449489.3312452482</v>
      </c>
      <c r="S19" s="151"/>
      <c r="T19" s="154"/>
      <c r="U19" s="85"/>
      <c r="V19" s="85"/>
      <c r="W19" s="85"/>
      <c r="X19" s="85"/>
      <c r="Y19" s="85"/>
      <c r="Z19" s="85"/>
      <c r="AA19" s="85"/>
      <c r="AB19" s="85"/>
      <c r="AC19" s="152"/>
      <c r="AD19" s="148"/>
      <c r="AE19" s="148"/>
    </row>
    <row r="20" spans="2:31" s="30" customFormat="1" ht="12.75" customHeight="1">
      <c r="B20" s="231">
        <f t="shared" si="0"/>
        <v>7</v>
      </c>
      <c r="C20" s="149"/>
      <c r="D20" s="240" t="s">
        <v>106</v>
      </c>
      <c r="E20" s="240"/>
      <c r="F20" s="240"/>
      <c r="G20" s="240"/>
      <c r="H20" s="240"/>
      <c r="I20" s="240"/>
      <c r="J20" s="240"/>
      <c r="K20" s="240"/>
      <c r="L20" s="240">
        <f>[4]LinkSheet!$N$10+[4]LinkSheet!$N$12</f>
        <v>1614635.0250198713</v>
      </c>
      <c r="M20" s="240"/>
      <c r="N20" s="240"/>
      <c r="O20" s="240"/>
      <c r="P20" s="240"/>
      <c r="Q20" s="150"/>
      <c r="R20" s="151">
        <f t="shared" si="1" ref="R20">SUM(H20:P20)</f>
        <v>1614635.0250198713</v>
      </c>
      <c r="S20" s="154"/>
      <c r="U20" s="119"/>
      <c r="V20" s="119"/>
      <c r="W20" s="119"/>
      <c r="X20" s="119"/>
      <c r="Y20" s="119"/>
      <c r="Z20" s="119"/>
      <c r="AA20" s="119"/>
      <c r="AB20" s="85"/>
      <c r="AC20" s="148"/>
      <c r="AD20" s="148"/>
      <c r="AE20" s="148"/>
    </row>
    <row r="21" spans="2:31" ht="12.75" customHeight="1">
      <c r="B21" s="231">
        <f t="shared" si="0"/>
        <v>8</v>
      </c>
      <c r="C21" s="18"/>
      <c r="D21" s="168" t="s">
        <v>107</v>
      </c>
      <c r="E21" s="168"/>
      <c r="F21" s="201"/>
      <c r="G21" s="168"/>
      <c r="H21" s="201"/>
      <c r="I21" s="201"/>
      <c r="J21" s="201"/>
      <c r="K21" s="201"/>
      <c r="L21" s="201"/>
      <c r="M21" s="201"/>
      <c r="N21" s="201">
        <f>'[4]II-I-DIST'!$Q$31</f>
        <v>527901.21999979834</v>
      </c>
      <c r="O21" s="201"/>
      <c r="P21" s="201"/>
      <c r="Q21" s="19"/>
      <c r="R21" s="12">
        <f>N21</f>
        <v>527901.21999979834</v>
      </c>
      <c r="S21" s="7"/>
      <c r="U21" s="26"/>
      <c r="V21" s="26"/>
      <c r="W21" s="26"/>
      <c r="X21" s="26"/>
      <c r="Y21" s="26"/>
      <c r="Z21" s="26"/>
      <c r="AA21" s="26"/>
      <c r="AB21" s="10"/>
      <c r="AC21" s="4"/>
      <c r="AD21" s="4"/>
      <c r="AE21" s="4"/>
    </row>
    <row r="22" spans="2:40" ht="12.75" customHeight="1">
      <c r="B22" s="231">
        <f t="shared" si="0"/>
        <v>9</v>
      </c>
      <c r="C22" s="18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9"/>
      <c r="R22" s="128">
        <f>SUM(AF22:AN22)</f>
        <v>0</v>
      </c>
      <c r="S22" s="7"/>
      <c r="U22" s="26"/>
      <c r="V22" s="26"/>
      <c r="W22" s="26"/>
      <c r="X22" s="26"/>
      <c r="Y22" s="26"/>
      <c r="Z22" s="26"/>
      <c r="AA22" s="26"/>
      <c r="AB22" s="211" t="s">
        <v>78</v>
      </c>
      <c r="AC22" s="212"/>
      <c r="AD22" s="213"/>
      <c r="AE22" s="211"/>
      <c r="AF22" s="213">
        <v>0</v>
      </c>
      <c r="AG22" s="213"/>
      <c r="AH22" s="213">
        <v>0</v>
      </c>
      <c r="AI22" s="213"/>
      <c r="AJ22" s="213">
        <v>0</v>
      </c>
      <c r="AK22" s="213"/>
      <c r="AL22" s="213">
        <v>0</v>
      </c>
      <c r="AM22" s="213"/>
      <c r="AN22" s="213">
        <v>0</v>
      </c>
    </row>
    <row r="23" spans="2:28" ht="13.5" thickBot="1">
      <c r="B23" s="231">
        <f t="shared" si="0"/>
        <v>10</v>
      </c>
      <c r="C23" s="18"/>
      <c r="D23" s="168" t="s">
        <v>14</v>
      </c>
      <c r="E23" s="168"/>
      <c r="F23" s="201"/>
      <c r="G23" s="168"/>
      <c r="H23" s="243">
        <f>SUM(H15:H21)</f>
        <v>41005700.691494025</v>
      </c>
      <c r="I23" s="201"/>
      <c r="J23" s="243">
        <f>SUM(J15:J21)</f>
        <v>4160299.4122778391</v>
      </c>
      <c r="K23" s="201"/>
      <c r="L23" s="243">
        <f>SUM(L15:L21)</f>
        <v>10359105.786478423</v>
      </c>
      <c r="M23" s="201"/>
      <c r="N23" s="244">
        <f>SUM(N15:N20)-N21</f>
        <v>-4127469.9362091692</v>
      </c>
      <c r="O23" s="201"/>
      <c r="P23" s="244">
        <f>SUM(P15:P21)</f>
        <v>9889371.4573752526</v>
      </c>
      <c r="Q23" s="19"/>
      <c r="R23" s="14">
        <f>SUM(H23:P23)</f>
        <v>61287007.411416367</v>
      </c>
      <c r="S23" s="12"/>
      <c r="U23" s="131">
        <f>SUM(R15:R22)-R23</f>
        <v>1055802.4399996027</v>
      </c>
      <c r="V23" s="175"/>
      <c r="W23" s="175"/>
      <c r="X23" s="175"/>
      <c r="Y23" s="175"/>
      <c r="Z23" s="175"/>
      <c r="AA23" s="175"/>
      <c r="AB23" s="10"/>
    </row>
    <row r="24" spans="2:28" ht="13.5" thickTop="1">
      <c r="B24" s="231">
        <f t="shared" si="0"/>
        <v>11</v>
      </c>
      <c r="C24" s="18"/>
      <c r="D24" s="168"/>
      <c r="E24" s="168"/>
      <c r="F24" s="201"/>
      <c r="G24" s="168"/>
      <c r="H24" s="201"/>
      <c r="I24" s="201"/>
      <c r="J24" s="201"/>
      <c r="K24" s="201"/>
      <c r="L24" s="201"/>
      <c r="M24" s="201"/>
      <c r="N24" s="201"/>
      <c r="O24" s="201"/>
      <c r="P24" s="201"/>
      <c r="Q24" s="19"/>
      <c r="R24" s="12"/>
      <c r="S24" s="12"/>
      <c r="T24" s="10"/>
      <c r="U24" s="10"/>
      <c r="V24" s="10"/>
      <c r="W24" s="10"/>
      <c r="X24" s="10"/>
      <c r="Y24" s="10"/>
      <c r="Z24" s="10"/>
      <c r="AA24" s="10"/>
      <c r="AB24" s="10"/>
    </row>
    <row r="25" spans="2:28" ht="12.75">
      <c r="B25" s="231">
        <f t="shared" si="0"/>
        <v>12</v>
      </c>
      <c r="C25" s="18"/>
      <c r="D25" s="245" t="s">
        <v>20</v>
      </c>
      <c r="E25" s="168"/>
      <c r="F25" s="201"/>
      <c r="G25" s="246"/>
      <c r="H25" s="247">
        <f>+$J$47</f>
        <v>0.80059022999999996</v>
      </c>
      <c r="I25" s="201"/>
      <c r="J25" s="247">
        <f>+$J$47</f>
        <v>0.80059022999999996</v>
      </c>
      <c r="K25" s="248"/>
      <c r="L25" s="247">
        <f>+$J$47</f>
        <v>0.80059022999999996</v>
      </c>
      <c r="M25" s="248"/>
      <c r="N25" s="247">
        <f>+$J$47</f>
        <v>0.80059022999999996</v>
      </c>
      <c r="O25" s="248"/>
      <c r="P25" s="247">
        <f>+$J$47</f>
        <v>0.80059022999999996</v>
      </c>
      <c r="Q25" s="19"/>
      <c r="R25" s="12"/>
      <c r="S25" s="12"/>
      <c r="T25" s="10"/>
      <c r="U25" s="10"/>
      <c r="V25" s="10"/>
      <c r="W25" s="10"/>
      <c r="X25" s="10"/>
      <c r="Y25" s="10"/>
      <c r="Z25" s="10"/>
      <c r="AA25" s="10"/>
      <c r="AB25" s="10"/>
    </row>
    <row r="26" spans="2:28" ht="10.5" customHeight="1">
      <c r="B26" s="231">
        <f t="shared" si="0"/>
        <v>13</v>
      </c>
      <c r="C26" s="18"/>
      <c r="D26" s="9" t="s">
        <v>67</v>
      </c>
      <c r="E26" s="2"/>
      <c r="F26" s="5"/>
      <c r="G26" s="9"/>
      <c r="H26" s="106"/>
      <c r="I26" s="5"/>
      <c r="J26" s="5"/>
      <c r="K26" s="5"/>
      <c r="L26" s="5"/>
      <c r="M26" s="5"/>
      <c r="N26" s="5"/>
      <c r="O26" s="5"/>
      <c r="P26" s="5"/>
      <c r="Q26" s="19"/>
      <c r="R26" s="12"/>
      <c r="S26" s="12"/>
      <c r="T26" s="10"/>
      <c r="U26" s="10"/>
      <c r="V26" s="10"/>
      <c r="W26" s="10"/>
      <c r="X26" s="10"/>
      <c r="Y26" s="10"/>
      <c r="Z26" s="10"/>
      <c r="AA26" s="10"/>
      <c r="AB26" s="10"/>
    </row>
    <row r="27" spans="2:28" ht="6" customHeight="1">
      <c r="B27" s="231"/>
      <c r="C27" s="18"/>
      <c r="D27" s="9"/>
      <c r="E27" s="2"/>
      <c r="F27" s="5"/>
      <c r="G27" s="9"/>
      <c r="H27" s="5"/>
      <c r="I27" s="5"/>
      <c r="J27" s="5"/>
      <c r="K27" s="5"/>
      <c r="L27" s="5"/>
      <c r="M27" s="5"/>
      <c r="N27" s="5"/>
      <c r="O27" s="5"/>
      <c r="P27" s="5"/>
      <c r="Q27" s="19"/>
      <c r="R27" s="12"/>
      <c r="S27" s="12"/>
      <c r="T27" s="10"/>
      <c r="U27" s="10"/>
      <c r="V27" s="10"/>
      <c r="W27" s="10"/>
      <c r="X27" s="10"/>
      <c r="Y27" s="10"/>
      <c r="Z27" s="10"/>
      <c r="AA27" s="10"/>
      <c r="AB27" s="10"/>
    </row>
    <row r="28" spans="2:28" ht="13.5" thickBot="1">
      <c r="B28" s="231">
        <v>14</v>
      </c>
      <c r="C28" s="249" t="s">
        <v>19</v>
      </c>
      <c r="D28" s="250"/>
      <c r="E28" s="250"/>
      <c r="F28" s="251"/>
      <c r="G28" s="250"/>
      <c r="H28" s="252">
        <f>ROUND(H23*H25,0)</f>
        <v>32828763</v>
      </c>
      <c r="I28" s="251"/>
      <c r="J28" s="252">
        <f>ROUND(J23*J25,0)</f>
        <v>3330695</v>
      </c>
      <c r="K28" s="251"/>
      <c r="L28" s="252">
        <f>ROUND(L23*L25,0)</f>
        <v>8293399</v>
      </c>
      <c r="M28" s="251"/>
      <c r="N28" s="253">
        <f>ROUND(N23*N25,0)</f>
        <v>-3304412</v>
      </c>
      <c r="O28" s="251"/>
      <c r="P28" s="252">
        <f>ROUND(P23*P25,0)</f>
        <v>7917334</v>
      </c>
      <c r="Q28" s="169"/>
      <c r="R28" s="14">
        <f>SUM(H28:P28)</f>
        <v>49065779</v>
      </c>
      <c r="S28" s="12"/>
      <c r="T28" s="10"/>
      <c r="U28" s="10"/>
      <c r="V28" s="10"/>
      <c r="W28" s="10"/>
      <c r="X28" s="10"/>
      <c r="Y28" s="10"/>
      <c r="Z28" s="10"/>
      <c r="AA28" s="10"/>
      <c r="AB28" s="10"/>
    </row>
    <row r="29" spans="2:28" ht="12.6" customHeight="1" thickTop="1">
      <c r="B29" s="231"/>
      <c r="C29" s="254" t="s">
        <v>22</v>
      </c>
      <c r="D29" s="168"/>
      <c r="E29" s="168"/>
      <c r="F29" s="201"/>
      <c r="G29" s="168"/>
      <c r="H29" s="201"/>
      <c r="I29" s="201"/>
      <c r="J29" s="201"/>
      <c r="K29" s="201"/>
      <c r="L29" s="201"/>
      <c r="M29" s="201"/>
      <c r="N29" s="201"/>
      <c r="O29" s="201"/>
      <c r="P29" s="201"/>
      <c r="Q29" s="169"/>
      <c r="R29" s="12"/>
      <c r="S29" s="12"/>
      <c r="T29" s="10"/>
      <c r="U29" s="10"/>
      <c r="V29" s="10"/>
      <c r="W29" s="10"/>
      <c r="X29" s="10"/>
      <c r="Y29" s="10"/>
      <c r="Z29" s="10"/>
      <c r="AA29" s="10"/>
      <c r="AB29" s="10"/>
    </row>
    <row r="30" spans="2:28" ht="9.95" customHeight="1">
      <c r="B30" s="231"/>
      <c r="C30" s="18"/>
      <c r="D30" s="9"/>
      <c r="E30" s="2"/>
      <c r="F30" s="5"/>
      <c r="G30" s="9"/>
      <c r="H30" s="5"/>
      <c r="I30" s="5"/>
      <c r="J30" s="5"/>
      <c r="K30" s="5"/>
      <c r="L30" s="5"/>
      <c r="M30" s="5"/>
      <c r="N30" s="5"/>
      <c r="O30" s="5"/>
      <c r="P30" s="5"/>
      <c r="Q30" s="19"/>
      <c r="R30" s="12"/>
      <c r="S30" s="12"/>
      <c r="T30" s="10"/>
      <c r="U30" s="10"/>
      <c r="V30" s="10"/>
      <c r="W30" s="10"/>
      <c r="X30" s="10"/>
      <c r="Y30" s="10"/>
      <c r="Z30" s="10"/>
      <c r="AA30" s="10"/>
      <c r="AB30" s="10"/>
    </row>
    <row r="31" spans="2:28" ht="12.75">
      <c r="B31" s="231">
        <v>15</v>
      </c>
      <c r="C31" s="18"/>
      <c r="D31" s="9" t="s">
        <v>18</v>
      </c>
      <c r="E31" s="2"/>
      <c r="F31" s="5"/>
      <c r="G31" s="9"/>
      <c r="H31" s="5"/>
      <c r="I31" s="5"/>
      <c r="J31" s="5"/>
      <c r="K31" s="5"/>
      <c r="L31" s="5"/>
      <c r="M31" s="5"/>
      <c r="N31" s="5"/>
      <c r="O31" s="5"/>
      <c r="P31" s="5"/>
      <c r="Q31" s="19"/>
      <c r="R31" s="12"/>
      <c r="S31" s="12"/>
      <c r="T31" s="10"/>
      <c r="U31" s="10"/>
      <c r="V31" s="10"/>
      <c r="W31" s="10"/>
      <c r="X31" s="10"/>
      <c r="Y31" s="10"/>
      <c r="Z31" s="10"/>
      <c r="AA31" s="10"/>
      <c r="AB31" s="10"/>
    </row>
    <row r="32" spans="2:28" ht="6" customHeight="1" thickBot="1">
      <c r="B32" s="231"/>
      <c r="C32" s="107"/>
      <c r="D32" s="108"/>
      <c r="E32" s="109"/>
      <c r="F32" s="110"/>
      <c r="G32" s="108"/>
      <c r="H32" s="110"/>
      <c r="I32" s="110"/>
      <c r="J32" s="110"/>
      <c r="K32" s="110"/>
      <c r="L32" s="110"/>
      <c r="M32" s="110"/>
      <c r="N32" s="110"/>
      <c r="O32" s="110"/>
      <c r="P32" s="110"/>
      <c r="Q32" s="111"/>
      <c r="R32" s="8"/>
      <c r="S32" s="8"/>
      <c r="T32" s="10"/>
      <c r="U32" s="10"/>
      <c r="V32" s="10"/>
      <c r="W32" s="10"/>
      <c r="X32" s="10"/>
      <c r="Y32" s="10"/>
      <c r="Z32" s="10"/>
      <c r="AA32" s="10"/>
      <c r="AB32" s="10"/>
    </row>
    <row r="33" spans="2:17" ht="9" customHeight="1">
      <c r="B33" s="231"/>
      <c r="C33" s="4"/>
      <c r="D33" s="10"/>
      <c r="E33" s="10"/>
      <c r="F33" s="10"/>
      <c r="G33" s="10"/>
      <c r="H33" s="10"/>
      <c r="I33" s="10"/>
      <c r="J33" s="32"/>
      <c r="K33" s="4"/>
      <c r="L33" s="4"/>
      <c r="M33" s="4"/>
      <c r="N33" s="4"/>
      <c r="O33" s="4"/>
      <c r="P33" s="4"/>
      <c r="Q33" s="4"/>
    </row>
    <row r="34" spans="2:17" ht="27" customHeight="1">
      <c r="B34" s="231">
        <v>16</v>
      </c>
      <c r="C34" s="287" t="s">
        <v>105</v>
      </c>
      <c r="D34" s="274"/>
      <c r="E34" s="274"/>
      <c r="F34" s="274"/>
      <c r="G34" s="274"/>
      <c r="H34" s="274"/>
      <c r="I34" s="10"/>
      <c r="J34" s="32">
        <f>[4]LinkSheet!$N$8+[4]LinkSheet!$N$10+[4]LinkSheet!$N$12</f>
        <v>61287007.390126586</v>
      </c>
      <c r="K34" s="120" t="s">
        <v>68</v>
      </c>
      <c r="L34" s="126"/>
      <c r="M34" s="4"/>
      <c r="N34" s="182"/>
      <c r="O34" s="4"/>
      <c r="P34" s="180"/>
      <c r="Q34" s="4"/>
    </row>
    <row r="35" spans="2:17" ht="4.5" customHeight="1">
      <c r="B35" s="231"/>
      <c r="C35" s="4"/>
      <c r="D35" s="4"/>
      <c r="E35" s="4"/>
      <c r="F35" s="4"/>
      <c r="G35" s="4"/>
      <c r="H35" s="4"/>
      <c r="I35" s="4"/>
      <c r="J35" s="115"/>
      <c r="K35" s="121"/>
      <c r="L35" s="4"/>
      <c r="M35" s="4"/>
      <c r="N35" s="4"/>
      <c r="O35" s="4"/>
      <c r="P35" s="4"/>
      <c r="Q35" s="4"/>
    </row>
    <row r="36" spans="2:17" ht="10.5" customHeight="1">
      <c r="B36" s="231">
        <v>17</v>
      </c>
      <c r="C36" s="4"/>
      <c r="D36" s="4"/>
      <c r="E36" s="10" t="s">
        <v>10</v>
      </c>
      <c r="F36" s="4"/>
      <c r="G36" s="4"/>
      <c r="H36" s="4"/>
      <c r="I36" s="4"/>
      <c r="J36" s="115"/>
      <c r="K36" s="121"/>
      <c r="L36" s="4"/>
      <c r="M36" s="4"/>
      <c r="N36" s="4"/>
      <c r="O36" s="4"/>
      <c r="P36" s="4"/>
      <c r="Q36" s="4"/>
    </row>
    <row r="37" spans="2:17" ht="5.25" customHeight="1" thickBot="1">
      <c r="B37" s="231"/>
      <c r="C37" s="4"/>
      <c r="D37" s="4"/>
      <c r="E37" s="4"/>
      <c r="F37" s="4"/>
      <c r="G37" s="4"/>
      <c r="H37" s="4"/>
      <c r="I37" s="4"/>
      <c r="J37" s="115"/>
      <c r="K37" s="121"/>
      <c r="L37" s="4"/>
      <c r="M37" s="4"/>
      <c r="N37" s="4"/>
      <c r="O37" s="4"/>
      <c r="P37" s="4"/>
      <c r="Q37" s="4"/>
    </row>
    <row r="38" spans="2:20" ht="12" customHeight="1" thickBot="1">
      <c r="B38" s="231">
        <v>18</v>
      </c>
      <c r="C38" s="4"/>
      <c r="D38" s="4"/>
      <c r="E38" s="10" t="s">
        <v>11</v>
      </c>
      <c r="F38" s="4"/>
      <c r="G38" s="4"/>
      <c r="H38" s="4"/>
      <c r="I38" s="4"/>
      <c r="J38" s="119">
        <f>[3]OL!$O$75</f>
        <v>10121742</v>
      </c>
      <c r="K38" s="119"/>
      <c r="L38" s="126"/>
      <c r="M38" s="4"/>
      <c r="N38" s="130"/>
      <c r="O38" s="4"/>
      <c r="P38" s="4"/>
      <c r="Q38" s="4"/>
      <c r="S38" s="118" t="s">
        <v>64</v>
      </c>
      <c r="T38" s="129">
        <f>+R28-J44</f>
        <v>-0.39012658596038818</v>
      </c>
    </row>
    <row r="39" spans="2:17" ht="12" customHeight="1">
      <c r="B39" s="231">
        <f t="shared" si="0"/>
        <v>19</v>
      </c>
      <c r="C39" s="4"/>
      <c r="D39" s="4"/>
      <c r="E39" s="10" t="s">
        <v>13</v>
      </c>
      <c r="F39" s="4"/>
      <c r="G39" s="4"/>
      <c r="H39" s="4"/>
      <c r="I39" s="4"/>
      <c r="J39" s="119">
        <f>[3]SL!$I$203</f>
        <v>38502</v>
      </c>
      <c r="K39" s="121"/>
      <c r="L39" s="4"/>
      <c r="M39" s="4"/>
      <c r="N39" s="4"/>
      <c r="O39" s="4"/>
      <c r="P39" s="4"/>
      <c r="Q39" s="4"/>
    </row>
    <row r="40" spans="2:20" ht="12" customHeight="1">
      <c r="B40" s="231">
        <f t="shared" si="0"/>
        <v>20</v>
      </c>
      <c r="C40" s="4"/>
      <c r="D40" s="4"/>
      <c r="E40" s="10" t="s">
        <v>71</v>
      </c>
      <c r="F40" s="4"/>
      <c r="G40" s="4"/>
      <c r="H40" s="4"/>
      <c r="I40" s="4"/>
      <c r="J40" s="119">
        <f>[3]SL!$I$19</f>
        <v>349044</v>
      </c>
      <c r="K40" s="121"/>
      <c r="L40" s="4"/>
      <c r="M40" s="4"/>
      <c r="N40" s="4"/>
      <c r="O40" s="4"/>
      <c r="P40" s="4"/>
      <c r="Q40" s="4"/>
      <c r="T40" s="127"/>
    </row>
    <row r="41" spans="2:16" ht="12" customHeight="1">
      <c r="B41" s="231">
        <f t="shared" si="0"/>
        <v>21</v>
      </c>
      <c r="E41" s="8" t="s">
        <v>72</v>
      </c>
      <c r="J41" s="119">
        <f>[3]SL!$I$197</f>
        <v>273124</v>
      </c>
      <c r="K41" s="122"/>
      <c r="N41" s="221"/>
      <c r="P41" s="221"/>
    </row>
    <row r="42" spans="2:17" ht="12" customHeight="1">
      <c r="B42" s="231">
        <f t="shared" si="0"/>
        <v>22</v>
      </c>
      <c r="D42" s="31"/>
      <c r="E42" s="8" t="s">
        <v>12</v>
      </c>
      <c r="J42" s="32">
        <f>[3]SL!$I$181+[3]SL!$I$182</f>
        <v>1438816</v>
      </c>
      <c r="K42" s="122"/>
      <c r="L42" s="112"/>
      <c r="P42" s="25"/>
      <c r="Q42" s="8"/>
    </row>
    <row r="43" spans="2:11" ht="4.5" customHeight="1">
      <c r="B43" s="231"/>
      <c r="J43" s="115"/>
      <c r="K43" s="122"/>
    </row>
    <row r="44" spans="2:20" ht="15.75" customHeight="1" thickBot="1">
      <c r="B44" s="231">
        <v>23</v>
      </c>
      <c r="D44" s="123" t="s">
        <v>73</v>
      </c>
      <c r="J44" s="116">
        <f>$J$34-SUM(J38:J43)</f>
        <v>49065779.390126586</v>
      </c>
      <c r="K44" s="122" t="s">
        <v>69</v>
      </c>
      <c r="T44" s="15">
        <f>+J44/J34</f>
        <v>0.80059023077754565</v>
      </c>
    </row>
    <row r="45" spans="2:11" ht="12" customHeight="1" thickTop="1">
      <c r="B45" s="231">
        <f t="shared" si="0"/>
        <v>24</v>
      </c>
      <c r="K45" s="8"/>
    </row>
    <row r="46" spans="2:11" ht="12" customHeight="1">
      <c r="B46" s="231">
        <f t="shared" si="0"/>
        <v>25</v>
      </c>
      <c r="D46" s="123" t="s">
        <v>17</v>
      </c>
      <c r="K46" s="8"/>
    </row>
    <row r="47" spans="2:11" ht="12.75">
      <c r="B47" s="231">
        <f t="shared" si="0"/>
        <v>26</v>
      </c>
      <c r="D47" s="123" t="s">
        <v>16</v>
      </c>
      <c r="J47" s="8">
        <f>ROUND(J44/J34,8)</f>
        <v>0.80059022999999996</v>
      </c>
      <c r="K47" s="17" t="s">
        <v>70</v>
      </c>
    </row>
    <row r="48" spans="2:5" ht="8.25" customHeight="1">
      <c r="B48" s="231"/>
      <c r="D48" s="1"/>
      <c r="E48" s="1"/>
    </row>
    <row r="49" spans="2:20" ht="12.75">
      <c r="B49" s="231">
        <v>27</v>
      </c>
      <c r="D49" s="10" t="s">
        <v>74</v>
      </c>
      <c r="E49" s="4"/>
      <c r="F49" s="4"/>
      <c r="G49" s="4"/>
      <c r="H49" s="4"/>
      <c r="R49" s="114"/>
      <c r="T49" s="6"/>
    </row>
    <row r="50" spans="18:18" ht="12.75">
      <c r="R50" s="6"/>
    </row>
    <row r="51" spans="5:18" ht="12.75">
      <c r="E51" s="117"/>
      <c r="R51" s="114"/>
    </row>
    <row r="52" spans="4:16" ht="12.75">
      <c r="D52" s="8"/>
      <c r="H52" s="6"/>
      <c r="J52" s="6"/>
      <c r="K52" s="6"/>
      <c r="L52" s="6"/>
      <c r="M52" s="6"/>
      <c r="N52" s="6"/>
      <c r="O52" s="6"/>
      <c r="P52" s="6"/>
    </row>
  </sheetData>
  <mergeCells count="7">
    <mergeCell ref="C34:H34"/>
    <mergeCell ref="C9:Q9"/>
    <mergeCell ref="C4:Q4"/>
    <mergeCell ref="C5:Q5"/>
    <mergeCell ref="C6:Q6"/>
    <mergeCell ref="C7:Q7"/>
    <mergeCell ref="D10:E10"/>
  </mergeCells>
  <printOptions horizontalCentered="1"/>
  <pageMargins left="0.75" right="0.75" top="1.1" bottom="0.5" header="0" footer="0"/>
  <pageSetup cellComments="asDisplayed" orientation="landscape" scale="79" r:id="rId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 Rate Design Sch. A&amp;B</vt:lpstr>
      <vt:lpstr>Revenue Req.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0572eb0c-bc76-444a-9890-57ed31331d2d</vt:lpwstr>
  </property>
</Properties>
</file>