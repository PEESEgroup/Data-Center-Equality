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ction IV (Rate Design)\Section V Workpapers\"/>
    </mc:Choice>
  </mc:AlternateContent>
  <bookViews>
    <workbookView xWindow="120" yWindow="180" windowWidth="14955" windowHeight="8580" activeTab="0"/>
  </bookViews>
  <sheets>
    <sheet name="Cost Assignments by Group" sheetId="2" r:id="rId2"/>
  </sheets>
  <externalReferences>
    <externalReference r:id="rId5"/>
  </externalReferences>
  <definedNames>
    <definedName name="FactorTable">'Cost Assignments by Group'!$G$1292:$S$1386</definedName>
    <definedName name="FFT_D">#REF!</definedName>
    <definedName name="_xlnm.Print_Area" localSheetId="0">'Cost Assignments by Group'!$B$2:$M$181</definedName>
    <definedName name="_xlnm.Print_Titles" localSheetId="0">'Cost Assignments by Group'!$2:$8</definedName>
    <definedName name="Z">'Cost Assignments by Group'!$B$1215:$P$1361</definedName>
  </definedNames>
  <calcPr calcId="152511"/>
</workbook>
</file>

<file path=xl/calcChain.xml><?xml version="1.0" encoding="utf-8"?>
<calcChain xmlns="http://schemas.openxmlformats.org/spreadsheetml/2006/main">
  <c r="F190" i="2" l="1"/>
</calcChain>
</file>

<file path=xl/sharedStrings.xml><?xml version="1.0" encoding="utf-8"?>
<sst xmlns="http://schemas.openxmlformats.org/spreadsheetml/2006/main" count="331" uniqueCount="216">
  <si>
    <t>Subtotal</t>
  </si>
  <si>
    <t>Land Owned in Fee</t>
  </si>
  <si>
    <t>Land and Land Rights</t>
  </si>
  <si>
    <t>Structures and Improvements</t>
  </si>
  <si>
    <t>Station Equipment</t>
  </si>
  <si>
    <t>A360</t>
  </si>
  <si>
    <t>A361</t>
  </si>
  <si>
    <t>A362</t>
  </si>
  <si>
    <t>A363</t>
  </si>
  <si>
    <t>Storage Battery Equipment</t>
  </si>
  <si>
    <t>A364P</t>
  </si>
  <si>
    <t>A365P</t>
  </si>
  <si>
    <t>O.H. Conductors &amp; Devices-Total</t>
  </si>
  <si>
    <t>O.H. Conductors &amp; Devices-Primary</t>
  </si>
  <si>
    <t>O.H. Conductors &amp; Devices-Secondary</t>
  </si>
  <si>
    <t>A366P</t>
  </si>
  <si>
    <t>Underground Conduits-Total</t>
  </si>
  <si>
    <t>Underground Conduits-Primary</t>
  </si>
  <si>
    <t>Underground Conduits-Secondary</t>
  </si>
  <si>
    <t>A367P</t>
  </si>
  <si>
    <t>U.G. Conductors &amp; Devices-Total</t>
  </si>
  <si>
    <t>U.G. Conductors &amp; Devices-Primary</t>
  </si>
  <si>
    <t>U.G. Conductors &amp; Devices-Secondary</t>
  </si>
  <si>
    <t>A368P</t>
  </si>
  <si>
    <t>Line Transformers-Total</t>
  </si>
  <si>
    <t>Line Transformers-Primary</t>
  </si>
  <si>
    <t>Line Transformers-Secondary</t>
  </si>
  <si>
    <t>Capacitors</t>
  </si>
  <si>
    <t>A369</t>
  </si>
  <si>
    <t>Services</t>
  </si>
  <si>
    <t>A370</t>
  </si>
  <si>
    <t>Meters</t>
  </si>
  <si>
    <t>A371</t>
  </si>
  <si>
    <t>Install. on Customer Prem.</t>
  </si>
  <si>
    <t>A372</t>
  </si>
  <si>
    <t>Leased Prop. on Cust. Premises</t>
  </si>
  <si>
    <t>A373</t>
  </si>
  <si>
    <t>Street Lights</t>
  </si>
  <si>
    <t>A374</t>
  </si>
  <si>
    <t>TOTAL TRAN PLANT-NET</t>
  </si>
  <si>
    <t>OTHER  RATE  BASE:</t>
  </si>
  <si>
    <t>Rate of Return</t>
  </si>
  <si>
    <t>Total Other Rate Base</t>
  </si>
  <si>
    <r>
      <t xml:space="preserve">TOTAL GENERAL PLANT-NET </t>
    </r>
    <r>
      <rPr>
        <sz val="8"/>
        <rFont val="Verdana"/>
        <family val="2"/>
      </rPr>
      <t>(Incl. Comm Eq.)</t>
    </r>
  </si>
  <si>
    <t>Rate Base</t>
  </si>
  <si>
    <t>Allocated to</t>
  </si>
  <si>
    <t>Lighting Class</t>
  </si>
  <si>
    <t>Based on</t>
  </si>
  <si>
    <t xml:space="preserve">Load </t>
  </si>
  <si>
    <t xml:space="preserve">Installed Cost </t>
  </si>
  <si>
    <t>Per Light Basis</t>
  </si>
  <si>
    <t>Relative Revenue</t>
  </si>
  <si>
    <t>By Light Type</t>
  </si>
  <si>
    <r>
      <t xml:space="preserve">Other Items </t>
    </r>
    <r>
      <rPr>
        <b/>
        <vertAlign val="superscript"/>
        <sz val="8"/>
        <rFont val="Verdana"/>
        <family val="2"/>
      </rPr>
      <t>3</t>
    </r>
  </si>
  <si>
    <t>2 - ADIT is treated as a reduction in rate base - as such, it is shown as a negative cost.</t>
  </si>
  <si>
    <t>Assign</t>
  </si>
  <si>
    <t xml:space="preserve">Assign on a </t>
  </si>
  <si>
    <t>Operation</t>
  </si>
  <si>
    <t>Load Dispatching</t>
  </si>
  <si>
    <t>Rents</t>
  </si>
  <si>
    <t>Maintenance</t>
  </si>
  <si>
    <t>Maint. of Structures</t>
  </si>
  <si>
    <t>Maint. of Station Equipment</t>
  </si>
  <si>
    <t>Maint. of Overhead Lines</t>
  </si>
  <si>
    <t>Maint. of Underground Lines</t>
  </si>
  <si>
    <t>A580</t>
  </si>
  <si>
    <t>A581</t>
  </si>
  <si>
    <t>A582</t>
  </si>
  <si>
    <t>Station Expenses</t>
  </si>
  <si>
    <t>A583</t>
  </si>
  <si>
    <t>Overhead Line Expense</t>
  </si>
  <si>
    <t>A584</t>
  </si>
  <si>
    <t xml:space="preserve">Underground Line Expense </t>
  </si>
  <si>
    <t>A585</t>
  </si>
  <si>
    <t xml:space="preserve">Street Lights </t>
  </si>
  <si>
    <t>A586</t>
  </si>
  <si>
    <t xml:space="preserve">Meter Expenses </t>
  </si>
  <si>
    <t>A587</t>
  </si>
  <si>
    <t xml:space="preserve">Customer Installation Expense </t>
  </si>
  <si>
    <t>A 588</t>
  </si>
  <si>
    <t>A589</t>
  </si>
  <si>
    <t xml:space="preserve">Rents </t>
  </si>
  <si>
    <t>Distribution-Operation-Total</t>
  </si>
  <si>
    <t>A590</t>
  </si>
  <si>
    <t>A591</t>
  </si>
  <si>
    <t>A592</t>
  </si>
  <si>
    <t>A593</t>
  </si>
  <si>
    <t>A594</t>
  </si>
  <si>
    <t>A595</t>
  </si>
  <si>
    <t>Maint. of Line Transformers</t>
  </si>
  <si>
    <t>A596</t>
  </si>
  <si>
    <t>Maint. of Street Lights</t>
  </si>
  <si>
    <t>A597</t>
  </si>
  <si>
    <t>Maint. of Meters</t>
  </si>
  <si>
    <t>A598</t>
  </si>
  <si>
    <t>Maint. of Misc. Dist. Plant.</t>
  </si>
  <si>
    <t>Customer Accounting Expenses</t>
  </si>
  <si>
    <t>Supervision</t>
  </si>
  <si>
    <t>Subtotal Customer Accounting</t>
  </si>
  <si>
    <t>Cust. Service &amp; Information Expense</t>
  </si>
  <si>
    <t>A906</t>
  </si>
  <si>
    <t>Cust Svc &amp; Informational Expense</t>
  </si>
  <si>
    <t>A907</t>
  </si>
  <si>
    <t>A909</t>
  </si>
  <si>
    <t>Inform. &amp; Instruct. Adv. Exp.</t>
  </si>
  <si>
    <t>A910</t>
  </si>
  <si>
    <t>Misc. Cust. Service &amp; Inform.</t>
  </si>
  <si>
    <t>Sales Expense</t>
  </si>
  <si>
    <t>A912</t>
  </si>
  <si>
    <t>Demonstrating &amp; Selling Exp./Adv.</t>
  </si>
  <si>
    <t>A913</t>
  </si>
  <si>
    <t>Advertising Exp.</t>
  </si>
  <si>
    <t>A916</t>
  </si>
  <si>
    <t>Misc. Sales Exp.</t>
  </si>
  <si>
    <t>A920</t>
  </si>
  <si>
    <t>Admin. &amp; General Salaries</t>
  </si>
  <si>
    <t>A921</t>
  </si>
  <si>
    <t>Office Supplies</t>
  </si>
  <si>
    <t>A922</t>
  </si>
  <si>
    <t>Admin Expense Transferred</t>
  </si>
  <si>
    <t>A923</t>
  </si>
  <si>
    <t>Outside Services</t>
  </si>
  <si>
    <t>A924</t>
  </si>
  <si>
    <t>Property Insurance Exp.</t>
  </si>
  <si>
    <t>A925</t>
  </si>
  <si>
    <t>Injuries &amp; Damages</t>
  </si>
  <si>
    <t>A926</t>
  </si>
  <si>
    <t>Pensions &amp; Benefits</t>
  </si>
  <si>
    <t>A928</t>
  </si>
  <si>
    <t xml:space="preserve">Misc. General Expense </t>
  </si>
  <si>
    <t>A931</t>
  </si>
  <si>
    <t>A935</t>
  </si>
  <si>
    <t>Maint. of General Plant</t>
  </si>
  <si>
    <t>TOTAL A&amp;G EXPENSE</t>
  </si>
  <si>
    <t>O&amp;M Expenses :</t>
  </si>
  <si>
    <r>
      <t xml:space="preserve">Accumulated Deferred Fed Inc Taxes </t>
    </r>
    <r>
      <rPr>
        <b/>
        <vertAlign val="superscript"/>
        <sz val="8"/>
        <rFont val="Verdana"/>
        <family val="2"/>
      </rPr>
      <t>2</t>
    </r>
  </si>
  <si>
    <t>A&amp;G Expenses :</t>
  </si>
  <si>
    <r>
      <t>TOTAL INTANGIBLE PLANT-NET</t>
    </r>
    <r>
      <rPr>
        <b/>
        <vertAlign val="superscript"/>
        <sz val="8"/>
        <rFont val="Verdana"/>
        <family val="2"/>
      </rPr>
      <t xml:space="preserve"> </t>
    </r>
  </si>
  <si>
    <r>
      <t xml:space="preserve">TOTAL PLANT IN SERV-NET * </t>
    </r>
    <r>
      <rPr>
        <sz val="8"/>
        <rFont val="Verdana"/>
        <family val="2"/>
      </rPr>
      <t>(Incl. Intangibles)</t>
    </r>
  </si>
  <si>
    <t xml:space="preserve">Maintenance  </t>
  </si>
  <si>
    <t xml:space="preserve">Subtotal </t>
  </si>
  <si>
    <t>Taxes</t>
  </si>
  <si>
    <t>Ad Valorem Taxes</t>
  </si>
  <si>
    <t>Federal Income Taxes</t>
  </si>
  <si>
    <t>Texas Gross Margin Tax</t>
  </si>
  <si>
    <t>Municipal Franchise Fees</t>
  </si>
  <si>
    <t>Rate Base - Net Distribution Plant</t>
  </si>
  <si>
    <t>Distribution Expense:</t>
  </si>
  <si>
    <t>Payroll-Related Taxes</t>
  </si>
  <si>
    <t>Percentage of Total O&amp;M Expense</t>
  </si>
  <si>
    <t>(Assigned based on % of Total O&amp;M Exp.)</t>
  </si>
  <si>
    <t>TOTAL  TAXES</t>
  </si>
  <si>
    <t>Transmission-Related O&amp;M Expense</t>
  </si>
  <si>
    <t>A364S</t>
  </si>
  <si>
    <t>A365S</t>
  </si>
  <si>
    <t>A366S</t>
  </si>
  <si>
    <t>A367S</t>
  </si>
  <si>
    <t>A368S</t>
  </si>
  <si>
    <t>A368C</t>
  </si>
  <si>
    <t>data source:</t>
  </si>
  <si>
    <t>II-I.xls</t>
  </si>
  <si>
    <t>A908</t>
  </si>
  <si>
    <t>Customer Assistance Exp.</t>
  </si>
  <si>
    <t>A932</t>
  </si>
  <si>
    <t>A930.2</t>
  </si>
  <si>
    <t>Non-Revenue-Related Taxes:</t>
  </si>
  <si>
    <t>materials &amp; supplies</t>
  </si>
  <si>
    <t>Cash WC</t>
  </si>
  <si>
    <t>Pre payments</t>
  </si>
  <si>
    <t>A588</t>
  </si>
  <si>
    <t>ONCOR  ELECTRIC  DELIVERY  COMPANY  LLC</t>
  </si>
  <si>
    <t>ASSIGNMENT OF  DISTRIBUTION  FUNCTION  COSTS  ALLOCATED  TO  THE  LIGHTING  CLASS</t>
  </si>
  <si>
    <t xml:space="preserve">Adjusted Return on Rate Base as a </t>
  </si>
  <si>
    <t xml:space="preserve">Percentage of Return on Rate Base = </t>
  </si>
  <si>
    <t>TOTAL RATE BASE</t>
  </si>
  <si>
    <t>RETURN ON RATE BASE</t>
  </si>
  <si>
    <t>ADJUSTED RETURN ON RATE BASE</t>
  </si>
  <si>
    <t>&lt;---- Dist Plant Net =</t>
  </si>
  <si>
    <t>A911</t>
  </si>
  <si>
    <t>A930.1</t>
  </si>
  <si>
    <t xml:space="preserve">General Advertising Expense </t>
  </si>
  <si>
    <t>TOTAL O&amp;M and CUSTOMER EXPENSE</t>
  </si>
  <si>
    <t>Poles, Towers &amp; Fixtures-Total</t>
  </si>
  <si>
    <t>Poles, Towers &amp; Fixtures-Primary</t>
  </si>
  <si>
    <t>Poles, Towers &amp; Fixtures-Secondary</t>
  </si>
  <si>
    <t>Administrative &amp; General Expenses</t>
  </si>
  <si>
    <t>Operation Supervising &amp; Engineering</t>
  </si>
  <si>
    <t>Maintenance Supervising &amp; Engineering</t>
  </si>
  <si>
    <t>Misc Other Rate Base</t>
  </si>
  <si>
    <t>Adjustment to Lighting Class Return on Rate Base</t>
  </si>
  <si>
    <t>Misc. Distribution Expenses</t>
  </si>
  <si>
    <t>A901-</t>
  </si>
  <si>
    <t>905 Customer Records  &amp; Collection</t>
  </si>
  <si>
    <t>SPONSOR :  MATTHEW A. TROXLE</t>
  </si>
  <si>
    <t>2022  RATE  CASE</t>
  </si>
  <si>
    <t>FOR  THE  TEST  YEAR  ENDING  DECEMBER  31, 2021</t>
  </si>
  <si>
    <t>1 - Deferred pension costs, deferred other post-employment costs, Covid-19 incremental expense, rate case expenses, and self insurance reserve.</t>
  </si>
  <si>
    <t xml:space="preserve"> Plant Held for Future Use</t>
  </si>
  <si>
    <t>Tax-Related Regulatory Assets</t>
  </si>
  <si>
    <r>
      <t xml:space="preserve">Non-Tax Regulatory Assets </t>
    </r>
    <r>
      <rPr>
        <b/>
        <vertAlign val="superscript"/>
        <sz val="8"/>
        <rFont val="Verdana"/>
        <family val="2"/>
      </rPr>
      <t>1</t>
    </r>
  </si>
  <si>
    <t>3 - Plant Held for Future Use, Miscellaneous Other Rate Base, Materials &amp; Supplies, Cash Working Capital, and Prepayments.</t>
  </si>
  <si>
    <t>Depr</t>
  </si>
  <si>
    <t>Other</t>
  </si>
  <si>
    <t>Less Other Rev.</t>
  </si>
  <si>
    <t>Sub Tot</t>
  </si>
  <si>
    <t>Total</t>
  </si>
  <si>
    <t>Regulatory Comm. Exp. (excluding 72.7923%)</t>
  </si>
  <si>
    <t>Line #</t>
  </si>
  <si>
    <t>[A]</t>
  </si>
  <si>
    <t>[B]</t>
  </si>
  <si>
    <t>[C]</t>
  </si>
  <si>
    <t>[D]</t>
  </si>
  <si>
    <t>[E]</t>
  </si>
  <si>
    <t>[F]</t>
  </si>
  <si>
    <t>[G]</t>
  </si>
  <si>
    <t>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</si>
</sst>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  <numFmt numFmtId="167" formatCode="0.000000"/>
    <numFmt numFmtId="168" formatCode="_(&quot;$&quot;* #,##0_);_(&quot;$&quot;* \(#,##0\);_(&quot;$&quot;* &quot;-&quot;??_);_(@_)"/>
    <numFmt numFmtId="169" formatCode="#,##0.000000_);\(#,##0.000000\)"/>
    <numFmt numFmtId="170" formatCode="0.0000%"/>
  </numFmts>
  <fonts count="21">
    <font>
      <sz val="10"/>
      <name val="Verdana"/>
      <family val="2"/>
    </font>
    <font>
      <sz val="10"/>
      <color theme="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name val="Verdana"/>
      <family val="2"/>
    </font>
    <font>
      <b/>
      <sz val="8"/>
      <name val="Verdana"/>
      <family val="2"/>
    </font>
    <font>
      <u val="single"/>
      <sz val="8"/>
      <name val="Verdana"/>
      <family val="2"/>
    </font>
    <font>
      <b/>
      <u val="single"/>
      <sz val="8"/>
      <name val="Verdana"/>
      <family val="2"/>
    </font>
    <font>
      <sz val="8"/>
      <color indexed="8"/>
      <name val="Verdana"/>
      <family val="2"/>
    </font>
    <font>
      <b/>
      <vertAlign val="superscript"/>
      <sz val="8"/>
      <name val="Verdana"/>
      <family val="2"/>
    </font>
    <font>
      <b/>
      <u val="single"/>
      <sz val="8"/>
      <name val="Times New Roman"/>
      <family val="1"/>
    </font>
    <font>
      <sz val="8"/>
      <name val="Arial"/>
      <family val="2"/>
    </font>
    <font>
      <b/>
      <sz val="10"/>
      <name val="Verdana"/>
      <family val="2"/>
    </font>
    <font>
      <sz val="11"/>
      <name val="Arial"/>
      <family val="2"/>
    </font>
    <font>
      <sz val="9"/>
      <name val="Verdana"/>
      <family val="2"/>
    </font>
    <font>
      <sz val="10"/>
      <name val="Arial"/>
      <family val="2"/>
    </font>
    <font>
      <strike/>
      <sz val="8"/>
      <name val="Verdana"/>
      <family val="2"/>
    </font>
    <font>
      <u val="single"/>
      <sz val="8"/>
      <name val="Tahoma"/>
      <family val="2"/>
    </font>
    <font>
      <sz val="8"/>
      <name val="Tahoma"/>
      <family val="2"/>
    </font>
    <font>
      <b/>
      <u val="single"/>
      <sz val="9"/>
      <name val="Verdana"/>
      <family val="2"/>
    </font>
    <font>
      <b/>
      <sz val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6" tint="0.599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/>
      <bottom/>
    </border>
    <border>
      <left/>
      <right/>
      <top/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 style="medium">
        <color auto="1"/>
      </right>
      <top/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3">
    <xf numFmtId="0" fontId="0" fillId="0" borderId="0" xfId="0"/>
    <xf numFmtId="0" fontId="3" fillId="0" borderId="0" xfId="0" applyFont="1" applyFill="1" applyBorder="1"/>
    <xf numFmtId="164" fontId="4" fillId="0" borderId="0" xfId="0" applyNumberFormat="1" applyFont="1" applyBorder="1"/>
    <xf numFmtId="164" fontId="4" fillId="0" borderId="0" xfId="0" applyNumberFormat="1" applyFont="1" applyFill="1" applyBorder="1"/>
    <xf numFmtId="164" fontId="5" fillId="0" borderId="1" xfId="0" applyNumberFormat="1" applyFont="1" applyBorder="1"/>
    <xf numFmtId="0" fontId="4" fillId="0" borderId="0" xfId="0" applyFont="1"/>
    <xf numFmtId="0" fontId="7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166" fontId="7" fillId="0" borderId="0" xfId="0" applyNumberFormat="1" applyFont="1" applyFill="1" applyBorder="1"/>
    <xf numFmtId="166" fontId="4" fillId="0" borderId="0" xfId="0" applyNumberFormat="1" applyFont="1" applyFill="1" applyBorder="1"/>
    <xf numFmtId="166" fontId="4" fillId="0" borderId="0" xfId="0" applyNumberFormat="1" applyFont="1" applyFill="1" applyBorder="1" applyAlignment="1" quotePrefix="1">
      <alignment horizontal="left"/>
    </xf>
    <xf numFmtId="166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 quotePrefix="1">
      <alignment horizontal="right"/>
    </xf>
    <xf numFmtId="0" fontId="7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/>
    </xf>
    <xf numFmtId="166" fontId="0" fillId="0" borderId="0" xfId="0" applyNumberForma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4" xfId="0" applyFont="1" applyFill="1" applyBorder="1"/>
    <xf numFmtId="0" fontId="4" fillId="0" borderId="4" xfId="0" applyFont="1" applyFill="1" applyBorder="1"/>
    <xf numFmtId="0" fontId="10" fillId="0" borderId="4" xfId="0" applyFont="1" applyFill="1" applyBorder="1"/>
    <xf numFmtId="166" fontId="5" fillId="0" borderId="4" xfId="0" applyNumberFormat="1" applyFont="1" applyFill="1" applyBorder="1"/>
    <xf numFmtId="166" fontId="4" fillId="0" borderId="4" xfId="0" applyNumberFormat="1" applyFont="1" applyFill="1" applyBorder="1"/>
    <xf numFmtId="0" fontId="4" fillId="0" borderId="4" xfId="0" applyFont="1" applyFill="1" applyBorder="1" applyAlignment="1">
      <alignment horizontal="left"/>
    </xf>
    <xf numFmtId="164" fontId="4" fillId="0" borderId="0" xfId="0" applyNumberFormat="1" applyFont="1" applyFill="1" applyBorder="1"/>
    <xf numFmtId="0" fontId="5" fillId="0" borderId="0" xfId="0" applyFont="1" applyBorder="1" applyAlignment="1">
      <alignment horizontal="right"/>
    </xf>
    <xf numFmtId="0" fontId="5" fillId="0" borderId="4" xfId="0" applyFont="1" applyFill="1" applyBorder="1" applyAlignment="1" applyProtection="1">
      <alignment horizontal="left"/>
      <protection locked="0"/>
    </xf>
    <xf numFmtId="0" fontId="5" fillId="0" borderId="4" xfId="0" applyFont="1" applyFill="1" applyBorder="1" applyProtection="1">
      <protection locked="0"/>
    </xf>
    <xf numFmtId="0" fontId="4" fillId="0" borderId="4" xfId="0" applyFont="1" applyFill="1" applyBorder="1" applyProtection="1">
      <protection locked="0"/>
    </xf>
    <xf numFmtId="0" fontId="8" fillId="0" borderId="4" xfId="0" applyFont="1" applyFill="1" applyBorder="1" applyAlignment="1">
      <alignment/>
    </xf>
    <xf numFmtId="0" fontId="4" fillId="0" borderId="0" xfId="0" applyFont="1" applyFill="1" applyBorder="1" quotePrefix="1"/>
    <xf numFmtId="166" fontId="5" fillId="0" borderId="1" xfId="0" applyNumberFormat="1" applyFont="1" applyFill="1" applyBorder="1"/>
    <xf numFmtId="166" fontId="4" fillId="0" borderId="5" xfId="0" applyNumberFormat="1" applyFont="1" applyFill="1" applyBorder="1"/>
    <xf numFmtId="0" fontId="4" fillId="0" borderId="0" xfId="0" applyFont="1" applyFill="1" applyBorder="1" applyAlignment="1" quotePrefix="1">
      <alignment horizontal="left"/>
    </xf>
    <xf numFmtId="43" fontId="0" fillId="0" borderId="0" xfId="18" applyFont="1"/>
    <xf numFmtId="44" fontId="0" fillId="0" borderId="1" xfId="16" applyFont="1" applyBorder="1"/>
    <xf numFmtId="5" fontId="0" fillId="0" borderId="0" xfId="0" applyNumberFormat="1"/>
    <xf numFmtId="164" fontId="0" fillId="0" borderId="0" xfId="0" applyNumberFormat="1"/>
    <xf numFmtId="0" fontId="0" fillId="2" borderId="0" xfId="0" applyFill="1"/>
    <xf numFmtId="0" fontId="12" fillId="2" borderId="0" xfId="0" applyFont="1" applyFill="1"/>
    <xf numFmtId="0" fontId="14" fillId="0" borderId="0" xfId="0" applyFont="1"/>
    <xf numFmtId="0" fontId="13" fillId="0" borderId="0" xfId="0" applyFont="1" applyFill="1" applyBorder="1"/>
    <xf numFmtId="164" fontId="0" fillId="3" borderId="0" xfId="0" applyNumberFormat="1" applyFill="1"/>
    <xf numFmtId="0" fontId="0" fillId="0" borderId="0" xfId="0" applyFill="1"/>
    <xf numFmtId="0" fontId="4" fillId="0" borderId="0" xfId="0" applyFont="1" applyFill="1"/>
    <xf numFmtId="0" fontId="4" fillId="0" borderId="3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44" fontId="0" fillId="0" borderId="0" xfId="0" applyNumberFormat="1"/>
    <xf numFmtId="5" fontId="0" fillId="2" borderId="0" xfId="0" applyNumberFormat="1" applyFill="1"/>
    <xf numFmtId="0" fontId="1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15" fillId="0" borderId="0" xfId="18" applyNumberFormat="1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164" fontId="4" fillId="0" borderId="3" xfId="0" applyNumberFormat="1" applyFont="1" applyFill="1" applyBorder="1"/>
    <xf numFmtId="0" fontId="5" fillId="0" borderId="7" xfId="0" applyFont="1" applyFill="1" applyBorder="1"/>
    <xf numFmtId="0" fontId="5" fillId="0" borderId="5" xfId="0" applyFont="1" applyFill="1" applyBorder="1"/>
    <xf numFmtId="164" fontId="4" fillId="0" borderId="5" xfId="0" applyNumberFormat="1" applyFont="1" applyFill="1" applyBorder="1"/>
    <xf numFmtId="0" fontId="5" fillId="0" borderId="8" xfId="0" applyFont="1" applyFill="1" applyBorder="1"/>
    <xf numFmtId="164" fontId="5" fillId="0" borderId="6" xfId="0" applyNumberFormat="1" applyFont="1" applyFill="1" applyBorder="1"/>
    <xf numFmtId="0" fontId="7" fillId="0" borderId="4" xfId="0" applyFont="1" applyFill="1" applyBorder="1"/>
    <xf numFmtId="5" fontId="4" fillId="0" borderId="0" xfId="0" applyNumberFormat="1" applyFont="1" applyFill="1" applyBorder="1"/>
    <xf numFmtId="5" fontId="4" fillId="0" borderId="0" xfId="0" applyNumberFormat="1" applyFont="1" applyFill="1" applyBorder="1"/>
    <xf numFmtId="5" fontId="4" fillId="0" borderId="9" xfId="0" applyNumberFormat="1" applyFont="1" applyFill="1" applyBorder="1"/>
    <xf numFmtId="0" fontId="5" fillId="0" borderId="8" xfId="0" applyFont="1" applyFill="1" applyBorder="1" applyProtection="1">
      <protection locked="0"/>
    </xf>
    <xf numFmtId="5" fontId="5" fillId="0" borderId="6" xfId="0" applyNumberFormat="1" applyFont="1" applyFill="1" applyBorder="1"/>
    <xf numFmtId="5" fontId="5" fillId="0" borderId="10" xfId="0" applyNumberFormat="1" applyFont="1" applyFill="1" applyBorder="1"/>
    <xf numFmtId="0" fontId="5" fillId="0" borderId="8" xfId="0" applyFont="1" applyFill="1" applyBorder="1" applyAlignment="1" applyProtection="1">
      <alignment horizontal="left"/>
      <protection locked="0"/>
    </xf>
    <xf numFmtId="0" fontId="4" fillId="0" borderId="4" xfId="0" applyFont="1" applyFill="1" applyBorder="1" quotePrefix="1"/>
    <xf numFmtId="0" fontId="4" fillId="0" borderId="7" xfId="0" applyFont="1" applyFill="1" applyBorder="1"/>
    <xf numFmtId="0" fontId="4" fillId="0" borderId="2" xfId="0" applyFont="1" applyFill="1" applyBorder="1"/>
    <xf numFmtId="0" fontId="5" fillId="0" borderId="6" xfId="0" applyFont="1" applyFill="1" applyBorder="1"/>
    <xf numFmtId="166" fontId="4" fillId="0" borderId="0" xfId="0" applyNumberFormat="1" applyFont="1" applyFill="1"/>
    <xf numFmtId="0" fontId="5" fillId="0" borderId="0" xfId="0" applyFont="1" applyFill="1" applyBorder="1" applyAlignment="1" quotePrefix="1">
      <alignment horizontal="left"/>
    </xf>
    <xf numFmtId="166" fontId="5" fillId="0" borderId="0" xfId="0" applyNumberFormat="1" applyFont="1" applyFill="1" applyBorder="1"/>
    <xf numFmtId="0" fontId="5" fillId="0" borderId="6" xfId="0" applyFont="1" applyFill="1" applyBorder="1" applyAlignment="1" quotePrefix="1">
      <alignment horizontal="left"/>
    </xf>
    <xf numFmtId="0" fontId="4" fillId="0" borderId="0" xfId="0" applyFont="1" applyAlignment="1">
      <alignment horizontal="center"/>
    </xf>
    <xf numFmtId="166" fontId="0" fillId="3" borderId="1" xfId="0" applyNumberFormat="1" applyFill="1" applyBorder="1"/>
    <xf numFmtId="43" fontId="0" fillId="0" borderId="0" xfId="0" applyNumberFormat="1"/>
    <xf numFmtId="5" fontId="0" fillId="0" borderId="0" xfId="18" applyNumberFormat="1" applyFont="1"/>
    <xf numFmtId="0" fontId="0" fillId="0" borderId="0" xfId="0" quotePrefix="1"/>
    <xf numFmtId="164" fontId="0" fillId="0" borderId="0" xfId="0" applyNumberFormat="1" applyFill="1"/>
    <xf numFmtId="0" fontId="14" fillId="0" borderId="0" xfId="0" applyFont="1" applyFill="1" quotePrefix="1"/>
    <xf numFmtId="168" fontId="0" fillId="0" borderId="1" xfId="16" applyNumberFormat="1" applyFont="1" applyBorder="1"/>
    <xf numFmtId="168" fontId="0" fillId="0" borderId="0" xfId="16" applyNumberFormat="1" applyFont="1"/>
    <xf numFmtId="167" fontId="4" fillId="0" borderId="0" xfId="15" applyNumberFormat="1" applyFont="1" applyFill="1" applyBorder="1" applyProtection="1">
      <protection locked="0"/>
    </xf>
    <xf numFmtId="5" fontId="4" fillId="0" borderId="0" xfId="0" applyNumberFormat="1" applyFont="1" applyFill="1" applyBorder="1" applyAlignment="1">
      <alignment horizontal="right"/>
    </xf>
    <xf numFmtId="5" fontId="5" fillId="0" borderId="1" xfId="0" applyNumberFormat="1" applyFont="1" applyFill="1" applyBorder="1"/>
    <xf numFmtId="5" fontId="5" fillId="0" borderId="11" xfId="0" applyNumberFormat="1" applyFont="1" applyFill="1" applyBorder="1"/>
    <xf numFmtId="5" fontId="4" fillId="0" borderId="0" xfId="18" applyNumberFormat="1" applyFont="1" applyFill="1" applyBorder="1" applyAlignment="1" quotePrefix="1">
      <alignment horizontal="right"/>
    </xf>
    <xf numFmtId="5" fontId="4" fillId="0" borderId="9" xfId="0" applyNumberFormat="1" applyFont="1" applyFill="1" applyBorder="1" applyAlignment="1">
      <alignment horizontal="right"/>
    </xf>
    <xf numFmtId="5" fontId="5" fillId="0" borderId="1" xfId="18" applyNumberFormat="1" applyFont="1" applyFill="1" applyBorder="1" applyAlignment="1">
      <alignment horizontal="right"/>
    </xf>
    <xf numFmtId="5" fontId="11" fillId="0" borderId="0" xfId="0" applyNumberFormat="1" applyFont="1" applyFill="1" applyBorder="1"/>
    <xf numFmtId="5" fontId="2" fillId="0" borderId="0" xfId="18" applyNumberFormat="1" applyFont="1" applyFill="1" applyBorder="1" applyAlignment="1" quotePrefix="1">
      <alignment horizontal="center"/>
    </xf>
    <xf numFmtId="5" fontId="2" fillId="0" borderId="0" xfId="18" applyNumberFormat="1" applyFont="1" applyFill="1" applyBorder="1" applyAlignment="1">
      <alignment horizontal="right"/>
    </xf>
    <xf numFmtId="5" fontId="11" fillId="0" borderId="0" xfId="0" applyNumberFormat="1" applyFont="1" applyFill="1" applyBorder="1" applyAlignment="1">
      <alignment horizontal="right"/>
    </xf>
    <xf numFmtId="5" fontId="3" fillId="0" borderId="0" xfId="18" applyNumberFormat="1" applyFont="1" applyFill="1" applyBorder="1" applyAlignment="1">
      <alignment horizontal="right"/>
    </xf>
    <xf numFmtId="5" fontId="5" fillId="0" borderId="1" xfId="18" applyNumberFormat="1" applyFont="1" applyFill="1" applyBorder="1" applyAlignment="1" quotePrefix="1">
      <alignment horizontal="right"/>
    </xf>
    <xf numFmtId="5" fontId="0" fillId="0" borderId="1" xfId="0" applyNumberFormat="1" applyBorder="1"/>
    <xf numFmtId="164" fontId="0" fillId="0" borderId="1" xfId="0" applyNumberFormat="1" applyBorder="1"/>
    <xf numFmtId="164" fontId="0" fillId="0" borderId="0" xfId="16" applyNumberFormat="1" applyFont="1"/>
    <xf numFmtId="0" fontId="0" fillId="0" borderId="0" xfId="0" applyFont="1" applyAlignment="1">
      <alignment horizontal="center"/>
    </xf>
    <xf numFmtId="5" fontId="5" fillId="0" borderId="11" xfId="18" applyNumberFormat="1" applyFont="1" applyFill="1" applyBorder="1" applyAlignment="1">
      <alignment horizontal="right"/>
    </xf>
    <xf numFmtId="5" fontId="5" fillId="0" borderId="0" xfId="0" applyNumberFormat="1" applyFont="1" applyFill="1" applyBorder="1"/>
    <xf numFmtId="5" fontId="12" fillId="4" borderId="12" xfId="0" applyNumberFormat="1" applyFont="1" applyFill="1" applyBorder="1"/>
    <xf numFmtId="5" fontId="0" fillId="4" borderId="13" xfId="0" applyNumberFormat="1" applyFill="1" applyBorder="1"/>
    <xf numFmtId="168" fontId="0" fillId="4" borderId="14" xfId="16" applyNumberFormat="1" applyFont="1" applyFill="1" applyBorder="1"/>
    <xf numFmtId="164" fontId="0" fillId="5" borderId="0" xfId="0" applyNumberFormat="1" applyFill="1"/>
    <xf numFmtId="166" fontId="0" fillId="0" borderId="0" xfId="0" applyNumberFormat="1" applyFill="1"/>
    <xf numFmtId="0" fontId="0" fillId="0" borderId="0" xfId="0" applyAlignment="1">
      <alignment/>
    </xf>
    <xf numFmtId="5" fontId="4" fillId="0" borderId="0" xfId="0" applyNumberFormat="1" applyFont="1" applyFill="1" applyBorder="1" quotePrefix="1"/>
    <xf numFmtId="0" fontId="4" fillId="0" borderId="7" xfId="0" applyFont="1" applyFill="1" applyBorder="1"/>
    <xf numFmtId="0" fontId="4" fillId="0" borderId="4" xfId="0" applyFont="1" applyFill="1" applyBorder="1"/>
    <xf numFmtId="0" fontId="16" fillId="0" borderId="4" xfId="0" applyFont="1" applyFill="1" applyBorder="1"/>
    <xf numFmtId="0" fontId="4" fillId="0" borderId="0" xfId="0" applyFont="1" applyBorder="1"/>
    <xf numFmtId="166" fontId="4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0" fontId="0" fillId="0" borderId="0" xfId="15" applyNumberFormat="1" applyFont="1"/>
    <xf numFmtId="0" fontId="0" fillId="0" borderId="0" xfId="0" applyFont="1"/>
    <xf numFmtId="0" fontId="4" fillId="0" borderId="4" xfId="0" applyFont="1" applyFill="1" applyBorder="1" applyAlignment="1">
      <alignment horizontal="right"/>
    </xf>
    <xf numFmtId="169" fontId="4" fillId="0" borderId="0" xfId="0" applyNumberFormat="1" applyFont="1" applyFill="1" applyBorder="1"/>
    <xf numFmtId="5" fontId="0" fillId="0" borderId="0" xfId="0" applyNumberFormat="1" applyAlignment="1">
      <alignment/>
    </xf>
    <xf numFmtId="5" fontId="4" fillId="0" borderId="0" xfId="0" applyNumberFormat="1" applyFont="1"/>
    <xf numFmtId="5" fontId="4" fillId="0" borderId="3" xfId="0" applyNumberFormat="1" applyFont="1" applyBorder="1"/>
    <xf numFmtId="5" fontId="4" fillId="0" borderId="0" xfId="0" applyNumberFormat="1" applyFont="1" applyBorder="1" applyAlignment="1">
      <alignment horizontal="center"/>
    </xf>
    <xf numFmtId="5" fontId="6" fillId="0" borderId="0" xfId="0" applyNumberFormat="1" applyFont="1" applyBorder="1" applyAlignment="1">
      <alignment horizontal="center"/>
    </xf>
    <xf numFmtId="5" fontId="5" fillId="0" borderId="1" xfId="0" applyNumberFormat="1" applyFont="1" applyBorder="1"/>
    <xf numFmtId="5" fontId="4" fillId="0" borderId="0" xfId="0" applyNumberFormat="1" applyFont="1" applyBorder="1"/>
    <xf numFmtId="5" fontId="4" fillId="0" borderId="5" xfId="0" applyNumberFormat="1" applyFont="1" applyFill="1" applyBorder="1"/>
    <xf numFmtId="5" fontId="4" fillId="0" borderId="0" xfId="0" applyNumberFormat="1" applyFont="1" applyFill="1"/>
    <xf numFmtId="5" fontId="4" fillId="0" borderId="3" xfId="0" applyNumberFormat="1" applyFont="1" applyFill="1" applyBorder="1"/>
    <xf numFmtId="5" fontId="4" fillId="0" borderId="0" xfId="0" applyNumberFormat="1" applyFont="1" applyFill="1" applyBorder="1" applyAlignment="1">
      <alignment horizontal="center"/>
    </xf>
    <xf numFmtId="5" fontId="6" fillId="0" borderId="0" xfId="0" applyNumberFormat="1" applyFont="1" applyFill="1" applyBorder="1" applyAlignment="1">
      <alignment horizontal="center"/>
    </xf>
    <xf numFmtId="5" fontId="5" fillId="0" borderId="0" xfId="18" applyNumberFormat="1" applyFont="1" applyFill="1" applyBorder="1" applyAlignment="1">
      <alignment horizontal="right"/>
    </xf>
    <xf numFmtId="5" fontId="4" fillId="0" borderId="3" xfId="0" applyNumberFormat="1" applyFont="1" applyFill="1" applyBorder="1"/>
    <xf numFmtId="5" fontId="4" fillId="0" borderId="5" xfId="0" applyNumberFormat="1" applyFont="1" applyFill="1" applyBorder="1"/>
    <xf numFmtId="5" fontId="4" fillId="0" borderId="3" xfId="0" applyNumberFormat="1" applyFont="1" applyBorder="1" applyAlignment="1">
      <alignment horizontal="center"/>
    </xf>
    <xf numFmtId="5" fontId="4" fillId="0" borderId="15" xfId="0" applyNumberFormat="1" applyFont="1" applyBorder="1" applyAlignment="1">
      <alignment horizontal="center"/>
    </xf>
    <xf numFmtId="5" fontId="4" fillId="0" borderId="0" xfId="0" applyNumberFormat="1" applyFont="1" applyBorder="1" applyAlignment="1">
      <alignment horizontal="center"/>
    </xf>
    <xf numFmtId="5" fontId="4" fillId="0" borderId="0" xfId="0" applyNumberFormat="1" applyFont="1" applyBorder="1"/>
    <xf numFmtId="5" fontId="4" fillId="0" borderId="9" xfId="0" applyNumberFormat="1" applyFont="1" applyBorder="1" applyAlignment="1">
      <alignment horizontal="center"/>
    </xf>
    <xf numFmtId="5" fontId="6" fillId="0" borderId="0" xfId="0" applyNumberFormat="1" applyFont="1" applyBorder="1" applyAlignment="1">
      <alignment horizontal="center"/>
    </xf>
    <xf numFmtId="5" fontId="6" fillId="0" borderId="9" xfId="0" applyNumberFormat="1" applyFont="1" applyBorder="1" applyAlignment="1">
      <alignment horizontal="center"/>
    </xf>
    <xf numFmtId="5" fontId="2" fillId="0" borderId="0" xfId="0" applyNumberFormat="1" applyFont="1" applyFill="1" applyBorder="1"/>
    <xf numFmtId="5" fontId="4" fillId="0" borderId="9" xfId="0" applyNumberFormat="1" applyFont="1" applyBorder="1"/>
    <xf numFmtId="5" fontId="2" fillId="0" borderId="0" xfId="0" applyNumberFormat="1" applyFont="1" applyFill="1" applyBorder="1" applyAlignment="1" quotePrefix="1">
      <alignment horizontal="left"/>
    </xf>
    <xf numFmtId="5" fontId="4" fillId="0" borderId="1" xfId="0" applyNumberFormat="1" applyFont="1" applyBorder="1"/>
    <xf numFmtId="5" fontId="4" fillId="0" borderId="11" xfId="0" applyNumberFormat="1" applyFont="1" applyBorder="1"/>
    <xf numFmtId="5" fontId="4" fillId="0" borderId="15" xfId="0" applyNumberFormat="1" applyFont="1" applyFill="1" applyBorder="1"/>
    <xf numFmtId="5" fontId="4" fillId="0" borderId="16" xfId="0" applyNumberFormat="1" applyFont="1" applyFill="1" applyBorder="1"/>
    <xf numFmtId="5" fontId="4" fillId="0" borderId="3" xfId="0" applyNumberFormat="1" applyFont="1" applyFill="1" applyBorder="1" applyAlignment="1">
      <alignment horizontal="center"/>
    </xf>
    <xf numFmtId="5" fontId="4" fillId="0" borderId="15" xfId="0" applyNumberFormat="1" applyFont="1" applyFill="1" applyBorder="1" applyAlignment="1">
      <alignment horizontal="center"/>
    </xf>
    <xf numFmtId="5" fontId="4" fillId="0" borderId="0" xfId="0" applyNumberFormat="1" applyFont="1" applyFill="1" applyBorder="1" applyAlignment="1">
      <alignment horizontal="center"/>
    </xf>
    <xf numFmtId="5" fontId="4" fillId="0" borderId="9" xfId="0" applyNumberFormat="1" applyFont="1" applyFill="1" applyBorder="1" applyAlignment="1">
      <alignment horizontal="center"/>
    </xf>
    <xf numFmtId="5" fontId="6" fillId="0" borderId="0" xfId="0" applyNumberFormat="1" applyFont="1" applyFill="1" applyBorder="1" applyAlignment="1">
      <alignment horizontal="center"/>
    </xf>
    <xf numFmtId="5" fontId="6" fillId="0" borderId="9" xfId="0" applyNumberFormat="1" applyFont="1" applyFill="1" applyBorder="1" applyAlignment="1">
      <alignment horizontal="center"/>
    </xf>
    <xf numFmtId="5" fontId="5" fillId="0" borderId="9" xfId="0" applyNumberFormat="1" applyFont="1" applyFill="1" applyBorder="1"/>
    <xf numFmtId="169" fontId="4" fillId="0" borderId="0" xfId="15" applyNumberFormat="1" applyFont="1" applyFill="1" applyBorder="1" applyProtection="1">
      <protection locked="0"/>
    </xf>
    <xf numFmtId="169" fontId="4" fillId="0" borderId="9" xfId="15" applyNumberFormat="1" applyFont="1" applyFill="1" applyBorder="1" applyProtection="1">
      <protection locked="0"/>
    </xf>
    <xf numFmtId="0" fontId="4" fillId="0" borderId="4" xfId="0" applyFont="1" applyFill="1" applyBorder="1" quotePrefix="1"/>
    <xf numFmtId="0" fontId="0" fillId="0" borderId="0" xfId="0" applyFont="1"/>
    <xf numFmtId="0" fontId="4" fillId="0" borderId="0" xfId="0" applyFont="1"/>
    <xf numFmtId="5" fontId="4" fillId="0" borderId="1" xfId="0" applyNumberFormat="1" applyFont="1" applyBorder="1"/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 quotePrefix="1">
      <alignment horizontal="center" vertical="center"/>
    </xf>
    <xf numFmtId="3" fontId="18" fillId="0" borderId="0" xfId="0" applyNumberFormat="1" applyFont="1" applyFill="1" applyAlignment="1" quotePrefix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9" fillId="0" borderId="0" xfId="0" applyFont="1" applyFill="1" applyBorder="1"/>
    <xf numFmtId="0" fontId="20" fillId="0" borderId="0" xfId="0" applyFont="1" applyFill="1"/>
    <xf numFmtId="170" fontId="5" fillId="0" borderId="0" xfId="0" applyNumberFormat="1" applyFont="1" applyFill="1" applyBorder="1"/>
    <xf numFmtId="0" fontId="12" fillId="0" borderId="0" xfId="0" applyFont="1" applyFill="1"/>
    <xf numFmtId="41" fontId="4" fillId="0" borderId="0" xfId="0" applyNumberFormat="1" applyFont="1" applyFill="1" applyBorder="1"/>
    <xf numFmtId="168" fontId="13" fillId="0" borderId="0" xfId="16" applyNumberFormat="1" applyFont="1" applyFill="1" applyBorder="1"/>
    <xf numFmtId="168" fontId="14" fillId="0" borderId="0" xfId="16" applyNumberFormat="1" applyFont="1"/>
    <xf numFmtId="168" fontId="14" fillId="0" borderId="0" xfId="16" applyNumberFormat="1" applyFont="1" applyFill="1"/>
    <xf numFmtId="168" fontId="4" fillId="6" borderId="0" xfId="16" applyNumberFormat="1" applyFont="1" applyFill="1" applyBorder="1"/>
    <xf numFmtId="168" fontId="14" fillId="6" borderId="0" xfId="16" applyNumberFormat="1" applyFont="1" applyFill="1"/>
    <xf numFmtId="5" fontId="18" fillId="0" borderId="0" xfId="0" applyNumberFormat="1" applyFont="1" applyAlignment="1" quotePrefix="1">
      <alignment horizontal="center" vertical="center"/>
    </xf>
    <xf numFmtId="5" fontId="18" fillId="0" borderId="0" xfId="0" applyNumberFormat="1" applyFont="1" applyFill="1" applyAlignment="1" quotePrefix="1">
      <alignment horizontal="center" vertical="center"/>
    </xf>
    <xf numFmtId="41" fontId="5" fillId="0" borderId="1" xfId="0" applyNumberFormat="1" applyFont="1" applyFill="1" applyBorder="1"/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 applyFill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I%20(Class%20Allocation)/II-I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Sheet"/>
      <sheetName val="II-I-1"/>
      <sheetName val="WP II-I-1.1"/>
      <sheetName val="changes"/>
      <sheetName val=" WP II-I-1.4"/>
      <sheetName val="II-I-DIST"/>
      <sheetName val="II-I-MET"/>
      <sheetName val="II-I-TBILLTDCS"/>
      <sheetName val="II-I-Total"/>
      <sheetName val="II-I Summary"/>
      <sheetName val="WP II-I-1.9 "/>
      <sheetName val="WP II-I-2.2"/>
      <sheetName val="WP II-I-1.5"/>
      <sheetName val="WP II-I-1.6"/>
      <sheetName val="WP II-I-1.7"/>
      <sheetName val="WP II-I-1.2"/>
      <sheetName val="WP II-I-2.1"/>
      <sheetName val="II-I-2.1f"/>
      <sheetName val="II-I-3.1"/>
    </sheetNames>
    <sheetDataSet>
      <sheetData sheetId="0">
        <row r="10">
          <cell r="N10">
            <v>142786.016920277</v>
          </cell>
        </row>
        <row r="12">
          <cell r="N12">
            <v>1471849.00809959</v>
          </cell>
        </row>
      </sheetData>
      <sheetData sheetId="1"/>
      <sheetData sheetId="2"/>
      <sheetData sheetId="3"/>
      <sheetData sheetId="4"/>
      <sheetData sheetId="5">
        <row r="22">
          <cell r="Q22">
            <v>25182581.788684</v>
          </cell>
        </row>
        <row r="31">
          <cell r="Q31">
            <v>527901.219999798</v>
          </cell>
        </row>
        <row r="35">
          <cell r="Q35">
            <v>0</v>
          </cell>
        </row>
        <row r="133">
          <cell r="Q133">
            <v>860751.290430231</v>
          </cell>
        </row>
        <row r="134">
          <cell r="Q134">
            <v>5119161.50407103</v>
          </cell>
        </row>
        <row r="135">
          <cell r="Q135">
            <v>6016609.13362265</v>
          </cell>
        </row>
        <row r="136">
          <cell r="Q136">
            <v>0</v>
          </cell>
        </row>
        <row r="137">
          <cell r="Q137">
            <v>7853410.42464294</v>
          </cell>
        </row>
        <row r="138">
          <cell r="Q138">
            <v>1769176.00123717</v>
          </cell>
        </row>
        <row r="139">
          <cell r="Q139">
            <v>5029813.49287656</v>
          </cell>
        </row>
        <row r="140">
          <cell r="Q140">
            <v>978071.619996864</v>
          </cell>
        </row>
        <row r="141">
          <cell r="Q141">
            <v>2321928.31878526</v>
          </cell>
        </row>
        <row r="142">
          <cell r="Q142">
            <v>1648540.71386196</v>
          </cell>
        </row>
        <row r="143">
          <cell r="Q143">
            <v>7322728.03772187</v>
          </cell>
        </row>
        <row r="144">
          <cell r="Q144">
            <v>1868932.91554765</v>
          </cell>
        </row>
        <row r="145">
          <cell r="Q145">
            <v>518085.767694471</v>
          </cell>
        </row>
        <row r="146">
          <cell r="Q146">
            <v>8516644.70222142</v>
          </cell>
        </row>
        <row r="147">
          <cell r="Q147">
            <v>468168.112648979</v>
          </cell>
        </row>
        <row r="148">
          <cell r="Q148">
            <v>1009971.91197086</v>
          </cell>
        </row>
        <row r="150">
          <cell r="Q150">
            <v>54631096.93</v>
          </cell>
        </row>
        <row r="152">
          <cell r="Q152">
            <v>437403825.89</v>
          </cell>
        </row>
        <row r="153">
          <cell r="Q153">
            <v>2664673.79558778</v>
          </cell>
        </row>
        <row r="280">
          <cell r="Q280">
            <v>362113.600774474</v>
          </cell>
        </row>
        <row r="281">
          <cell r="Q281">
            <v>1559179.9247572</v>
          </cell>
        </row>
        <row r="282">
          <cell r="Q282">
            <v>1584936.32174238</v>
          </cell>
        </row>
        <row r="283">
          <cell r="Q283">
            <v>0</v>
          </cell>
        </row>
        <row r="284">
          <cell r="Q284">
            <v>3248025.72297233</v>
          </cell>
        </row>
        <row r="285">
          <cell r="Q285">
            <v>731698.56785435</v>
          </cell>
        </row>
        <row r="286">
          <cell r="Q286">
            <v>1907341.93887284</v>
          </cell>
        </row>
        <row r="287">
          <cell r="Q287">
            <v>370891.887479197</v>
          </cell>
        </row>
        <row r="288">
          <cell r="Q288">
            <v>970282.802496506</v>
          </cell>
        </row>
        <row r="289">
          <cell r="Q289">
            <v>688888.925181114</v>
          </cell>
        </row>
        <row r="290">
          <cell r="Q290">
            <v>1657384.25629539</v>
          </cell>
        </row>
        <row r="291">
          <cell r="Q291">
            <v>423003.554733214</v>
          </cell>
        </row>
        <row r="292">
          <cell r="Q292">
            <v>154545.378837996</v>
          </cell>
        </row>
        <row r="293">
          <cell r="Q293">
            <v>2540521.59701408</v>
          </cell>
        </row>
        <row r="294">
          <cell r="Q294">
            <v>139654.904343705</v>
          </cell>
        </row>
        <row r="295">
          <cell r="Q295">
            <v>670760.367716322</v>
          </cell>
        </row>
        <row r="297">
          <cell r="Q297">
            <v>75069053.35</v>
          </cell>
        </row>
        <row r="299">
          <cell r="Q299">
            <v>372032656.8</v>
          </cell>
        </row>
        <row r="311">
          <cell r="Q311">
            <v>1858686.83454183</v>
          </cell>
        </row>
        <row r="312">
          <cell r="Q312">
            <v>973110.709858448</v>
          </cell>
        </row>
        <row r="350">
          <cell r="Q350">
            <v>2749267.96913971</v>
          </cell>
        </row>
        <row r="374">
          <cell r="Q374">
            <v>5968.00083391984</v>
          </cell>
        </row>
        <row r="399">
          <cell r="Q399">
            <v>-39882508.2859211</v>
          </cell>
        </row>
        <row r="421">
          <cell r="Q421">
            <v>2631347.09223189</v>
          </cell>
        </row>
        <row r="441">
          <cell r="Q441">
            <v>-92991.3089149774</v>
          </cell>
        </row>
        <row r="462">
          <cell r="Q462">
            <v>366503.434697328</v>
          </cell>
        </row>
        <row r="483">
          <cell r="Q483">
            <v>-7569.57999417261</v>
          </cell>
        </row>
        <row r="552">
          <cell r="Q552">
            <v>24108317.9344278</v>
          </cell>
        </row>
        <row r="589">
          <cell r="Q589">
            <v>-19625837.8621391</v>
          </cell>
        </row>
        <row r="597">
          <cell r="F597">
            <v>0.0705</v>
          </cell>
        </row>
        <row r="625">
          <cell r="Q625">
            <v>2874.55880454064</v>
          </cell>
        </row>
        <row r="636">
          <cell r="Q636">
            <v>1041.80945431413</v>
          </cell>
        </row>
        <row r="657">
          <cell r="Q657">
            <v>25115.9513677946</v>
          </cell>
        </row>
        <row r="658">
          <cell r="Q658">
            <v>32935.750606041</v>
          </cell>
        </row>
        <row r="659">
          <cell r="Q659">
            <v>13151.6038239163</v>
          </cell>
        </row>
        <row r="660">
          <cell r="Q660">
            <v>49271.5523662304</v>
          </cell>
        </row>
        <row r="661">
          <cell r="Q661">
            <v>36246.3150272321</v>
          </cell>
        </row>
        <row r="662">
          <cell r="Q662">
            <v>826.62</v>
          </cell>
        </row>
        <row r="663">
          <cell r="Q663">
            <v>0</v>
          </cell>
        </row>
        <row r="664">
          <cell r="Q664">
            <v>911.493635705911</v>
          </cell>
        </row>
        <row r="665">
          <cell r="Q665">
            <v>344399.147808128</v>
          </cell>
        </row>
        <row r="666">
          <cell r="Q666">
            <v>2584.8571864236</v>
          </cell>
        </row>
        <row r="673">
          <cell r="Q673">
            <v>131852.328349482</v>
          </cell>
        </row>
        <row r="674">
          <cell r="Q674">
            <v>215.596161593448</v>
          </cell>
        </row>
        <row r="675">
          <cell r="Q675">
            <v>31715.1558471435</v>
          </cell>
        </row>
        <row r="676">
          <cell r="Q676">
            <v>401257.848364662</v>
          </cell>
        </row>
        <row r="677">
          <cell r="Q677">
            <v>95986.482152016</v>
          </cell>
        </row>
        <row r="678">
          <cell r="Q678">
            <v>19098.0815935234</v>
          </cell>
        </row>
        <row r="679">
          <cell r="Q679">
            <v>9632071.09</v>
          </cell>
        </row>
        <row r="680">
          <cell r="Q680">
            <v>-7.26694963967446</v>
          </cell>
        </row>
        <row r="681">
          <cell r="Q681">
            <v>135891.907491205</v>
          </cell>
        </row>
        <row r="706">
          <cell r="Q706">
            <v>-239.502703206287</v>
          </cell>
        </row>
        <row r="711">
          <cell r="Q711">
            <v>0</v>
          </cell>
        </row>
        <row r="712">
          <cell r="Q712">
            <v>0</v>
          </cell>
        </row>
        <row r="713">
          <cell r="Q713">
            <v>3611.4557923556</v>
          </cell>
        </row>
        <row r="714">
          <cell r="Q714">
            <v>0</v>
          </cell>
        </row>
        <row r="715">
          <cell r="Q715">
            <v>0</v>
          </cell>
        </row>
        <row r="721">
          <cell r="Q721">
            <v>0</v>
          </cell>
        </row>
        <row r="722">
          <cell r="Q722">
            <v>0</v>
          </cell>
        </row>
        <row r="723">
          <cell r="Q723">
            <v>0</v>
          </cell>
        </row>
        <row r="724">
          <cell r="Q724">
            <v>0</v>
          </cell>
        </row>
        <row r="746">
          <cell r="Q746">
            <v>1678665.84707911</v>
          </cell>
        </row>
        <row r="747">
          <cell r="Q747">
            <v>168211.350566696</v>
          </cell>
        </row>
        <row r="748">
          <cell r="Q748">
            <v>0</v>
          </cell>
        </row>
        <row r="749">
          <cell r="Q749">
            <v>2348253.45794908</v>
          </cell>
        </row>
        <row r="750">
          <cell r="Q750">
            <v>7988641.13373966</v>
          </cell>
        </row>
        <row r="751">
          <cell r="Q751">
            <v>560144.927473971</v>
          </cell>
        </row>
        <row r="752">
          <cell r="Q752">
            <v>637219.613270341</v>
          </cell>
        </row>
        <row r="753">
          <cell r="Q753">
            <v>32466.2278227793</v>
          </cell>
        </row>
        <row r="754">
          <cell r="Q754">
            <v>0</v>
          </cell>
        </row>
        <row r="755">
          <cell r="Q755">
            <v>286152.340989338</v>
          </cell>
        </row>
        <row r="756">
          <cell r="Q756">
            <v>35680.6658239522</v>
          </cell>
        </row>
        <row r="757">
          <cell r="Q757">
            <v>19944.9328956679</v>
          </cell>
        </row>
        <row r="758">
          <cell r="Q758">
            <v>-91.6195002270267</v>
          </cell>
        </row>
        <row r="1061">
          <cell r="Q1061">
            <v>150785.634324893</v>
          </cell>
        </row>
        <row r="1064">
          <cell r="Q1064">
            <v>4666686.76907037</v>
          </cell>
        </row>
        <row r="1068">
          <cell r="Q1068">
            <v>126788.732021404</v>
          </cell>
        </row>
        <row r="1069">
          <cell r="Q1069">
            <v>1036247.64405936</v>
          </cell>
        </row>
        <row r="1130">
          <cell r="Q1130">
            <v>468980.551769225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S190"/>
  <sheetViews>
    <sheetView tabSelected="1" zoomScale="130" zoomScaleNormal="130" workbookViewId="0" topLeftCell="A168">
      <selection pane="topLeft" activeCell="C3" sqref="C3:L3"/>
    </sheetView>
  </sheetViews>
  <sheetFormatPr defaultRowHeight="12.75"/>
  <cols>
    <col min="1" max="1" width="13.375" bestFit="1" customWidth="1"/>
    <col min="2" max="2" width="6.25" style="169" customWidth="1"/>
    <col min="3" max="3" width="5.625" style="5" customWidth="1"/>
    <col min="4" max="4" width="29.125" style="5" customWidth="1"/>
    <col min="5" max="5" width="2.125" style="50" customWidth="1"/>
    <col min="6" max="6" width="12.375" style="130" bestFit="1" customWidth="1"/>
    <col min="7" max="7" width="1.625" style="5" customWidth="1"/>
    <col min="8" max="12" width="11.75" style="130" customWidth="1"/>
    <col min="13" max="13" width="0.875" style="5" customWidth="1"/>
    <col min="14" max="14" width="17" bestFit="1" customWidth="1"/>
    <col min="16" max="16" width="15.625" style="46" bestFit="1" customWidth="1"/>
    <col min="17" max="17" width="27.5" customWidth="1"/>
    <col min="18" max="18" width="10" bestFit="1" customWidth="1"/>
    <col min="19" max="19" width="7.375" customWidth="1"/>
  </cols>
  <sheetData>
    <row r="2" spans="3:17" ht="13.5" customHeight="1">
      <c r="C2" s="189" t="s">
        <v>194</v>
      </c>
      <c r="D2" s="189"/>
      <c r="E2" s="189"/>
      <c r="F2" s="189"/>
      <c r="G2" s="189"/>
      <c r="H2" s="189"/>
      <c r="I2" s="189"/>
      <c r="J2" s="189"/>
      <c r="K2" s="189"/>
      <c r="L2" s="189"/>
      <c r="M2" s="83"/>
      <c r="N2" s="83"/>
      <c r="O2" s="83"/>
      <c r="P2" s="83"/>
      <c r="Q2" s="83"/>
    </row>
    <row r="3" spans="3:17" ht="13.5" customHeight="1">
      <c r="C3" s="190" t="s">
        <v>170</v>
      </c>
      <c r="D3" s="190"/>
      <c r="E3" s="190"/>
      <c r="F3" s="190"/>
      <c r="G3" s="190"/>
      <c r="H3" s="190"/>
      <c r="I3" s="190"/>
      <c r="J3" s="190"/>
      <c r="K3" s="190"/>
      <c r="L3" s="190"/>
      <c r="M3" s="83"/>
      <c r="N3" s="83"/>
      <c r="O3" s="83"/>
      <c r="P3" s="83"/>
      <c r="Q3" s="83"/>
    </row>
    <row r="4" spans="1:12" ht="12.75">
      <c r="A4" s="44" t="s">
        <v>159</v>
      </c>
      <c r="C4" s="190" t="s">
        <v>171</v>
      </c>
      <c r="D4" s="191"/>
      <c r="E4" s="191"/>
      <c r="F4" s="191"/>
      <c r="G4" s="191"/>
      <c r="H4" s="191"/>
      <c r="I4" s="191"/>
      <c r="J4" s="191"/>
      <c r="K4" s="191"/>
      <c r="L4" s="191"/>
    </row>
    <row r="5" spans="1:12" ht="12.75">
      <c r="A5" s="44"/>
      <c r="C5" s="189" t="s">
        <v>195</v>
      </c>
      <c r="D5" s="192"/>
      <c r="E5" s="192"/>
      <c r="F5" s="192"/>
      <c r="G5" s="192"/>
      <c r="H5" s="192"/>
      <c r="I5" s="192"/>
      <c r="J5" s="192"/>
      <c r="K5" s="192"/>
      <c r="L5" s="192"/>
    </row>
    <row r="6" spans="1:12" ht="9" customHeight="1">
      <c r="A6" s="44"/>
      <c r="C6" s="83"/>
      <c r="D6" s="116"/>
      <c r="E6" s="116"/>
      <c r="F6" s="129"/>
      <c r="G6" s="116"/>
      <c r="H6" s="129"/>
      <c r="I6" s="129"/>
      <c r="J6" s="129"/>
      <c r="K6" s="129"/>
      <c r="L6" s="129"/>
    </row>
    <row r="7" spans="1:12" ht="12.75">
      <c r="A7" s="45" t="s">
        <v>160</v>
      </c>
      <c r="C7" s="190" t="s">
        <v>193</v>
      </c>
      <c r="D7" s="191"/>
      <c r="E7" s="191"/>
      <c r="F7" s="191"/>
      <c r="G7" s="191"/>
      <c r="H7" s="191"/>
      <c r="I7" s="191"/>
      <c r="J7" s="191"/>
      <c r="K7" s="191"/>
      <c r="L7" s="191"/>
    </row>
    <row r="8" spans="2:12" s="169" customFormat="1" ht="32.1" customHeight="1">
      <c r="B8" s="172" t="s">
        <v>207</v>
      </c>
      <c r="C8" s="173" t="s">
        <v>208</v>
      </c>
      <c r="D8" s="173" t="s">
        <v>209</v>
      </c>
      <c r="E8" s="174"/>
      <c r="F8" s="187" t="s">
        <v>210</v>
      </c>
      <c r="G8" s="175"/>
      <c r="H8" s="173" t="s">
        <v>211</v>
      </c>
      <c r="I8" s="186" t="s">
        <v>212</v>
      </c>
      <c r="J8" s="173" t="s">
        <v>213</v>
      </c>
      <c r="K8" s="173" t="s">
        <v>214</v>
      </c>
      <c r="L8" s="173" t="s">
        <v>215</v>
      </c>
    </row>
    <row r="9" spans="3:4" ht="13.5" thickBot="1">
      <c r="C9" s="176" t="s">
        <v>146</v>
      </c>
      <c r="D9" s="7"/>
    </row>
    <row r="10" spans="3:12" ht="12.75">
      <c r="C10" s="18"/>
      <c r="D10" s="19"/>
      <c r="E10" s="51"/>
      <c r="F10" s="131"/>
      <c r="G10" s="19"/>
      <c r="H10" s="131"/>
      <c r="I10" s="131"/>
      <c r="J10" s="131"/>
      <c r="K10" s="144" t="s">
        <v>55</v>
      </c>
      <c r="L10" s="145"/>
    </row>
    <row r="11" spans="2:12" ht="12.75">
      <c r="B11" s="171">
        <v>1</v>
      </c>
      <c r="C11" s="20"/>
      <c r="D11" s="21"/>
      <c r="E11" s="7"/>
      <c r="F11" s="132" t="s">
        <v>44</v>
      </c>
      <c r="G11" s="22"/>
      <c r="H11" s="146" t="s">
        <v>55</v>
      </c>
      <c r="I11" s="146" t="s">
        <v>55</v>
      </c>
      <c r="J11" s="147"/>
      <c r="K11" s="146" t="s">
        <v>47</v>
      </c>
      <c r="L11" s="148" t="s">
        <v>55</v>
      </c>
    </row>
    <row r="12" spans="2:12" ht="12.75">
      <c r="B12" s="171">
        <f t="shared" si="0" ref="B12:B14">1+B11</f>
        <v>2</v>
      </c>
      <c r="C12" s="20"/>
      <c r="D12" s="21"/>
      <c r="E12" s="7"/>
      <c r="F12" s="132" t="s">
        <v>45</v>
      </c>
      <c r="G12" s="22"/>
      <c r="H12" s="146" t="s">
        <v>47</v>
      </c>
      <c r="I12" s="146" t="s">
        <v>47</v>
      </c>
      <c r="J12" s="146" t="s">
        <v>56</v>
      </c>
      <c r="K12" s="146" t="s">
        <v>51</v>
      </c>
      <c r="L12" s="148" t="s">
        <v>47</v>
      </c>
    </row>
    <row r="13" spans="2:16" ht="12.75">
      <c r="B13" s="171">
        <f t="shared" si="0"/>
        <v>3</v>
      </c>
      <c r="C13" s="20"/>
      <c r="D13" s="21"/>
      <c r="E13" s="7"/>
      <c r="F13" s="133" t="s">
        <v>46</v>
      </c>
      <c r="G13" s="23"/>
      <c r="H13" s="149" t="s">
        <v>49</v>
      </c>
      <c r="I13" s="149" t="s">
        <v>48</v>
      </c>
      <c r="J13" s="133" t="s">
        <v>50</v>
      </c>
      <c r="K13" s="149" t="s">
        <v>52</v>
      </c>
      <c r="L13" s="150" t="s">
        <v>139</v>
      </c>
      <c r="P13"/>
    </row>
    <row r="14" spans="2:17" ht="16.5" customHeight="1">
      <c r="B14" s="171">
        <f t="shared" si="0"/>
        <v>4</v>
      </c>
      <c r="C14" s="25" t="s">
        <v>5</v>
      </c>
      <c r="D14" s="21" t="s">
        <v>2</v>
      </c>
      <c r="E14" s="7"/>
      <c r="F14" s="68">
        <f>'[1]II-I-DIST'!$Q133-'[1]II-I-DIST'!$Q280</f>
        <v>498637.68965575664</v>
      </c>
      <c r="G14" s="2"/>
      <c r="H14" s="151"/>
      <c r="I14" s="135">
        <f>+F14</f>
        <v>498637.68965575664</v>
      </c>
      <c r="J14" s="147"/>
      <c r="L14" s="152"/>
      <c r="N14" s="43">
        <f>+F14</f>
        <v>498637.68965575664</v>
      </c>
      <c r="O14" t="s">
        <v>5</v>
      </c>
      <c r="P14" s="181"/>
      <c r="Q14" s="47"/>
    </row>
    <row r="15" spans="2:17" ht="14.25">
      <c r="B15" s="171">
        <f t="shared" si="1" ref="B15:B69">1+B14</f>
        <v>5</v>
      </c>
      <c r="C15" s="25" t="s">
        <v>6</v>
      </c>
      <c r="D15" s="21" t="s">
        <v>3</v>
      </c>
      <c r="E15" s="7"/>
      <c r="F15" s="68">
        <f>'[1]II-I-DIST'!$Q134-'[1]II-I-DIST'!$Q281</f>
        <v>3559981.5793138305</v>
      </c>
      <c r="G15" s="2"/>
      <c r="H15" s="153"/>
      <c r="I15" s="135">
        <f t="shared" si="2" ref="I15:I34">+F15</f>
        <v>3559981.5793138305</v>
      </c>
      <c r="J15" s="147"/>
      <c r="L15" s="152"/>
      <c r="N15" s="43">
        <f t="shared" si="3" ref="N15:N39">+F15</f>
        <v>3559981.5793138305</v>
      </c>
      <c r="O15" t="s">
        <v>6</v>
      </c>
      <c r="P15" s="181"/>
      <c r="Q15" s="47"/>
    </row>
    <row r="16" spans="2:17" ht="14.25">
      <c r="B16" s="171">
        <f t="shared" si="1"/>
        <v>6</v>
      </c>
      <c r="C16" s="25" t="s">
        <v>7</v>
      </c>
      <c r="D16" s="21" t="s">
        <v>4</v>
      </c>
      <c r="E16" s="7"/>
      <c r="F16" s="68">
        <f>'[1]II-I-DIST'!$Q135-'[1]II-I-DIST'!$Q282</f>
        <v>4431672.81188027</v>
      </c>
      <c r="G16" s="2"/>
      <c r="H16" s="151"/>
      <c r="I16" s="135">
        <f t="shared" si="2"/>
        <v>4431672.81188027</v>
      </c>
      <c r="J16" s="147"/>
      <c r="L16" s="152"/>
      <c r="N16" s="43">
        <f t="shared" si="3"/>
        <v>4431672.81188027</v>
      </c>
      <c r="O16" t="s">
        <v>7</v>
      </c>
      <c r="P16" s="181"/>
      <c r="Q16" s="47"/>
    </row>
    <row r="17" spans="2:17" ht="14.25">
      <c r="B17" s="171">
        <f t="shared" si="1"/>
        <v>7</v>
      </c>
      <c r="C17" s="25" t="s">
        <v>8</v>
      </c>
      <c r="D17" s="21" t="s">
        <v>9</v>
      </c>
      <c r="E17" s="7"/>
      <c r="F17" s="68">
        <f>'[1]II-I-DIST'!$Q136-'[1]II-I-DIST'!$Q283</f>
        <v>0</v>
      </c>
      <c r="G17" s="2"/>
      <c r="H17" s="151"/>
      <c r="I17" s="135">
        <f>+F17</f>
        <v>0</v>
      </c>
      <c r="J17" s="147"/>
      <c r="L17" s="152"/>
      <c r="N17" s="43">
        <f t="shared" si="3"/>
        <v>0</v>
      </c>
      <c r="O17" t="s">
        <v>8</v>
      </c>
      <c r="P17" s="181"/>
      <c r="Q17" s="47"/>
    </row>
    <row r="18" spans="2:17" ht="14.25">
      <c r="B18" s="171">
        <f t="shared" si="1"/>
        <v>8</v>
      </c>
      <c r="C18" s="25"/>
      <c r="D18" s="121" t="s">
        <v>182</v>
      </c>
      <c r="E18" s="7"/>
      <c r="G18" s="2"/>
      <c r="H18" s="153"/>
      <c r="I18" s="135"/>
      <c r="J18" s="147"/>
      <c r="K18" s="147"/>
      <c r="L18" s="152"/>
      <c r="P18" s="181"/>
      <c r="Q18" s="47"/>
    </row>
    <row r="19" spans="2:17" ht="14.25">
      <c r="B19" s="171">
        <f t="shared" si="1"/>
        <v>9</v>
      </c>
      <c r="C19" s="25" t="s">
        <v>10</v>
      </c>
      <c r="D19" s="121" t="s">
        <v>183</v>
      </c>
      <c r="E19" s="7"/>
      <c r="F19" s="68">
        <f>'[1]II-I-DIST'!$Q137-'[1]II-I-DIST'!$Q284</f>
        <v>4605384.7016706076</v>
      </c>
      <c r="G19" s="2"/>
      <c r="H19" s="153"/>
      <c r="I19" s="135">
        <f>F19</f>
        <v>4605384.7016706076</v>
      </c>
      <c r="J19" s="147"/>
      <c r="K19" s="147"/>
      <c r="L19" s="152"/>
      <c r="N19" s="43">
        <f>+F19</f>
        <v>4605384.7016706076</v>
      </c>
      <c r="O19" t="s">
        <v>10</v>
      </c>
      <c r="P19" s="181"/>
      <c r="Q19" s="47"/>
    </row>
    <row r="20" spans="2:17" ht="14.25">
      <c r="B20" s="171">
        <f t="shared" si="1"/>
        <v>10</v>
      </c>
      <c r="C20" s="25" t="s">
        <v>153</v>
      </c>
      <c r="D20" s="121" t="s">
        <v>184</v>
      </c>
      <c r="E20" s="7"/>
      <c r="F20" s="68">
        <f>'[1]II-I-DIST'!$Q138-'[1]II-I-DIST'!$Q285</f>
        <v>1037477.4333828213</v>
      </c>
      <c r="G20" s="2"/>
      <c r="H20" s="151"/>
      <c r="I20" s="135">
        <f t="shared" si="2"/>
        <v>1037477.4333828213</v>
      </c>
      <c r="J20" s="147"/>
      <c r="K20" s="147"/>
      <c r="L20" s="152"/>
      <c r="N20" s="43">
        <f>+F20</f>
        <v>1037477.4333828213</v>
      </c>
      <c r="O20" t="s">
        <v>153</v>
      </c>
      <c r="P20" s="181"/>
      <c r="Q20" s="47"/>
    </row>
    <row r="21" spans="2:17" ht="14.25">
      <c r="B21" s="171">
        <f t="shared" si="1"/>
        <v>11</v>
      </c>
      <c r="C21" s="25"/>
      <c r="D21" s="21" t="s">
        <v>12</v>
      </c>
      <c r="E21" s="7"/>
      <c r="F21" s="68"/>
      <c r="G21" s="2"/>
      <c r="H21" s="151"/>
      <c r="I21" s="135"/>
      <c r="J21" s="147"/>
      <c r="K21" s="147"/>
      <c r="L21" s="152"/>
      <c r="N21" s="43">
        <f t="shared" si="3"/>
        <v>0</v>
      </c>
      <c r="P21" s="181"/>
      <c r="Q21" s="47"/>
    </row>
    <row r="22" spans="2:17" ht="14.25">
      <c r="B22" s="171">
        <f t="shared" si="1"/>
        <v>12</v>
      </c>
      <c r="C22" s="25" t="s">
        <v>11</v>
      </c>
      <c r="D22" s="21" t="s">
        <v>13</v>
      </c>
      <c r="E22" s="7"/>
      <c r="F22" s="68">
        <f>'[1]II-I-DIST'!$Q139-'[1]II-I-DIST'!$Q286</f>
        <v>3122471.5540037192</v>
      </c>
      <c r="G22" s="2"/>
      <c r="H22" s="151"/>
      <c r="I22" s="135">
        <f t="shared" si="2"/>
        <v>3122471.5540037192</v>
      </c>
      <c r="J22" s="147"/>
      <c r="K22" s="147"/>
      <c r="L22" s="152"/>
      <c r="N22" s="43">
        <f t="shared" si="3"/>
        <v>3122471.5540037192</v>
      </c>
      <c r="O22" t="s">
        <v>11</v>
      </c>
      <c r="P22" s="181"/>
      <c r="Q22" s="47"/>
    </row>
    <row r="23" spans="2:17" ht="14.25">
      <c r="B23" s="171">
        <f t="shared" si="1"/>
        <v>13</v>
      </c>
      <c r="C23" s="25" t="s">
        <v>154</v>
      </c>
      <c r="D23" s="21" t="s">
        <v>14</v>
      </c>
      <c r="E23" s="7"/>
      <c r="F23" s="68">
        <f>'[1]II-I-DIST'!$Q140-'[1]II-I-DIST'!$Q287</f>
        <v>607179.73251766735</v>
      </c>
      <c r="G23" s="2"/>
      <c r="H23" s="151"/>
      <c r="I23" s="135">
        <f t="shared" si="2"/>
        <v>607179.73251766735</v>
      </c>
      <c r="J23" s="147"/>
      <c r="K23" s="147"/>
      <c r="L23" s="152"/>
      <c r="N23" s="43">
        <f t="shared" si="3"/>
        <v>607179.73251766735</v>
      </c>
      <c r="O23" t="s">
        <v>154</v>
      </c>
      <c r="P23" s="181"/>
      <c r="Q23" s="47"/>
    </row>
    <row r="24" spans="2:17" ht="14.25">
      <c r="B24" s="171">
        <f t="shared" si="1"/>
        <v>14</v>
      </c>
      <c r="C24" s="25"/>
      <c r="D24" s="21" t="s">
        <v>16</v>
      </c>
      <c r="E24" s="7"/>
      <c r="F24" s="68"/>
      <c r="G24" s="2"/>
      <c r="H24" s="151"/>
      <c r="I24" s="135"/>
      <c r="J24" s="147"/>
      <c r="K24" s="147"/>
      <c r="L24" s="152"/>
      <c r="N24" s="43">
        <f t="shared" si="3"/>
        <v>0</v>
      </c>
      <c r="P24" s="181"/>
      <c r="Q24" s="47"/>
    </row>
    <row r="25" spans="2:17" ht="14.25">
      <c r="B25" s="171">
        <f t="shared" si="1"/>
        <v>15</v>
      </c>
      <c r="C25" s="25" t="s">
        <v>15</v>
      </c>
      <c r="D25" s="21" t="s">
        <v>17</v>
      </c>
      <c r="E25" s="7"/>
      <c r="F25" s="68">
        <f>'[1]II-I-DIST'!$Q141-'[1]II-I-DIST'!$Q288</f>
        <v>1351645.516288758</v>
      </c>
      <c r="G25" s="2"/>
      <c r="H25" s="151"/>
      <c r="I25" s="135">
        <f t="shared" si="2"/>
        <v>1351645.516288758</v>
      </c>
      <c r="J25" s="147"/>
      <c r="K25" s="147"/>
      <c r="L25" s="152"/>
      <c r="N25" s="43">
        <f t="shared" si="3"/>
        <v>1351645.516288758</v>
      </c>
      <c r="O25" t="s">
        <v>15</v>
      </c>
      <c r="P25" s="181"/>
      <c r="Q25" s="47"/>
    </row>
    <row r="26" spans="2:17" ht="14.25">
      <c r="B26" s="171">
        <f t="shared" si="1"/>
        <v>16</v>
      </c>
      <c r="C26" s="25" t="s">
        <v>155</v>
      </c>
      <c r="D26" s="21" t="s">
        <v>18</v>
      </c>
      <c r="E26" s="7"/>
      <c r="F26" s="68">
        <f>'[1]II-I-DIST'!$Q142-'[1]II-I-DIST'!$Q289</f>
        <v>959651.78868084529</v>
      </c>
      <c r="G26" s="2"/>
      <c r="H26" s="151"/>
      <c r="I26" s="135">
        <f t="shared" si="2"/>
        <v>959651.78868084529</v>
      </c>
      <c r="J26" s="147"/>
      <c r="K26" s="147"/>
      <c r="L26" s="152"/>
      <c r="N26" s="43">
        <f t="shared" si="3"/>
        <v>959651.78868084529</v>
      </c>
      <c r="O26" t="s">
        <v>155</v>
      </c>
      <c r="P26" s="181"/>
      <c r="Q26" s="47"/>
    </row>
    <row r="27" spans="2:17" ht="14.25">
      <c r="B27" s="171">
        <f t="shared" si="1"/>
        <v>17</v>
      </c>
      <c r="C27" s="25"/>
      <c r="D27" s="21" t="s">
        <v>20</v>
      </c>
      <c r="E27" s="7"/>
      <c r="F27" s="68"/>
      <c r="G27" s="2"/>
      <c r="H27" s="153"/>
      <c r="I27" s="135"/>
      <c r="J27" s="147"/>
      <c r="K27" s="147"/>
      <c r="L27" s="152"/>
      <c r="N27" s="43">
        <f t="shared" si="3"/>
        <v>0</v>
      </c>
      <c r="P27" s="181"/>
      <c r="Q27" s="47"/>
    </row>
    <row r="28" spans="2:17" ht="14.25">
      <c r="B28" s="171">
        <f t="shared" si="1"/>
        <v>18</v>
      </c>
      <c r="C28" s="25" t="s">
        <v>19</v>
      </c>
      <c r="D28" s="21" t="s">
        <v>21</v>
      </c>
      <c r="E28" s="7"/>
      <c r="F28" s="68">
        <f>'[1]II-I-DIST'!$Q143-'[1]II-I-DIST'!$Q290</f>
        <v>5665343.7814264782</v>
      </c>
      <c r="G28" s="2"/>
      <c r="H28" s="153"/>
      <c r="I28" s="135">
        <f t="shared" si="2"/>
        <v>5665343.7814264782</v>
      </c>
      <c r="J28" s="147"/>
      <c r="K28" s="147"/>
      <c r="L28" s="152"/>
      <c r="N28" s="43">
        <f t="shared" si="3"/>
        <v>5665343.7814264782</v>
      </c>
      <c r="O28" t="s">
        <v>19</v>
      </c>
      <c r="P28" s="181"/>
      <c r="Q28" s="47"/>
    </row>
    <row r="29" spans="2:17" ht="14.25">
      <c r="B29" s="171">
        <f t="shared" si="1"/>
        <v>19</v>
      </c>
      <c r="C29" s="25" t="s">
        <v>156</v>
      </c>
      <c r="D29" s="21" t="s">
        <v>22</v>
      </c>
      <c r="E29" s="7"/>
      <c r="F29" s="68">
        <f>'[1]II-I-DIST'!$Q144-'[1]II-I-DIST'!$Q291</f>
        <v>1445929.3608144394</v>
      </c>
      <c r="G29" s="2"/>
      <c r="H29" s="151"/>
      <c r="I29" s="135">
        <f t="shared" si="2"/>
        <v>1445929.3608144394</v>
      </c>
      <c r="J29" s="147"/>
      <c r="K29" s="147"/>
      <c r="L29" s="152"/>
      <c r="N29" s="43">
        <f t="shared" si="3"/>
        <v>1445929.3608144394</v>
      </c>
      <c r="O29" t="s">
        <v>156</v>
      </c>
      <c r="P29" s="181"/>
      <c r="Q29" s="47"/>
    </row>
    <row r="30" spans="2:17" ht="14.25">
      <c r="B30" s="171">
        <f t="shared" si="1"/>
        <v>20</v>
      </c>
      <c r="C30" s="25"/>
      <c r="D30" s="21" t="s">
        <v>24</v>
      </c>
      <c r="E30" s="7"/>
      <c r="F30" s="68"/>
      <c r="G30" s="2"/>
      <c r="H30" s="151"/>
      <c r="I30" s="135"/>
      <c r="J30" s="147"/>
      <c r="K30" s="147"/>
      <c r="L30" s="152"/>
      <c r="N30" s="43">
        <f t="shared" si="3"/>
        <v>0</v>
      </c>
      <c r="P30" s="181"/>
      <c r="Q30" s="47"/>
    </row>
    <row r="31" spans="2:17" ht="14.25">
      <c r="B31" s="171">
        <f t="shared" si="1"/>
        <v>21</v>
      </c>
      <c r="C31" s="25" t="s">
        <v>23</v>
      </c>
      <c r="D31" s="21" t="s">
        <v>25</v>
      </c>
      <c r="E31" s="7"/>
      <c r="F31" s="68">
        <f>'[1]II-I-DIST'!$Q145-'[1]II-I-DIST'!$Q292</f>
        <v>363540.38885647443</v>
      </c>
      <c r="G31" s="2"/>
      <c r="H31" s="151"/>
      <c r="I31" s="135">
        <f t="shared" si="2"/>
        <v>363540.38885647443</v>
      </c>
      <c r="J31" s="147"/>
      <c r="K31" s="147"/>
      <c r="L31" s="152"/>
      <c r="N31" s="43">
        <f t="shared" si="3"/>
        <v>363540.38885647443</v>
      </c>
      <c r="O31" t="s">
        <v>23</v>
      </c>
      <c r="P31" s="181"/>
      <c r="Q31" s="47"/>
    </row>
    <row r="32" spans="2:17" ht="14.25">
      <c r="B32" s="171">
        <f t="shared" si="1"/>
        <v>22</v>
      </c>
      <c r="C32" s="25" t="s">
        <v>157</v>
      </c>
      <c r="D32" s="21" t="s">
        <v>26</v>
      </c>
      <c r="E32" s="7"/>
      <c r="F32" s="180">
        <f>'[1]II-I-DIST'!$Q146-'[1]II-I-DIST'!$Q293</f>
        <v>5976123.1052073389</v>
      </c>
      <c r="G32" s="2"/>
      <c r="H32" s="151"/>
      <c r="I32" s="135">
        <f t="shared" si="2"/>
        <v>5976123.1052073389</v>
      </c>
      <c r="J32" s="147"/>
      <c r="K32" s="147"/>
      <c r="L32" s="152"/>
      <c r="N32" s="43">
        <f t="shared" si="3"/>
        <v>5976123.1052073389</v>
      </c>
      <c r="O32" t="s">
        <v>157</v>
      </c>
      <c r="P32" s="181"/>
      <c r="Q32" s="47"/>
    </row>
    <row r="33" spans="2:17" ht="14.25">
      <c r="B33" s="171">
        <f t="shared" si="1"/>
        <v>23</v>
      </c>
      <c r="C33" s="25" t="s">
        <v>158</v>
      </c>
      <c r="D33" s="21" t="s">
        <v>27</v>
      </c>
      <c r="E33" s="7"/>
      <c r="F33" s="68">
        <f>'[1]II-I-DIST'!$Q147-'[1]II-I-DIST'!$Q294</f>
        <v>328513.20830527414</v>
      </c>
      <c r="G33" s="2"/>
      <c r="H33" s="151"/>
      <c r="I33" s="135">
        <f t="shared" si="2"/>
        <v>328513.20830527414</v>
      </c>
      <c r="J33" s="147"/>
      <c r="K33" s="147"/>
      <c r="L33" s="152"/>
      <c r="N33" s="43">
        <f t="shared" si="3"/>
        <v>328513.20830527414</v>
      </c>
      <c r="O33" t="s">
        <v>158</v>
      </c>
      <c r="P33" s="181"/>
      <c r="Q33" s="47"/>
    </row>
    <row r="34" spans="2:16" ht="12.75">
      <c r="B34" s="171">
        <f t="shared" si="1"/>
        <v>24</v>
      </c>
      <c r="C34" s="25" t="s">
        <v>28</v>
      </c>
      <c r="D34" s="21" t="s">
        <v>29</v>
      </c>
      <c r="E34" s="7"/>
      <c r="F34" s="68">
        <f>'[1]II-I-DIST'!$Q148-'[1]II-I-DIST'!$Q295</f>
        <v>339211.54425453732</v>
      </c>
      <c r="G34" s="2"/>
      <c r="H34" s="153"/>
      <c r="I34" s="135">
        <f t="shared" si="2"/>
        <v>339211.54425453732</v>
      </c>
      <c r="J34" s="147"/>
      <c r="K34" s="147"/>
      <c r="L34" s="152"/>
      <c r="N34" s="43">
        <f t="shared" si="3"/>
        <v>339211.54425453732</v>
      </c>
      <c r="O34" t="s">
        <v>28</v>
      </c>
      <c r="P34" s="91"/>
    </row>
    <row r="35" spans="2:16" ht="12.75">
      <c r="B35" s="171">
        <f t="shared" si="1"/>
        <v>25</v>
      </c>
      <c r="C35" s="25" t="s">
        <v>30</v>
      </c>
      <c r="D35" s="21" t="s">
        <v>31</v>
      </c>
      <c r="E35" s="7"/>
      <c r="F35" s="68">
        <v>0</v>
      </c>
      <c r="G35" s="2"/>
      <c r="H35" s="151"/>
      <c r="I35" s="147"/>
      <c r="J35" s="147"/>
      <c r="K35" s="147"/>
      <c r="L35" s="152"/>
      <c r="N35" s="43">
        <f t="shared" si="3"/>
        <v>0</v>
      </c>
      <c r="O35" t="s">
        <v>30</v>
      </c>
      <c r="P35" s="91"/>
    </row>
    <row r="36" spans="2:16" ht="12.75">
      <c r="B36" s="171">
        <f t="shared" si="1"/>
        <v>26</v>
      </c>
      <c r="C36" s="119" t="s">
        <v>32</v>
      </c>
      <c r="D36" s="7" t="s">
        <v>33</v>
      </c>
      <c r="E36" s="36"/>
      <c r="F36" s="68">
        <f>'[1]II-I-DIST'!$Q150-'[1]II-I-DIST'!$Q297</f>
        <v>-20437956.419999994</v>
      </c>
      <c r="G36" s="68"/>
      <c r="H36" s="117">
        <f>+F36</f>
        <v>-20437956.419999994</v>
      </c>
      <c r="I36" s="147"/>
      <c r="J36" s="147"/>
      <c r="K36" s="147"/>
      <c r="L36" s="152"/>
      <c r="N36" s="2">
        <f>H36</f>
        <v>-20437956.419999994</v>
      </c>
      <c r="O36" t="s">
        <v>32</v>
      </c>
      <c r="P36" s="91"/>
    </row>
    <row r="37" spans="2:16" ht="12.75">
      <c r="B37" s="171">
        <f t="shared" si="1"/>
        <v>27</v>
      </c>
      <c r="C37" s="25" t="s">
        <v>34</v>
      </c>
      <c r="D37" s="21" t="s">
        <v>35</v>
      </c>
      <c r="E37" s="7"/>
      <c r="F37" s="68">
        <v>0</v>
      </c>
      <c r="G37" s="2"/>
      <c r="H37" s="151"/>
      <c r="I37" s="147"/>
      <c r="J37" s="147"/>
      <c r="K37" s="147"/>
      <c r="L37" s="152"/>
      <c r="N37" s="43">
        <f t="shared" si="3"/>
        <v>0</v>
      </c>
      <c r="O37" t="s">
        <v>34</v>
      </c>
      <c r="P37" s="91"/>
    </row>
    <row r="38" spans="2:16" ht="12.75">
      <c r="B38" s="171">
        <f t="shared" si="1"/>
        <v>28</v>
      </c>
      <c r="C38" s="25" t="s">
        <v>36</v>
      </c>
      <c r="D38" s="21" t="s">
        <v>37</v>
      </c>
      <c r="E38" s="7"/>
      <c r="F38" s="68">
        <f>'[1]II-I-DIST'!$Q152-'[1]II-I-DIST'!$Q299</f>
        <v>65371169.089999974</v>
      </c>
      <c r="G38" s="2"/>
      <c r="H38" s="69">
        <f>+F38</f>
        <v>65371169.089999974</v>
      </c>
      <c r="I38" s="147"/>
      <c r="J38" s="147"/>
      <c r="K38" s="147"/>
      <c r="L38" s="152"/>
      <c r="N38" s="43">
        <f t="shared" si="3"/>
        <v>65371169.089999974</v>
      </c>
      <c r="O38" t="s">
        <v>36</v>
      </c>
      <c r="P38" s="91"/>
    </row>
    <row r="39" spans="2:16" ht="12.75">
      <c r="B39" s="171">
        <f t="shared" si="1"/>
        <v>29</v>
      </c>
      <c r="C39" s="25" t="s">
        <v>38</v>
      </c>
      <c r="D39" s="21" t="s">
        <v>1</v>
      </c>
      <c r="E39" s="7"/>
      <c r="F39" s="68">
        <f>'[1]II-I-DIST'!$Q153</f>
        <v>2664673.7955877841</v>
      </c>
      <c r="G39" s="2"/>
      <c r="H39" s="147"/>
      <c r="I39" s="147"/>
      <c r="J39" s="68">
        <f>+F39</f>
        <v>2664673.7955877841</v>
      </c>
      <c r="K39" s="147"/>
      <c r="L39" s="152"/>
      <c r="N39" s="43">
        <f t="shared" si="3"/>
        <v>2664673.7955877841</v>
      </c>
      <c r="O39" s="49" t="s">
        <v>38</v>
      </c>
      <c r="P39" s="91"/>
    </row>
    <row r="40" spans="1:17" ht="13.5" thickBot="1">
      <c r="A40" s="43"/>
      <c r="B40" s="171">
        <f t="shared" si="1"/>
        <v>30</v>
      </c>
      <c r="C40" s="20"/>
      <c r="D40" s="31" t="s">
        <v>0</v>
      </c>
      <c r="E40" s="7"/>
      <c r="F40" s="134">
        <f>SUM(F14:F39)</f>
        <v>81890650.661846578</v>
      </c>
      <c r="G40" s="4"/>
      <c r="H40" s="154">
        <f>SUM(H14:H39)</f>
        <v>44933212.669999979</v>
      </c>
      <c r="I40" s="154">
        <f>SUM(I14:I39)</f>
        <v>34292764.196258813</v>
      </c>
      <c r="J40" s="154">
        <f>SUM(J14:J39)</f>
        <v>2664673.7955877841</v>
      </c>
      <c r="K40" s="154">
        <f>SUM(K14:K39)</f>
        <v>0</v>
      </c>
      <c r="L40" s="155">
        <f>SUM(L14:L39)</f>
        <v>0</v>
      </c>
      <c r="N40" s="84">
        <f>SUM(N14:N39)</f>
        <v>81890650.661846578</v>
      </c>
      <c r="O40" s="87" t="s">
        <v>177</v>
      </c>
      <c r="P40" s="182"/>
      <c r="Q40" s="2">
        <v>92709573</v>
      </c>
    </row>
    <row r="41" spans="2:16" ht="16.5" customHeight="1" thickTop="1" thickBot="1">
      <c r="B41" s="171">
        <f t="shared" si="1"/>
        <v>31</v>
      </c>
      <c r="C41" s="20"/>
      <c r="D41" s="21"/>
      <c r="E41" s="7"/>
      <c r="F41" s="135"/>
      <c r="G41" s="2"/>
      <c r="H41" s="147"/>
      <c r="I41" s="147"/>
      <c r="J41" s="147"/>
      <c r="K41" s="147"/>
      <c r="L41" s="152"/>
      <c r="P41" s="182"/>
    </row>
    <row r="42" spans="2:16" ht="12.75">
      <c r="B42" s="171">
        <f t="shared" si="1"/>
        <v>32</v>
      </c>
      <c r="C42" s="59" t="s">
        <v>137</v>
      </c>
      <c r="D42" s="60"/>
      <c r="E42" s="51"/>
      <c r="F42" s="142">
        <f>'[1]II-I-DIST'!$Q311</f>
        <v>1858686.8345418307</v>
      </c>
      <c r="G42" s="61"/>
      <c r="H42" s="138"/>
      <c r="I42" s="138"/>
      <c r="J42" s="138">
        <f>F42</f>
        <v>1858686.8345418307</v>
      </c>
      <c r="K42" s="138"/>
      <c r="L42" s="156"/>
      <c r="N42" s="88">
        <f>+F42</f>
        <v>1858686.8345418307</v>
      </c>
      <c r="P42" s="182"/>
    </row>
    <row r="43" spans="1:17" ht="12.75">
      <c r="A43" s="43"/>
      <c r="B43" s="171">
        <f t="shared" si="1"/>
        <v>33</v>
      </c>
      <c r="C43" s="24" t="s">
        <v>39</v>
      </c>
      <c r="D43" s="8"/>
      <c r="E43" s="7"/>
      <c r="F43" s="68">
        <f>'[1]II-I-DIST'!$Q312</f>
        <v>973110.70985844778</v>
      </c>
      <c r="G43" s="3"/>
      <c r="H43" s="69"/>
      <c r="I43" s="69"/>
      <c r="J43" s="69">
        <f>F43</f>
        <v>973110.70985844778</v>
      </c>
      <c r="K43" s="69"/>
      <c r="L43" s="70"/>
      <c r="N43" s="43">
        <f>+F43</f>
        <v>973110.70985844778</v>
      </c>
      <c r="P43" s="182"/>
      <c r="Q43" s="43"/>
    </row>
    <row r="44" spans="2:16" ht="13.5" thickBot="1">
      <c r="B44" s="171">
        <f t="shared" si="1"/>
        <v>34</v>
      </c>
      <c r="C44" s="62" t="s">
        <v>43</v>
      </c>
      <c r="D44" s="63"/>
      <c r="E44" s="52"/>
      <c r="F44" s="143">
        <f>'[1]II-I-DIST'!$Q350</f>
        <v>2749267.9691397077</v>
      </c>
      <c r="G44" s="64"/>
      <c r="H44" s="136"/>
      <c r="I44" s="136"/>
      <c r="J44" s="136">
        <f>F44</f>
        <v>2749267.9691397077</v>
      </c>
      <c r="K44" s="136"/>
      <c r="L44" s="157"/>
      <c r="N44" s="43">
        <f>+F44</f>
        <v>2749267.9691397077</v>
      </c>
      <c r="P44" s="182"/>
    </row>
    <row r="45" spans="2:17" ht="13.5" thickBot="1">
      <c r="B45" s="171">
        <f t="shared" si="1"/>
        <v>35</v>
      </c>
      <c r="C45" s="25"/>
      <c r="D45" s="7"/>
      <c r="E45" s="7"/>
      <c r="F45" s="68"/>
      <c r="G45" s="3"/>
      <c r="H45" s="69"/>
      <c r="I45" s="69"/>
      <c r="J45" s="69"/>
      <c r="K45" s="69"/>
      <c r="L45" s="70"/>
      <c r="O45" s="49"/>
      <c r="P45" s="183"/>
      <c r="Q45" s="3"/>
    </row>
    <row r="46" spans="1:17" ht="13.5" thickBot="1">
      <c r="A46" s="43"/>
      <c r="B46" s="171">
        <f t="shared" si="1"/>
        <v>36</v>
      </c>
      <c r="C46" s="65" t="s">
        <v>138</v>
      </c>
      <c r="D46" s="53"/>
      <c r="E46" s="53"/>
      <c r="F46" s="72">
        <f>+F44+F43+F42+F40</f>
        <v>87471716.175386563</v>
      </c>
      <c r="G46" s="66"/>
      <c r="H46" s="72">
        <f>SUM(H42:H44)+H40</f>
        <v>44933212.669999979</v>
      </c>
      <c r="I46" s="72">
        <f>SUM(I42:I44)+I40</f>
        <v>34292764.196258813</v>
      </c>
      <c r="J46" s="72">
        <f>SUM(J42:J44)+J40</f>
        <v>8245739.3091277704</v>
      </c>
      <c r="K46" s="72">
        <f>SUM(K42:K44)+K40</f>
        <v>0</v>
      </c>
      <c r="L46" s="73">
        <f>SUM(L42:L44)+L40</f>
        <v>0</v>
      </c>
      <c r="O46" s="89"/>
      <c r="P46" s="91"/>
      <c r="Q46" s="3"/>
    </row>
    <row r="47" spans="1:16" ht="12.75">
      <c r="A47" s="48"/>
      <c r="B47" s="171">
        <f t="shared" si="1"/>
        <v>37</v>
      </c>
      <c r="C47" s="25"/>
      <c r="D47" s="7"/>
      <c r="E47" s="7"/>
      <c r="F47" s="68"/>
      <c r="G47" s="3"/>
      <c r="H47" s="69"/>
      <c r="I47" s="69"/>
      <c r="J47" s="69"/>
      <c r="K47" s="69"/>
      <c r="L47" s="70"/>
      <c r="P47" s="182"/>
    </row>
    <row r="48" spans="2:17" ht="12.75">
      <c r="B48" s="171">
        <f t="shared" si="1"/>
        <v>38</v>
      </c>
      <c r="C48" s="67" t="s">
        <v>40</v>
      </c>
      <c r="D48" s="7"/>
      <c r="E48" s="7"/>
      <c r="F48" s="68"/>
      <c r="G48" s="68"/>
      <c r="H48" s="69"/>
      <c r="I48" s="69"/>
      <c r="J48" s="69"/>
      <c r="K48" s="69"/>
      <c r="L48" s="70"/>
      <c r="P48" s="184">
        <f>'[1]II-I-DIST'!$Q$374</f>
        <v>5968.0008339198394</v>
      </c>
      <c r="Q48" s="168" t="s">
        <v>197</v>
      </c>
    </row>
    <row r="49" spans="2:16" ht="6" customHeight="1">
      <c r="B49" s="171"/>
      <c r="C49" s="25"/>
      <c r="D49" s="7"/>
      <c r="E49" s="7"/>
      <c r="F49" s="68"/>
      <c r="G49" s="68"/>
      <c r="H49" s="69"/>
      <c r="I49" s="69"/>
      <c r="J49" s="69"/>
      <c r="K49" s="69"/>
      <c r="L49" s="70"/>
      <c r="P49" s="185"/>
    </row>
    <row r="50" spans="2:17" ht="12.75">
      <c r="B50" s="171">
        <v>39</v>
      </c>
      <c r="C50" s="32" t="s">
        <v>199</v>
      </c>
      <c r="D50" s="7"/>
      <c r="E50" s="7"/>
      <c r="F50" s="68">
        <f>'[1]II-I-DIST'!$Q552</f>
        <v>24108317.934427816</v>
      </c>
      <c r="G50" s="68"/>
      <c r="H50" s="69"/>
      <c r="I50" s="69"/>
      <c r="J50" s="69">
        <f>+F50</f>
        <v>24108317.934427816</v>
      </c>
      <c r="K50" s="69"/>
      <c r="L50" s="70"/>
      <c r="N50" s="86">
        <f>+F50</f>
        <v>24108317.934427816</v>
      </c>
      <c r="P50" s="184">
        <f>'[1]II-I-DIST'!$Q483</f>
        <v>-7569.5799941726054</v>
      </c>
      <c r="Q50" s="126" t="s">
        <v>188</v>
      </c>
    </row>
    <row r="51" spans="2:17" ht="12.75">
      <c r="B51" s="171">
        <f t="shared" si="1"/>
        <v>40</v>
      </c>
      <c r="C51" s="32" t="s">
        <v>198</v>
      </c>
      <c r="D51" s="7"/>
      <c r="E51" s="7"/>
      <c r="F51" s="68">
        <f>'[1]II-I-DIST'!$Q589</f>
        <v>-19625837.862139102</v>
      </c>
      <c r="G51" s="68"/>
      <c r="H51" s="69"/>
      <c r="I51" s="69"/>
      <c r="J51" s="69"/>
      <c r="K51" s="69">
        <f>+F51</f>
        <v>-19625837.862139102</v>
      </c>
      <c r="L51" s="70"/>
      <c r="N51" s="86">
        <f>+F51</f>
        <v>-19625837.862139102</v>
      </c>
      <c r="P51" s="184">
        <f>'[1]II-I-DIST'!$Q421</f>
        <v>2631347.0922318855</v>
      </c>
      <c r="Q51" t="s">
        <v>166</v>
      </c>
    </row>
    <row r="52" spans="2:17" ht="12.75">
      <c r="B52" s="171">
        <f t="shared" si="1"/>
        <v>41</v>
      </c>
      <c r="C52" s="33" t="s">
        <v>135</v>
      </c>
      <c r="D52" s="7"/>
      <c r="E52" s="7"/>
      <c r="F52" s="68">
        <f>'[1]II-I-DIST'!$Q399</f>
        <v>-39882508.285921067</v>
      </c>
      <c r="G52" s="68"/>
      <c r="H52" s="69"/>
      <c r="I52" s="69"/>
      <c r="J52" s="69"/>
      <c r="K52" s="69">
        <f>+F52</f>
        <v>-39882508.285921067</v>
      </c>
      <c r="L52" s="70"/>
      <c r="N52" s="86">
        <f>+F52</f>
        <v>-39882508.285921067</v>
      </c>
      <c r="P52" s="184">
        <f>'[1]II-I-DIST'!$Q441</f>
        <v>-92991.308914977402</v>
      </c>
      <c r="Q52" t="s">
        <v>167</v>
      </c>
    </row>
    <row r="53" spans="2:17" ht="16.5" customHeight="1" thickBot="1">
      <c r="B53" s="171">
        <f t="shared" si="1"/>
        <v>42</v>
      </c>
      <c r="C53" s="32" t="s">
        <v>53</v>
      </c>
      <c r="D53" s="7"/>
      <c r="E53" s="7"/>
      <c r="F53" s="68">
        <f>+P54</f>
        <v>2903257.6388539835</v>
      </c>
      <c r="G53" s="68"/>
      <c r="H53" s="69"/>
      <c r="I53" s="69"/>
      <c r="J53" s="69">
        <f>+F53</f>
        <v>2903257.6388539835</v>
      </c>
      <c r="K53" s="69"/>
      <c r="L53" s="70"/>
      <c r="N53" s="86">
        <f>+F53</f>
        <v>2903257.6388539835</v>
      </c>
      <c r="P53" s="184">
        <f>'[1]II-I-DIST'!$Q462</f>
        <v>366503.43469732808</v>
      </c>
      <c r="Q53" t="s">
        <v>168</v>
      </c>
    </row>
    <row r="54" spans="2:16" ht="13.5" thickBot="1">
      <c r="B54" s="171">
        <f t="shared" si="1"/>
        <v>43</v>
      </c>
      <c r="C54" s="71" t="s">
        <v>42</v>
      </c>
      <c r="D54" s="53"/>
      <c r="E54" s="53"/>
      <c r="F54" s="72">
        <f>SUM(F50:F53)</f>
        <v>-32496770.574778371</v>
      </c>
      <c r="G54" s="72"/>
      <c r="H54" s="72">
        <f>SUM(H50:H53)</f>
        <v>0</v>
      </c>
      <c r="I54" s="72">
        <f>SUM(I50:I53)</f>
        <v>0</v>
      </c>
      <c r="J54" s="72">
        <f>SUM(J50:J53)</f>
        <v>27011575.573281799</v>
      </c>
      <c r="K54" s="72">
        <f>SUM(K50:K53)</f>
        <v>-59508346.148060173</v>
      </c>
      <c r="L54" s="73">
        <f>SUM(L50:L53)</f>
        <v>0</v>
      </c>
      <c r="N54" s="41">
        <f>SUM(N50:N53)</f>
        <v>-32496770.574778371</v>
      </c>
      <c r="P54" s="90">
        <f>SUM(P48:P53)</f>
        <v>2903257.6388539835</v>
      </c>
    </row>
    <row r="55" spans="2:16" ht="13.5" thickTop="1" thickBot="1">
      <c r="B55" s="171">
        <f t="shared" si="1"/>
        <v>44</v>
      </c>
      <c r="C55" s="33"/>
      <c r="D55" s="7"/>
      <c r="E55" s="7"/>
      <c r="F55" s="68"/>
      <c r="G55" s="68"/>
      <c r="H55" s="69"/>
      <c r="I55" s="69"/>
      <c r="J55" s="69"/>
      <c r="K55" s="69"/>
      <c r="L55" s="70"/>
      <c r="P55" s="182"/>
    </row>
    <row r="56" spans="1:19" ht="13.5" thickBot="1">
      <c r="A56" s="55">
        <f>+F56+A36</f>
        <v>54974945.600608192</v>
      </c>
      <c r="B56" s="171">
        <f t="shared" si="1"/>
        <v>45</v>
      </c>
      <c r="C56" s="74" t="s">
        <v>174</v>
      </c>
      <c r="D56" s="53"/>
      <c r="E56" s="53"/>
      <c r="F56" s="72">
        <f>+F54+F46</f>
        <v>54974945.600608192</v>
      </c>
      <c r="G56" s="72"/>
      <c r="H56" s="72">
        <f>+H54+H46</f>
        <v>44933212.669999979</v>
      </c>
      <c r="I56" s="72">
        <f>+I54+I46</f>
        <v>34292764.196258813</v>
      </c>
      <c r="J56" s="72">
        <f>+J54+J46</f>
        <v>35257314.882409573</v>
      </c>
      <c r="K56" s="72">
        <f>+K54+K46</f>
        <v>-59508346.148060173</v>
      </c>
      <c r="L56" s="73">
        <f>+L54+L46</f>
        <v>0</v>
      </c>
      <c r="N56" s="115">
        <f>SUM(N40:N53)</f>
        <v>54974945.600608185</v>
      </c>
      <c r="P56" s="182">
        <v>54962047.96749679</v>
      </c>
      <c r="Q56" s="91"/>
      <c r="R56" s="54"/>
      <c r="S56" s="54"/>
    </row>
    <row r="57" spans="2:16" ht="9" customHeight="1">
      <c r="B57" s="171"/>
      <c r="C57" s="34"/>
      <c r="D57" s="7"/>
      <c r="E57" s="7"/>
      <c r="F57" s="68"/>
      <c r="G57" s="68"/>
      <c r="H57" s="69"/>
      <c r="I57" s="69"/>
      <c r="J57" s="69"/>
      <c r="K57" s="69"/>
      <c r="L57" s="70"/>
      <c r="N57" s="85"/>
      <c r="P57" s="182"/>
    </row>
    <row r="58" spans="1:16" ht="12.75">
      <c r="A58" s="179"/>
      <c r="B58" s="171">
        <v>46</v>
      </c>
      <c r="C58" s="35" t="s">
        <v>41</v>
      </c>
      <c r="D58" s="7"/>
      <c r="E58" s="7"/>
      <c r="F58" s="128">
        <f>'[1]II-I-DIST'!F597</f>
        <v>0.070499999999999993</v>
      </c>
      <c r="G58" s="92"/>
      <c r="H58" s="165">
        <f>+F58</f>
        <v>0.070499999999999993</v>
      </c>
      <c r="I58" s="165">
        <f>+F58</f>
        <v>0.070499999999999993</v>
      </c>
      <c r="J58" s="165">
        <f>+F58</f>
        <v>0.070499999999999993</v>
      </c>
      <c r="K58" s="165">
        <f>+F58</f>
        <v>0.070499999999999993</v>
      </c>
      <c r="L58" s="166">
        <f>+F58</f>
        <v>0.070499999999999993</v>
      </c>
      <c r="P58" s="182"/>
    </row>
    <row r="59" spans="2:16" ht="9" customHeight="1" thickBot="1">
      <c r="B59" s="171"/>
      <c r="C59" s="25"/>
      <c r="D59" s="7"/>
      <c r="E59" s="7"/>
      <c r="F59" s="68"/>
      <c r="G59" s="68"/>
      <c r="H59" s="69"/>
      <c r="I59" s="69"/>
      <c r="J59" s="69"/>
      <c r="K59" s="69"/>
      <c r="L59" s="70"/>
      <c r="P59" s="182"/>
    </row>
    <row r="60" spans="2:16" ht="13.5" thickBot="1">
      <c r="B60" s="171">
        <v>47</v>
      </c>
      <c r="C60" s="74" t="s">
        <v>175</v>
      </c>
      <c r="D60" s="53"/>
      <c r="E60" s="53"/>
      <c r="F60" s="72">
        <f>ROUND(F58*F56,0)</f>
        <v>3875734</v>
      </c>
      <c r="G60" s="72"/>
      <c r="H60" s="72">
        <f>ROUND(H58*H56,0)</f>
        <v>3167791</v>
      </c>
      <c r="I60" s="72">
        <f>ROUND(I58*I56,0)</f>
        <v>2417640</v>
      </c>
      <c r="J60" s="72">
        <f>ROUND(J58*J56,0)</f>
        <v>2485641</v>
      </c>
      <c r="K60" s="72">
        <f>ROUND(K58*K56,0)</f>
        <v>-4195338</v>
      </c>
      <c r="L60" s="73">
        <f>ROUND(L58*L56,0)</f>
        <v>0</v>
      </c>
      <c r="N60" s="114">
        <f>SUM(H60:M60)</f>
        <v>3875734</v>
      </c>
      <c r="P60" s="182">
        <v>3924289</v>
      </c>
    </row>
    <row r="61" spans="2:16" ht="13.5" thickBot="1">
      <c r="B61" s="171">
        <f t="shared" si="1"/>
        <v>48</v>
      </c>
      <c r="C61" s="119" t="s">
        <v>189</v>
      </c>
      <c r="D61" s="7"/>
      <c r="E61" s="7"/>
      <c r="F61" s="68">
        <f>'[1]II-I-DIST'!$Q35</f>
        <v>0</v>
      </c>
      <c r="G61" s="68"/>
      <c r="H61" s="69">
        <f>ROUND($F$61*H60/$F$60,0)</f>
        <v>0</v>
      </c>
      <c r="I61" s="69">
        <f>ROUND($F$61*I60/$F$60,0)</f>
        <v>0</v>
      </c>
      <c r="J61" s="69">
        <f>ROUND($F$61*J60/$F$60,0)</f>
        <v>0</v>
      </c>
      <c r="K61" s="69">
        <f>ROUND($F$61*K60/$F$60,0)</f>
        <v>0</v>
      </c>
      <c r="L61" s="70">
        <v>0</v>
      </c>
      <c r="P61" s="182"/>
    </row>
    <row r="62" spans="2:16" ht="13.5" thickBot="1">
      <c r="B62" s="171">
        <f t="shared" si="1"/>
        <v>49</v>
      </c>
      <c r="C62" s="74" t="s">
        <v>176</v>
      </c>
      <c r="D62" s="53"/>
      <c r="E62" s="53"/>
      <c r="F62" s="72">
        <f>+F60+F61</f>
        <v>3875734</v>
      </c>
      <c r="G62" s="72"/>
      <c r="H62" s="72">
        <f>ROUND(H60*$F$64,0)</f>
        <v>3167791</v>
      </c>
      <c r="I62" s="72">
        <f>ROUND(I60*$F$64,0)</f>
        <v>2417640</v>
      </c>
      <c r="J62" s="72">
        <f>ROUND(J60*$F$64,0)</f>
        <v>2485641</v>
      </c>
      <c r="K62" s="72">
        <f>ROUND(K60*$F$64,0)</f>
        <v>-4195338</v>
      </c>
      <c r="L62" s="73">
        <f>ROUND(L60*$F$64,0)</f>
        <v>0</v>
      </c>
      <c r="N62" s="42">
        <f>SUM(H62:M62)</f>
        <v>3875734</v>
      </c>
      <c r="P62" s="182">
        <v>3924289</v>
      </c>
    </row>
    <row r="63" spans="2:16" ht="12.75">
      <c r="B63" s="171">
        <f t="shared" si="1"/>
        <v>50</v>
      </c>
      <c r="C63" s="25" t="s">
        <v>172</v>
      </c>
      <c r="D63" s="7"/>
      <c r="E63" s="7"/>
      <c r="F63" s="69"/>
      <c r="G63" s="7"/>
      <c r="H63" s="69"/>
      <c r="I63" s="69"/>
      <c r="J63" s="69"/>
      <c r="K63" s="69"/>
      <c r="L63" s="70"/>
      <c r="N63" s="43"/>
      <c r="P63" s="182"/>
    </row>
    <row r="64" spans="1:16" ht="12.75">
      <c r="A64" s="42"/>
      <c r="B64" s="171">
        <f t="shared" si="1"/>
        <v>51</v>
      </c>
      <c r="C64" s="25" t="s">
        <v>173</v>
      </c>
      <c r="D64" s="7"/>
      <c r="E64" s="7"/>
      <c r="F64" s="178">
        <f>ROUND(F62/F60,8)</f>
        <v>1</v>
      </c>
      <c r="G64" s="7"/>
      <c r="H64" s="110"/>
      <c r="I64" s="69"/>
      <c r="J64" s="69"/>
      <c r="K64" s="69"/>
      <c r="L64" s="70"/>
      <c r="P64" s="182"/>
    </row>
    <row r="65" spans="2:16" ht="6" customHeight="1">
      <c r="B65" s="171"/>
      <c r="C65" s="25"/>
      <c r="D65" s="7"/>
      <c r="E65" s="7"/>
      <c r="F65" s="69"/>
      <c r="G65" s="7"/>
      <c r="H65" s="69"/>
      <c r="I65" s="69"/>
      <c r="J65" s="69"/>
      <c r="K65" s="69"/>
      <c r="L65" s="70"/>
      <c r="P65" s="182"/>
    </row>
    <row r="66" spans="1:16" ht="12.75">
      <c r="A66" s="42"/>
      <c r="B66" s="171">
        <v>52</v>
      </c>
      <c r="C66" s="120"/>
      <c r="D66" s="7"/>
      <c r="E66" s="7"/>
      <c r="F66" s="69"/>
      <c r="G66" s="7"/>
      <c r="H66" s="69"/>
      <c r="I66" s="69"/>
      <c r="J66" s="69"/>
      <c r="K66" s="69"/>
      <c r="L66" s="70"/>
      <c r="N66" s="111">
        <f>+N40+F42+F43+F44</f>
        <v>87471716.175386563</v>
      </c>
      <c r="P66" s="182">
        <v>87471716.175386563</v>
      </c>
    </row>
    <row r="67" spans="2:16" ht="12.75">
      <c r="B67" s="171">
        <f t="shared" si="1"/>
        <v>53</v>
      </c>
      <c r="C67" s="167" t="s">
        <v>196</v>
      </c>
      <c r="D67" s="7"/>
      <c r="E67" s="7"/>
      <c r="F67" s="69"/>
      <c r="G67" s="7"/>
      <c r="H67" s="69"/>
      <c r="I67" s="69"/>
      <c r="J67" s="69"/>
      <c r="K67" s="69"/>
      <c r="L67" s="70"/>
      <c r="N67" s="112">
        <f>+N66+F54</f>
        <v>54974945.600608192</v>
      </c>
      <c r="P67" s="182">
        <v>54962047.967496797</v>
      </c>
    </row>
    <row r="68" spans="2:16" ht="12.75">
      <c r="B68" s="171">
        <f t="shared" si="1"/>
        <v>54</v>
      </c>
      <c r="C68" s="75" t="s">
        <v>54</v>
      </c>
      <c r="D68" s="7"/>
      <c r="E68" s="7"/>
      <c r="F68" s="69"/>
      <c r="G68" s="7"/>
      <c r="H68" s="69"/>
      <c r="I68" s="69"/>
      <c r="J68" s="69"/>
      <c r="K68" s="69"/>
      <c r="L68" s="70"/>
      <c r="N68" s="113">
        <f>+N67*F58</f>
        <v>3875733.6648428771</v>
      </c>
      <c r="P68" s="182">
        <v>3924290.2248792718</v>
      </c>
    </row>
    <row r="69" spans="2:16" ht="13.5" thickBot="1">
      <c r="B69" s="171">
        <f t="shared" si="1"/>
        <v>55</v>
      </c>
      <c r="C69" s="118" t="s">
        <v>200</v>
      </c>
      <c r="D69" s="52"/>
      <c r="E69" s="52"/>
      <c r="F69" s="136"/>
      <c r="G69" s="52"/>
      <c r="H69" s="136"/>
      <c r="I69" s="136"/>
      <c r="J69" s="136"/>
      <c r="K69" s="136"/>
      <c r="L69" s="157"/>
      <c r="P69" s="182"/>
    </row>
    <row r="70" spans="3:16" ht="13.5" thickBot="1">
      <c r="C70" s="177" t="s">
        <v>134</v>
      </c>
      <c r="D70" s="50"/>
      <c r="F70" s="137"/>
      <c r="G70" s="50"/>
      <c r="H70" s="137"/>
      <c r="I70" s="137"/>
      <c r="J70" s="137"/>
      <c r="K70" s="137"/>
      <c r="L70" s="137"/>
      <c r="P70" s="182"/>
    </row>
    <row r="71" spans="3:16" ht="12.75">
      <c r="C71" s="77"/>
      <c r="D71" s="51"/>
      <c r="E71" s="51"/>
      <c r="F71" s="138"/>
      <c r="G71" s="51"/>
      <c r="H71" s="138"/>
      <c r="I71" s="138"/>
      <c r="J71" s="138"/>
      <c r="K71" s="158" t="s">
        <v>55</v>
      </c>
      <c r="L71" s="159"/>
      <c r="P71" s="182"/>
    </row>
    <row r="72" spans="2:16" ht="12.75">
      <c r="B72" s="171">
        <v>56</v>
      </c>
      <c r="C72" s="25"/>
      <c r="D72" s="7"/>
      <c r="E72" s="7"/>
      <c r="F72" s="69"/>
      <c r="G72" s="7"/>
      <c r="H72" s="160" t="s">
        <v>55</v>
      </c>
      <c r="I72" s="160" t="s">
        <v>55</v>
      </c>
      <c r="J72" s="69"/>
      <c r="K72" s="160" t="s">
        <v>47</v>
      </c>
      <c r="L72" s="161" t="s">
        <v>55</v>
      </c>
      <c r="P72" s="182"/>
    </row>
    <row r="73" spans="2:16" ht="12.75">
      <c r="B73" s="171">
        <f t="shared" si="4" ref="B73:B78">1+B72</f>
        <v>57</v>
      </c>
      <c r="C73" s="25"/>
      <c r="D73" s="7"/>
      <c r="E73" s="7"/>
      <c r="F73" s="139" t="s">
        <v>45</v>
      </c>
      <c r="G73" s="7"/>
      <c r="H73" s="160" t="s">
        <v>47</v>
      </c>
      <c r="I73" s="160" t="s">
        <v>47</v>
      </c>
      <c r="J73" s="160" t="s">
        <v>56</v>
      </c>
      <c r="K73" s="160" t="s">
        <v>51</v>
      </c>
      <c r="L73" s="161" t="s">
        <v>47</v>
      </c>
      <c r="P73" s="182"/>
    </row>
    <row r="74" spans="2:16" ht="12.75">
      <c r="B74" s="171">
        <f t="shared" si="4"/>
        <v>58</v>
      </c>
      <c r="C74" s="25"/>
      <c r="D74" s="7"/>
      <c r="E74" s="7"/>
      <c r="F74" s="140" t="s">
        <v>46</v>
      </c>
      <c r="G74" s="7"/>
      <c r="H74" s="162" t="s">
        <v>49</v>
      </c>
      <c r="I74" s="162" t="s">
        <v>48</v>
      </c>
      <c r="J74" s="140" t="s">
        <v>50</v>
      </c>
      <c r="K74" s="162" t="s">
        <v>52</v>
      </c>
      <c r="L74" s="163" t="s">
        <v>139</v>
      </c>
      <c r="P74" s="182"/>
    </row>
    <row r="75" spans="2:16" ht="6" customHeight="1">
      <c r="B75" s="171"/>
      <c r="C75" s="25"/>
      <c r="D75" s="7"/>
      <c r="E75" s="7"/>
      <c r="F75" s="69"/>
      <c r="G75" s="7"/>
      <c r="H75" s="69"/>
      <c r="I75" s="69"/>
      <c r="J75" s="69"/>
      <c r="K75" s="69"/>
      <c r="L75" s="70"/>
      <c r="P75" s="182"/>
    </row>
    <row r="76" spans="2:16" ht="12.75">
      <c r="B76" s="171">
        <v>59</v>
      </c>
      <c r="C76" s="24" t="s">
        <v>147</v>
      </c>
      <c r="D76" s="8"/>
      <c r="E76" s="7"/>
      <c r="F76" s="69"/>
      <c r="G76" s="7"/>
      <c r="H76" s="69"/>
      <c r="I76" s="69"/>
      <c r="J76" s="69"/>
      <c r="K76" s="69"/>
      <c r="L76" s="70"/>
      <c r="P76" s="182"/>
    </row>
    <row r="77" spans="2:16" ht="12.75">
      <c r="B77" s="171">
        <f t="shared" si="4"/>
        <v>60</v>
      </c>
      <c r="C77" s="24"/>
      <c r="D77" s="6" t="s">
        <v>57</v>
      </c>
      <c r="E77" s="7"/>
      <c r="F77" s="69"/>
      <c r="G77" s="69"/>
      <c r="H77" s="69"/>
      <c r="I77" s="69"/>
      <c r="J77" s="69"/>
      <c r="K77" s="69"/>
      <c r="L77" s="70"/>
      <c r="P77" s="182"/>
    </row>
    <row r="78" spans="2:16" ht="14.25">
      <c r="B78" s="171">
        <f t="shared" si="4"/>
        <v>61</v>
      </c>
      <c r="C78" s="25" t="s">
        <v>65</v>
      </c>
      <c r="D78" s="123" t="s">
        <v>186</v>
      </c>
      <c r="E78" s="7"/>
      <c r="F78" s="68">
        <f>'[1]II-I-DIST'!$Q657</f>
        <v>25115.951367794649</v>
      </c>
      <c r="G78" s="69"/>
      <c r="H78" s="69"/>
      <c r="I78" s="69"/>
      <c r="J78" s="69">
        <f t="shared" si="5" ref="J78:J87">+F78</f>
        <v>25115.951367794649</v>
      </c>
      <c r="K78" s="69"/>
      <c r="L78" s="70"/>
      <c r="N78" s="42">
        <f t="shared" si="6" ref="N78:N87">SUM(H78:L78)</f>
        <v>25115.951367794649</v>
      </c>
      <c r="O78" s="56" t="s">
        <v>65</v>
      </c>
      <c r="P78" s="182"/>
    </row>
    <row r="79" spans="2:16" ht="14.25">
      <c r="B79" s="171">
        <f t="shared" si="7" ref="B79:B128">1+B78</f>
        <v>62</v>
      </c>
      <c r="C79" s="25" t="s">
        <v>66</v>
      </c>
      <c r="D79" s="7" t="s">
        <v>58</v>
      </c>
      <c r="E79" s="7"/>
      <c r="F79" s="68">
        <f>'[1]II-I-DIST'!$Q658</f>
        <v>32935.750606040965</v>
      </c>
      <c r="G79" s="69"/>
      <c r="H79" s="69"/>
      <c r="I79" s="69"/>
      <c r="J79" s="69">
        <f t="shared" si="5"/>
        <v>32935.750606040965</v>
      </c>
      <c r="K79" s="69"/>
      <c r="L79" s="70"/>
      <c r="N79" s="42">
        <f t="shared" si="6"/>
        <v>32935.750606040965</v>
      </c>
      <c r="O79" s="56" t="s">
        <v>66</v>
      </c>
      <c r="P79" s="182"/>
    </row>
    <row r="80" spans="2:16" ht="14.25">
      <c r="B80" s="171">
        <f t="shared" si="7"/>
        <v>63</v>
      </c>
      <c r="C80" s="25" t="s">
        <v>67</v>
      </c>
      <c r="D80" s="7" t="s">
        <v>68</v>
      </c>
      <c r="E80" s="7"/>
      <c r="F80" s="68">
        <f>'[1]II-I-DIST'!$Q659</f>
        <v>13151.603823916259</v>
      </c>
      <c r="G80" s="69"/>
      <c r="H80" s="69"/>
      <c r="I80" s="69"/>
      <c r="J80" s="69">
        <f t="shared" si="5"/>
        <v>13151.603823916259</v>
      </c>
      <c r="K80" s="69"/>
      <c r="L80" s="70"/>
      <c r="N80" s="42">
        <f t="shared" si="6"/>
        <v>13151.603823916259</v>
      </c>
      <c r="O80" s="56" t="s">
        <v>67</v>
      </c>
      <c r="P80" s="182"/>
    </row>
    <row r="81" spans="2:16" ht="14.25">
      <c r="B81" s="171">
        <f t="shared" si="7"/>
        <v>64</v>
      </c>
      <c r="C81" s="25" t="s">
        <v>69</v>
      </c>
      <c r="D81" s="7" t="s">
        <v>70</v>
      </c>
      <c r="E81" s="7"/>
      <c r="F81" s="68">
        <f>'[1]II-I-DIST'!$Q660</f>
        <v>49271.552366230375</v>
      </c>
      <c r="G81" s="69"/>
      <c r="H81" s="69"/>
      <c r="I81" s="69"/>
      <c r="J81" s="69">
        <f t="shared" si="5"/>
        <v>49271.552366230375</v>
      </c>
      <c r="K81" s="69"/>
      <c r="L81" s="70"/>
      <c r="N81" s="42">
        <f t="shared" si="6"/>
        <v>49271.552366230375</v>
      </c>
      <c r="O81" s="56" t="s">
        <v>69</v>
      </c>
      <c r="P81" s="182"/>
    </row>
    <row r="82" spans="2:16" ht="14.25">
      <c r="B82" s="171">
        <f t="shared" si="7"/>
        <v>65</v>
      </c>
      <c r="C82" s="25" t="s">
        <v>71</v>
      </c>
      <c r="D82" s="7" t="s">
        <v>72</v>
      </c>
      <c r="E82" s="7"/>
      <c r="F82" s="68">
        <f>'[1]II-I-DIST'!$Q661</f>
        <v>36246.315027232064</v>
      </c>
      <c r="G82" s="69"/>
      <c r="H82" s="69"/>
      <c r="I82" s="69"/>
      <c r="J82" s="69">
        <f t="shared" si="5"/>
        <v>36246.315027232064</v>
      </c>
      <c r="K82" s="69"/>
      <c r="L82" s="70"/>
      <c r="N82" s="42">
        <f t="shared" si="6"/>
        <v>36246.315027232064</v>
      </c>
      <c r="O82" s="56" t="s">
        <v>71</v>
      </c>
      <c r="P82" s="182"/>
    </row>
    <row r="83" spans="2:16" ht="14.25">
      <c r="B83" s="171">
        <f t="shared" si="7"/>
        <v>66</v>
      </c>
      <c r="C83" s="25" t="s">
        <v>73</v>
      </c>
      <c r="D83" s="7" t="s">
        <v>74</v>
      </c>
      <c r="E83" s="7"/>
      <c r="F83" s="68">
        <f>'[1]II-I-DIST'!$Q662</f>
        <v>826.62</v>
      </c>
      <c r="G83" s="69"/>
      <c r="H83" s="69"/>
      <c r="I83" s="69"/>
      <c r="J83" s="69">
        <f t="shared" si="5"/>
        <v>826.62</v>
      </c>
      <c r="K83" s="69"/>
      <c r="L83" s="70"/>
      <c r="N83" s="42">
        <f t="shared" si="6"/>
        <v>826.62</v>
      </c>
      <c r="O83" s="56" t="s">
        <v>73</v>
      </c>
      <c r="P83" s="182"/>
    </row>
    <row r="84" spans="2:16" ht="14.25">
      <c r="B84" s="171">
        <f t="shared" si="7"/>
        <v>67</v>
      </c>
      <c r="C84" s="25" t="s">
        <v>75</v>
      </c>
      <c r="D84" s="7" t="s">
        <v>76</v>
      </c>
      <c r="E84" s="7"/>
      <c r="F84" s="68">
        <f>'[1]II-I-DIST'!$Q663</f>
        <v>0</v>
      </c>
      <c r="G84" s="69"/>
      <c r="H84" s="69"/>
      <c r="I84" s="69"/>
      <c r="J84" s="69">
        <f t="shared" si="5"/>
        <v>0</v>
      </c>
      <c r="K84" s="69"/>
      <c r="L84" s="70"/>
      <c r="N84" s="42">
        <f t="shared" si="6"/>
        <v>0</v>
      </c>
      <c r="O84" s="56" t="s">
        <v>75</v>
      </c>
      <c r="P84" s="182"/>
    </row>
    <row r="85" spans="2:16" ht="14.25">
      <c r="B85" s="171">
        <f t="shared" si="7"/>
        <v>68</v>
      </c>
      <c r="C85" s="25" t="s">
        <v>77</v>
      </c>
      <c r="D85" s="7" t="s">
        <v>78</v>
      </c>
      <c r="E85" s="7"/>
      <c r="F85" s="68">
        <f>'[1]II-I-DIST'!$Q664</f>
        <v>911.49363570591061</v>
      </c>
      <c r="G85" s="69"/>
      <c r="H85" s="69"/>
      <c r="I85" s="69"/>
      <c r="J85" s="69">
        <f t="shared" si="5"/>
        <v>911.49363570591061</v>
      </c>
      <c r="K85" s="69"/>
      <c r="L85" s="70"/>
      <c r="N85" s="42">
        <f t="shared" si="6"/>
        <v>911.49363570591061</v>
      </c>
      <c r="O85" s="56" t="s">
        <v>77</v>
      </c>
      <c r="P85" s="182"/>
    </row>
    <row r="86" spans="2:16" ht="14.25">
      <c r="B86" s="171">
        <f t="shared" si="7"/>
        <v>69</v>
      </c>
      <c r="C86" s="25" t="s">
        <v>79</v>
      </c>
      <c r="D86" s="124" t="s">
        <v>190</v>
      </c>
      <c r="E86" s="7"/>
      <c r="F86" s="68">
        <f>'[1]II-I-DIST'!$Q665</f>
        <v>344399.14780812809</v>
      </c>
      <c r="G86" s="69"/>
      <c r="H86" s="93"/>
      <c r="I86" s="93"/>
      <c r="J86" s="69">
        <f t="shared" si="5"/>
        <v>344399.14780812809</v>
      </c>
      <c r="K86" s="69"/>
      <c r="L86" s="70"/>
      <c r="N86" s="42">
        <f t="shared" si="6"/>
        <v>344399.14780812809</v>
      </c>
      <c r="O86" s="56" t="s">
        <v>169</v>
      </c>
      <c r="P86" s="182"/>
    </row>
    <row r="87" spans="2:16" ht="14.25">
      <c r="B87" s="171">
        <f t="shared" si="7"/>
        <v>70</v>
      </c>
      <c r="C87" s="25" t="s">
        <v>80</v>
      </c>
      <c r="D87" s="7" t="s">
        <v>81</v>
      </c>
      <c r="E87" s="7"/>
      <c r="F87" s="68">
        <f>'[1]II-I-DIST'!$Q666</f>
        <v>2584.8571864236046</v>
      </c>
      <c r="G87" s="69"/>
      <c r="H87" s="69"/>
      <c r="I87" s="69"/>
      <c r="J87" s="69">
        <f t="shared" si="5"/>
        <v>2584.8571864236046</v>
      </c>
      <c r="K87" s="69"/>
      <c r="L87" s="70"/>
      <c r="N87" s="42">
        <f t="shared" si="6"/>
        <v>2584.8571864236046</v>
      </c>
      <c r="O87" s="56" t="s">
        <v>80</v>
      </c>
      <c r="P87" s="182"/>
    </row>
    <row r="88" spans="2:19" ht="13.5" thickBot="1">
      <c r="B88" s="171">
        <f t="shared" si="7"/>
        <v>71</v>
      </c>
      <c r="C88" s="24"/>
      <c r="D88" s="9" t="s">
        <v>0</v>
      </c>
      <c r="E88" s="7"/>
      <c r="F88" s="94">
        <f>SUM(F78:F87)</f>
        <v>505443.29182147194</v>
      </c>
      <c r="G88" s="69"/>
      <c r="H88" s="94">
        <f>SUM(H78:H87)</f>
        <v>0</v>
      </c>
      <c r="I88" s="94">
        <f>SUM(I78:I87)</f>
        <v>0</v>
      </c>
      <c r="J88" s="94">
        <f>SUM(J78:J87)</f>
        <v>505443.29182147194</v>
      </c>
      <c r="K88" s="94">
        <f>SUM(K78:K87)</f>
        <v>0</v>
      </c>
      <c r="L88" s="95">
        <f>SUM(L78:L87)</f>
        <v>0</v>
      </c>
      <c r="N88" s="106">
        <f>SUM(N78:N87)</f>
        <v>505443.29182147194</v>
      </c>
      <c r="P88" s="91"/>
      <c r="Q88" s="91"/>
      <c r="R88" s="42"/>
      <c r="S88" s="42"/>
    </row>
    <row r="89" spans="2:16" ht="13.5" thickTop="1">
      <c r="B89" s="171">
        <f t="shared" si="7"/>
        <v>72</v>
      </c>
      <c r="C89" s="25"/>
      <c r="D89" s="7"/>
      <c r="E89" s="7"/>
      <c r="F89" s="69"/>
      <c r="G89" s="7"/>
      <c r="H89" s="69"/>
      <c r="I89" s="69"/>
      <c r="J89" s="69"/>
      <c r="K89" s="69"/>
      <c r="L89" s="70"/>
      <c r="P89" s="182"/>
    </row>
    <row r="90" spans="2:16" ht="6.75" customHeight="1">
      <c r="B90" s="171"/>
      <c r="C90" s="25"/>
      <c r="D90" s="124"/>
      <c r="E90" s="7"/>
      <c r="F90" s="69"/>
      <c r="G90" s="7"/>
      <c r="H90" s="69"/>
      <c r="I90" s="69"/>
      <c r="J90" s="69"/>
      <c r="K90" s="69"/>
      <c r="L90" s="70"/>
      <c r="P90" s="182"/>
    </row>
    <row r="91" spans="2:16" ht="12.75" customHeight="1" hidden="1">
      <c r="B91" s="171">
        <f t="shared" si="7"/>
        <v>1</v>
      </c>
      <c r="C91" s="26" t="s">
        <v>82</v>
      </c>
      <c r="D91" s="1"/>
      <c r="E91" s="7"/>
      <c r="F91" s="69"/>
      <c r="G91" s="7"/>
      <c r="H91" s="69"/>
      <c r="I91" s="69"/>
      <c r="J91" s="69"/>
      <c r="K91" s="69"/>
      <c r="L91" s="70"/>
      <c r="P91" s="182"/>
    </row>
    <row r="92" spans="2:16" ht="12.75" customHeight="1" hidden="1">
      <c r="B92" s="171">
        <f t="shared" si="7"/>
        <v>2</v>
      </c>
      <c r="C92" s="26"/>
      <c r="D92" s="1"/>
      <c r="E92" s="7"/>
      <c r="F92" s="69"/>
      <c r="G92" s="7"/>
      <c r="H92" s="69"/>
      <c r="I92" s="69"/>
      <c r="J92" s="69"/>
      <c r="K92" s="69"/>
      <c r="L92" s="70"/>
      <c r="P92" s="182"/>
    </row>
    <row r="93" spans="2:16" ht="12.75">
      <c r="B93" s="171">
        <v>73</v>
      </c>
      <c r="C93" s="27"/>
      <c r="D93" s="10" t="s">
        <v>60</v>
      </c>
      <c r="E93" s="11"/>
      <c r="F93" s="69"/>
      <c r="G93" s="11"/>
      <c r="H93" s="69"/>
      <c r="I93" s="69"/>
      <c r="J93" s="69"/>
      <c r="K93" s="69"/>
      <c r="L93" s="70"/>
      <c r="P93" s="182"/>
    </row>
    <row r="94" spans="2:16" ht="14.25">
      <c r="B94" s="171">
        <f t="shared" si="7"/>
        <v>74</v>
      </c>
      <c r="C94" s="28" t="s">
        <v>83</v>
      </c>
      <c r="D94" s="123" t="s">
        <v>187</v>
      </c>
      <c r="E94" s="11"/>
      <c r="F94" s="68">
        <f>'[1]II-I-DIST'!$Q673</f>
        <v>131852.32834948221</v>
      </c>
      <c r="G94" s="93"/>
      <c r="H94" s="69"/>
      <c r="I94" s="96">
        <f>F94-L94</f>
        <v>8744.3283494822099</v>
      </c>
      <c r="J94" s="93"/>
      <c r="K94" s="69"/>
      <c r="L94" s="97">
        <f>ROUND(F94*(L100/(F103-F94)),0)</f>
        <v>123108</v>
      </c>
      <c r="N94" s="42">
        <f t="shared" si="8" ref="N94:N102">SUM(H94:L94)</f>
        <v>131852.32834948221</v>
      </c>
      <c r="O94" s="56" t="s">
        <v>83</v>
      </c>
      <c r="P94" s="182"/>
    </row>
    <row r="95" spans="2:16" ht="14.25">
      <c r="B95" s="171">
        <f t="shared" si="7"/>
        <v>75</v>
      </c>
      <c r="C95" s="28" t="s">
        <v>84</v>
      </c>
      <c r="D95" s="12" t="s">
        <v>61</v>
      </c>
      <c r="E95" s="11"/>
      <c r="F95" s="68">
        <f>'[1]II-I-DIST'!$Q674</f>
        <v>215.59616159344756</v>
      </c>
      <c r="G95" s="93"/>
      <c r="H95" s="69"/>
      <c r="I95" s="96">
        <f>+F95</f>
        <v>215.59616159344756</v>
      </c>
      <c r="J95" s="93"/>
      <c r="K95" s="69"/>
      <c r="L95" s="97"/>
      <c r="N95" s="42">
        <f t="shared" si="8"/>
        <v>215.59616159344756</v>
      </c>
      <c r="O95" s="56" t="s">
        <v>84</v>
      </c>
      <c r="P95" s="182"/>
    </row>
    <row r="96" spans="2:16" ht="14.25">
      <c r="B96" s="171">
        <f t="shared" si="7"/>
        <v>76</v>
      </c>
      <c r="C96" s="28" t="s">
        <v>85</v>
      </c>
      <c r="D96" s="11" t="s">
        <v>62</v>
      </c>
      <c r="E96" s="11"/>
      <c r="F96" s="68">
        <f>'[1]II-I-DIST'!$Q675</f>
        <v>31715.155847143535</v>
      </c>
      <c r="G96" s="93"/>
      <c r="H96" s="69"/>
      <c r="I96" s="96">
        <f>+F96</f>
        <v>31715.155847143535</v>
      </c>
      <c r="J96" s="93"/>
      <c r="K96" s="69"/>
      <c r="L96" s="97"/>
      <c r="N96" s="42">
        <f t="shared" si="8"/>
        <v>31715.155847143535</v>
      </c>
      <c r="O96" s="56" t="s">
        <v>85</v>
      </c>
      <c r="P96" s="182"/>
    </row>
    <row r="97" spans="2:16" ht="14.25">
      <c r="B97" s="171">
        <f t="shared" si="7"/>
        <v>77</v>
      </c>
      <c r="C97" s="28" t="s">
        <v>86</v>
      </c>
      <c r="D97" s="12" t="s">
        <v>63</v>
      </c>
      <c r="E97" s="11"/>
      <c r="F97" s="68">
        <f>'[1]II-I-DIST'!$Q676</f>
        <v>401257.84836466215</v>
      </c>
      <c r="G97" s="93"/>
      <c r="H97" s="69"/>
      <c r="I97" s="96">
        <f>+F97</f>
        <v>401257.84836466215</v>
      </c>
      <c r="J97" s="93"/>
      <c r="K97" s="69"/>
      <c r="L97" s="97"/>
      <c r="N97" s="42">
        <f t="shared" si="8"/>
        <v>401257.84836466215</v>
      </c>
      <c r="O97" s="56" t="s">
        <v>86</v>
      </c>
      <c r="P97" s="182"/>
    </row>
    <row r="98" spans="2:16" ht="14.25">
      <c r="B98" s="171">
        <f t="shared" si="7"/>
        <v>78</v>
      </c>
      <c r="C98" s="28" t="s">
        <v>87</v>
      </c>
      <c r="D98" s="11" t="s">
        <v>64</v>
      </c>
      <c r="E98" s="11"/>
      <c r="F98" s="68">
        <f>'[1]II-I-DIST'!$Q677</f>
        <v>95986.482152015975</v>
      </c>
      <c r="G98" s="93"/>
      <c r="H98" s="69"/>
      <c r="I98" s="96">
        <f>+F98</f>
        <v>95986.482152015975</v>
      </c>
      <c r="J98" s="93"/>
      <c r="K98" s="69"/>
      <c r="L98" s="97"/>
      <c r="N98" s="42">
        <f t="shared" si="8"/>
        <v>95986.482152015975</v>
      </c>
      <c r="O98" s="56" t="s">
        <v>87</v>
      </c>
      <c r="P98" s="182"/>
    </row>
    <row r="99" spans="2:16" ht="14.25">
      <c r="B99" s="171">
        <f t="shared" si="7"/>
        <v>79</v>
      </c>
      <c r="C99" s="28" t="s">
        <v>88</v>
      </c>
      <c r="D99" s="11" t="s">
        <v>89</v>
      </c>
      <c r="E99" s="11"/>
      <c r="F99" s="68">
        <f>'[1]II-I-DIST'!$Q678</f>
        <v>19098.081593523355</v>
      </c>
      <c r="G99" s="93"/>
      <c r="H99" s="69"/>
      <c r="I99" s="96">
        <f>+F99</f>
        <v>19098.081593523355</v>
      </c>
      <c r="J99" s="93"/>
      <c r="K99" s="69"/>
      <c r="L99" s="97"/>
      <c r="N99" s="42">
        <f t="shared" si="8"/>
        <v>19098.081593523355</v>
      </c>
      <c r="O99" s="56" t="s">
        <v>88</v>
      </c>
      <c r="P99" s="182"/>
    </row>
    <row r="100" spans="2:16" ht="14.25">
      <c r="B100" s="171">
        <f t="shared" si="7"/>
        <v>80</v>
      </c>
      <c r="C100" s="28" t="s">
        <v>90</v>
      </c>
      <c r="D100" s="11" t="s">
        <v>91</v>
      </c>
      <c r="E100" s="11"/>
      <c r="F100" s="68">
        <f>'[1]II-I-DIST'!$Q679</f>
        <v>9632071.0899999999</v>
      </c>
      <c r="G100" s="93"/>
      <c r="H100" s="69"/>
      <c r="I100" s="93"/>
      <c r="J100" s="93"/>
      <c r="K100" s="69"/>
      <c r="L100" s="70">
        <f>+F100</f>
        <v>9632071.0899999999</v>
      </c>
      <c r="N100" s="42">
        <f t="shared" si="8"/>
        <v>9632071.0899999999</v>
      </c>
      <c r="O100" s="56" t="s">
        <v>90</v>
      </c>
      <c r="P100" s="182"/>
    </row>
    <row r="101" spans="2:16" ht="14.25">
      <c r="B101" s="171">
        <f t="shared" si="7"/>
        <v>81</v>
      </c>
      <c r="C101" s="28" t="s">
        <v>92</v>
      </c>
      <c r="D101" s="11" t="s">
        <v>93</v>
      </c>
      <c r="E101" s="11"/>
      <c r="F101" s="68">
        <f>'[1]II-I-DIST'!$Q680</f>
        <v>-7.2669496396744639</v>
      </c>
      <c r="G101" s="93"/>
      <c r="H101" s="69"/>
      <c r="I101" s="93"/>
      <c r="J101" s="93"/>
      <c r="K101" s="69"/>
      <c r="L101" s="97">
        <f>+F101</f>
        <v>-7.2669496396744639</v>
      </c>
      <c r="N101" s="42">
        <f t="shared" si="8"/>
        <v>-7.2669496396744639</v>
      </c>
      <c r="O101" s="56" t="s">
        <v>92</v>
      </c>
      <c r="P101" s="182"/>
    </row>
    <row r="102" spans="2:16" ht="14.25">
      <c r="B102" s="171">
        <f t="shared" si="7"/>
        <v>82</v>
      </c>
      <c r="C102" s="28" t="s">
        <v>94</v>
      </c>
      <c r="D102" s="11" t="s">
        <v>95</v>
      </c>
      <c r="E102" s="11"/>
      <c r="F102" s="68">
        <f>'[1]II-I-DIST'!$Q681</f>
        <v>135891.9074912045</v>
      </c>
      <c r="G102" s="93"/>
      <c r="H102" s="69"/>
      <c r="I102" s="96">
        <f>+F102</f>
        <v>135891.9074912045</v>
      </c>
      <c r="J102" s="93"/>
      <c r="K102" s="69"/>
      <c r="L102" s="97"/>
      <c r="N102" s="42">
        <f t="shared" si="8"/>
        <v>135891.9074912045</v>
      </c>
      <c r="O102" s="56" t="s">
        <v>94</v>
      </c>
      <c r="P102" s="182"/>
    </row>
    <row r="103" spans="2:19" ht="13.5" thickBot="1">
      <c r="B103" s="171">
        <f t="shared" si="7"/>
        <v>83</v>
      </c>
      <c r="C103" s="27"/>
      <c r="D103" s="13" t="s">
        <v>0</v>
      </c>
      <c r="E103" s="11"/>
      <c r="F103" s="98">
        <f>SUM(F94:F102)</f>
        <v>10448081.223009985</v>
      </c>
      <c r="G103" s="93"/>
      <c r="H103" s="94">
        <f>SUM(H94:H102)</f>
        <v>0</v>
      </c>
      <c r="I103" s="94">
        <f>SUM(I94:I102)</f>
        <v>692909.39995962521</v>
      </c>
      <c r="J103" s="94">
        <f>SUM(J94:J102)</f>
        <v>0</v>
      </c>
      <c r="K103" s="94">
        <f>SUM(K94:K102)</f>
        <v>0</v>
      </c>
      <c r="L103" s="95">
        <f>SUM(L94:L102)</f>
        <v>9755171.8230503593</v>
      </c>
      <c r="N103" s="105">
        <f>SUM(N94:N102)</f>
        <v>10448081.223009985</v>
      </c>
      <c r="P103" s="182"/>
      <c r="Q103" s="91"/>
      <c r="R103" s="42"/>
      <c r="S103" s="42"/>
    </row>
    <row r="104" spans="2:16" ht="13.5" thickTop="1">
      <c r="B104" s="171">
        <f t="shared" si="7"/>
        <v>84</v>
      </c>
      <c r="C104" s="28"/>
      <c r="D104" s="122"/>
      <c r="E104" s="11"/>
      <c r="F104" s="69"/>
      <c r="G104" s="11"/>
      <c r="H104" s="69"/>
      <c r="I104" s="69"/>
      <c r="J104" s="69"/>
      <c r="K104" s="69"/>
      <c r="L104" s="70"/>
      <c r="P104" s="182"/>
    </row>
    <row r="105" spans="2:16" ht="12.75">
      <c r="B105" s="171">
        <f t="shared" si="7"/>
        <v>85</v>
      </c>
      <c r="C105" s="24"/>
      <c r="D105" s="6" t="s">
        <v>96</v>
      </c>
      <c r="E105" s="7"/>
      <c r="F105" s="99"/>
      <c r="G105" s="69"/>
      <c r="H105" s="69"/>
      <c r="I105" s="69"/>
      <c r="J105" s="100"/>
      <c r="K105" s="69"/>
      <c r="L105" s="70"/>
      <c r="P105" s="182"/>
    </row>
    <row r="106" spans="2:16" ht="12.75">
      <c r="B106" s="171">
        <f t="shared" si="7"/>
        <v>86</v>
      </c>
      <c r="C106" s="127" t="s">
        <v>191</v>
      </c>
      <c r="D106" s="124" t="s">
        <v>192</v>
      </c>
      <c r="E106" s="7"/>
      <c r="F106" s="68">
        <f>'[1]II-I-DIST'!$Q706</f>
        <v>-239.50270320628667</v>
      </c>
      <c r="G106" s="69"/>
      <c r="H106" s="69"/>
      <c r="I106" s="69"/>
      <c r="J106" s="69">
        <f>+F106</f>
        <v>-239.50270320628667</v>
      </c>
      <c r="K106" s="69"/>
      <c r="L106" s="70"/>
      <c r="P106" s="182"/>
    </row>
    <row r="107" spans="2:16" ht="13.5" thickBot="1">
      <c r="B107" s="171">
        <f t="shared" si="7"/>
        <v>87</v>
      </c>
      <c r="C107" s="24"/>
      <c r="D107" s="9" t="s">
        <v>98</v>
      </c>
      <c r="E107" s="7"/>
      <c r="F107" s="98">
        <f>+F106</f>
        <v>-239.50270320628667</v>
      </c>
      <c r="G107" s="69"/>
      <c r="H107" s="94">
        <f>+H106</f>
        <v>0</v>
      </c>
      <c r="I107" s="94">
        <f>+I106</f>
        <v>0</v>
      </c>
      <c r="J107" s="94">
        <f>+J106</f>
        <v>-239.50270320628667</v>
      </c>
      <c r="K107" s="94">
        <f>+K106</f>
        <v>0</v>
      </c>
      <c r="L107" s="95">
        <f>+L106</f>
        <v>0</v>
      </c>
      <c r="P107" s="182"/>
    </row>
    <row r="108" spans="2:16" ht="13.5" thickTop="1">
      <c r="B108" s="171">
        <f t="shared" si="7"/>
        <v>88</v>
      </c>
      <c r="C108" s="25"/>
      <c r="D108" s="7"/>
      <c r="E108" s="7"/>
      <c r="F108" s="93"/>
      <c r="G108" s="69"/>
      <c r="H108" s="69"/>
      <c r="I108" s="69"/>
      <c r="J108" s="69"/>
      <c r="K108" s="69"/>
      <c r="L108" s="70"/>
      <c r="P108" s="182"/>
    </row>
    <row r="109" spans="2:16" ht="12.75">
      <c r="B109" s="171">
        <f t="shared" si="7"/>
        <v>89</v>
      </c>
      <c r="C109" s="24"/>
      <c r="D109" s="6" t="s">
        <v>99</v>
      </c>
      <c r="E109" s="7"/>
      <c r="F109" s="93"/>
      <c r="G109" s="69"/>
      <c r="H109" s="69"/>
      <c r="I109" s="69"/>
      <c r="J109" s="69"/>
      <c r="K109" s="69"/>
      <c r="L109" s="70"/>
      <c r="P109" s="182"/>
    </row>
    <row r="110" spans="2:16" ht="12.75">
      <c r="B110" s="171">
        <f t="shared" si="7"/>
        <v>90</v>
      </c>
      <c r="C110" s="25" t="s">
        <v>100</v>
      </c>
      <c r="D110" s="7" t="s">
        <v>101</v>
      </c>
      <c r="E110" s="7"/>
      <c r="F110" s="68">
        <f>'[1]II-I-DIST'!$Q711</f>
        <v>0</v>
      </c>
      <c r="G110" s="69"/>
      <c r="H110" s="69"/>
      <c r="I110" s="69"/>
      <c r="J110" s="69"/>
      <c r="K110" s="69"/>
      <c r="L110" s="70"/>
      <c r="N110" s="42">
        <f>SUM(H110:L110)</f>
        <v>0</v>
      </c>
      <c r="P110" s="182"/>
    </row>
    <row r="111" spans="2:16" ht="12.75">
      <c r="B111" s="171">
        <f t="shared" si="7"/>
        <v>91</v>
      </c>
      <c r="C111" s="25" t="s">
        <v>102</v>
      </c>
      <c r="D111" s="7" t="s">
        <v>97</v>
      </c>
      <c r="E111" s="7"/>
      <c r="F111" s="68">
        <f>'[1]II-I-DIST'!$Q712</f>
        <v>0</v>
      </c>
      <c r="G111" s="69"/>
      <c r="H111" s="69"/>
      <c r="I111" s="69"/>
      <c r="J111" s="69"/>
      <c r="K111" s="69"/>
      <c r="L111" s="70"/>
      <c r="N111" s="42">
        <f>SUM(H111:L111)</f>
        <v>0</v>
      </c>
      <c r="P111" s="182"/>
    </row>
    <row r="112" spans="2:16" ht="12.75">
      <c r="B112" s="171">
        <f t="shared" si="7"/>
        <v>92</v>
      </c>
      <c r="C112" s="25" t="s">
        <v>161</v>
      </c>
      <c r="D112" s="7" t="s">
        <v>162</v>
      </c>
      <c r="E112" s="7"/>
      <c r="F112" s="68">
        <f>'[1]II-I-DIST'!$Q713</f>
        <v>3611.4557923556017</v>
      </c>
      <c r="G112" s="69"/>
      <c r="H112" s="69"/>
      <c r="I112" s="69"/>
      <c r="J112" s="69">
        <f>+F112</f>
        <v>3611.4557923556017</v>
      </c>
      <c r="K112" s="69"/>
      <c r="L112" s="70"/>
      <c r="N112" s="42">
        <f>SUM(H112:L112)</f>
        <v>3611.4557923556017</v>
      </c>
      <c r="P112" s="182"/>
    </row>
    <row r="113" spans="2:16" ht="12.75">
      <c r="B113" s="171">
        <f t="shared" si="7"/>
        <v>93</v>
      </c>
      <c r="C113" s="25" t="s">
        <v>103</v>
      </c>
      <c r="D113" s="7" t="s">
        <v>104</v>
      </c>
      <c r="E113" s="7"/>
      <c r="F113" s="68">
        <f>'[1]II-I-DIST'!$Q714</f>
        <v>0</v>
      </c>
      <c r="G113" s="69"/>
      <c r="H113" s="69"/>
      <c r="I113" s="69"/>
      <c r="J113" s="69"/>
      <c r="K113" s="69"/>
      <c r="L113" s="70"/>
      <c r="N113" s="42">
        <f>SUM(H113:L113)</f>
        <v>0</v>
      </c>
      <c r="P113" s="182"/>
    </row>
    <row r="114" spans="2:16" ht="12.75">
      <c r="B114" s="171">
        <f t="shared" si="7"/>
        <v>94</v>
      </c>
      <c r="C114" s="25" t="s">
        <v>105</v>
      </c>
      <c r="D114" s="7" t="s">
        <v>106</v>
      </c>
      <c r="E114" s="7"/>
      <c r="F114" s="68">
        <f>'[1]II-I-DIST'!$Q715</f>
        <v>0</v>
      </c>
      <c r="G114" s="69"/>
      <c r="H114" s="69"/>
      <c r="I114" s="69"/>
      <c r="J114" s="69">
        <f>+F114</f>
        <v>0</v>
      </c>
      <c r="K114" s="69"/>
      <c r="L114" s="70"/>
      <c r="N114" s="42">
        <f>SUM(H114:L114)</f>
        <v>0</v>
      </c>
      <c r="P114" s="182"/>
    </row>
    <row r="115" spans="2:19" ht="13.5" thickBot="1">
      <c r="B115" s="171">
        <f t="shared" si="7"/>
        <v>95</v>
      </c>
      <c r="C115" s="24"/>
      <c r="D115" s="14" t="s">
        <v>0</v>
      </c>
      <c r="E115" s="7"/>
      <c r="F115" s="98">
        <f>SUM(F110:F114)</f>
        <v>3611.4557923556017</v>
      </c>
      <c r="G115" s="69"/>
      <c r="H115" s="94">
        <f>SUM(H110:H114)</f>
        <v>0</v>
      </c>
      <c r="I115" s="94">
        <f>SUM(I110:I114)</f>
        <v>0</v>
      </c>
      <c r="J115" s="94">
        <f>SUM(J110:J114)</f>
        <v>3611.4557923556017</v>
      </c>
      <c r="K115" s="94">
        <f>SUM(K110:K114)</f>
        <v>0</v>
      </c>
      <c r="L115" s="95">
        <f>SUM(L110:L114)</f>
        <v>0</v>
      </c>
      <c r="N115" s="105">
        <f>SUM(N106:N114)</f>
        <v>3611.4557923556017</v>
      </c>
      <c r="P115" s="182"/>
      <c r="Q115" s="91"/>
      <c r="R115" s="42"/>
      <c r="S115" s="42"/>
    </row>
    <row r="116" spans="2:16" ht="13.5" thickTop="1">
      <c r="B116" s="171">
        <f t="shared" si="7"/>
        <v>96</v>
      </c>
      <c r="C116" s="25"/>
      <c r="D116" s="7"/>
      <c r="E116" s="7"/>
      <c r="F116" s="101"/>
      <c r="G116" s="69"/>
      <c r="H116" s="69"/>
      <c r="I116" s="69"/>
      <c r="J116" s="69"/>
      <c r="K116" s="69"/>
      <c r="L116" s="70"/>
      <c r="P116" s="182"/>
    </row>
    <row r="117" spans="2:16" ht="12.75">
      <c r="B117" s="171">
        <f t="shared" si="7"/>
        <v>97</v>
      </c>
      <c r="C117" s="25"/>
      <c r="D117" s="7"/>
      <c r="E117" s="7"/>
      <c r="F117" s="102"/>
      <c r="G117" s="69"/>
      <c r="H117" s="69"/>
      <c r="I117" s="69"/>
      <c r="J117" s="69"/>
      <c r="K117" s="69"/>
      <c r="L117" s="70"/>
      <c r="P117" s="182"/>
    </row>
    <row r="118" spans="2:16" ht="12.75">
      <c r="B118" s="171">
        <f t="shared" si="7"/>
        <v>98</v>
      </c>
      <c r="C118" s="24"/>
      <c r="D118" s="15" t="s">
        <v>107</v>
      </c>
      <c r="E118" s="7"/>
      <c r="F118" s="102"/>
      <c r="G118" s="69"/>
      <c r="H118" s="69"/>
      <c r="I118" s="69"/>
      <c r="J118" s="69"/>
      <c r="K118" s="69"/>
      <c r="L118" s="70"/>
      <c r="P118" s="182"/>
    </row>
    <row r="119" spans="2:16" ht="12.75">
      <c r="B119" s="171">
        <f t="shared" si="7"/>
        <v>99</v>
      </c>
      <c r="C119" s="25" t="s">
        <v>178</v>
      </c>
      <c r="D119" s="7" t="s">
        <v>97</v>
      </c>
      <c r="E119" s="7"/>
      <c r="F119" s="68">
        <f>'[1]II-I-DIST'!$Q721</f>
        <v>0</v>
      </c>
      <c r="G119" s="69"/>
      <c r="H119" s="69"/>
      <c r="I119" s="69"/>
      <c r="J119" s="69">
        <f>+F119</f>
        <v>0</v>
      </c>
      <c r="K119" s="69"/>
      <c r="L119" s="70"/>
      <c r="N119" s="42">
        <f>SUM(H119:L119)</f>
        <v>0</v>
      </c>
      <c r="P119" s="182"/>
    </row>
    <row r="120" spans="2:16" ht="12.75">
      <c r="B120" s="171">
        <f t="shared" si="7"/>
        <v>100</v>
      </c>
      <c r="C120" s="25" t="s">
        <v>108</v>
      </c>
      <c r="D120" s="16" t="s">
        <v>109</v>
      </c>
      <c r="E120" s="7"/>
      <c r="F120" s="68">
        <f>'[1]II-I-DIST'!$Q722</f>
        <v>0</v>
      </c>
      <c r="G120" s="69"/>
      <c r="H120" s="69"/>
      <c r="I120" s="69"/>
      <c r="J120" s="69">
        <f>+F120</f>
        <v>0</v>
      </c>
      <c r="K120" s="69"/>
      <c r="L120" s="70"/>
      <c r="N120" s="42">
        <f>SUM(H120:L120)</f>
        <v>0</v>
      </c>
      <c r="P120" s="182"/>
    </row>
    <row r="121" spans="2:16" ht="12.75">
      <c r="B121" s="171">
        <f t="shared" si="7"/>
        <v>101</v>
      </c>
      <c r="C121" s="25" t="s">
        <v>110</v>
      </c>
      <c r="D121" s="16" t="s">
        <v>111</v>
      </c>
      <c r="E121" s="7"/>
      <c r="F121" s="68">
        <f>'[1]II-I-DIST'!$Q723</f>
        <v>0</v>
      </c>
      <c r="G121" s="69"/>
      <c r="H121" s="69"/>
      <c r="I121" s="69"/>
      <c r="J121" s="69">
        <f>+F121</f>
        <v>0</v>
      </c>
      <c r="K121" s="69"/>
      <c r="L121" s="70"/>
      <c r="N121" s="42">
        <f>SUM(H121:L121)</f>
        <v>0</v>
      </c>
      <c r="P121" s="182"/>
    </row>
    <row r="122" spans="2:16" ht="12.75">
      <c r="B122" s="171">
        <f t="shared" si="7"/>
        <v>102</v>
      </c>
      <c r="C122" s="25" t="s">
        <v>112</v>
      </c>
      <c r="D122" s="16" t="s">
        <v>113</v>
      </c>
      <c r="E122" s="7"/>
      <c r="F122" s="68">
        <f>'[1]II-I-DIST'!$Q724</f>
        <v>0</v>
      </c>
      <c r="G122" s="69"/>
      <c r="H122" s="69"/>
      <c r="I122" s="69"/>
      <c r="J122" s="69">
        <f>+F122</f>
        <v>0</v>
      </c>
      <c r="K122" s="69"/>
      <c r="L122" s="70"/>
      <c r="N122" s="42">
        <f>SUM(H122:L122)</f>
        <v>0</v>
      </c>
      <c r="P122" s="182"/>
    </row>
    <row r="123" spans="2:19" ht="13.5" thickBot="1">
      <c r="B123" s="171">
        <f t="shared" si="7"/>
        <v>103</v>
      </c>
      <c r="C123" s="24"/>
      <c r="D123" s="9" t="s">
        <v>140</v>
      </c>
      <c r="E123" s="7"/>
      <c r="F123" s="98">
        <f>SUM(F119:F122)</f>
        <v>0</v>
      </c>
      <c r="G123" s="69"/>
      <c r="H123" s="94">
        <f>SUM(H120:H122)</f>
        <v>0</v>
      </c>
      <c r="I123" s="94">
        <f>SUM(I120:I122)</f>
        <v>0</v>
      </c>
      <c r="J123" s="94">
        <f>SUM(J120:J122)</f>
        <v>0</v>
      </c>
      <c r="K123" s="94">
        <f>SUM(K120:K122)</f>
        <v>0</v>
      </c>
      <c r="L123" s="95">
        <f>SUM(L120:L122)</f>
        <v>0</v>
      </c>
      <c r="N123" s="105">
        <f>SUM(N119:N122)</f>
        <v>0</v>
      </c>
      <c r="P123" s="182"/>
      <c r="Q123" s="91"/>
      <c r="R123" s="42"/>
      <c r="S123" s="42"/>
    </row>
    <row r="124" spans="2:16" ht="13.5" thickTop="1">
      <c r="B124" s="171">
        <f t="shared" si="7"/>
        <v>104</v>
      </c>
      <c r="C124" s="24"/>
      <c r="D124" s="9"/>
      <c r="E124" s="7"/>
      <c r="F124" s="103"/>
      <c r="G124" s="69"/>
      <c r="H124" s="69"/>
      <c r="I124" s="69"/>
      <c r="J124" s="69"/>
      <c r="K124" s="69"/>
      <c r="L124" s="70"/>
      <c r="P124" s="182"/>
    </row>
    <row r="125" spans="2:16" ht="13.5" thickBot="1">
      <c r="B125" s="171">
        <f t="shared" si="7"/>
        <v>105</v>
      </c>
      <c r="C125" s="24" t="s">
        <v>152</v>
      </c>
      <c r="D125" s="8"/>
      <c r="E125" s="7"/>
      <c r="F125" s="94">
        <f>'[1]II-I-DIST'!$Q625+'[1]II-I-DIST'!$Q636</f>
        <v>3916.3682588547667</v>
      </c>
      <c r="G125" s="69"/>
      <c r="H125" s="104">
        <v>0</v>
      </c>
      <c r="I125" s="94">
        <f>+F125</f>
        <v>3916.3682588547667</v>
      </c>
      <c r="J125" s="94">
        <v>0</v>
      </c>
      <c r="K125" s="94">
        <v>0</v>
      </c>
      <c r="L125" s="95">
        <v>0</v>
      </c>
      <c r="P125" s="182"/>
    </row>
    <row r="126" spans="2:16" ht="13.5" thickTop="1">
      <c r="B126" s="171">
        <f t="shared" si="7"/>
        <v>106</v>
      </c>
      <c r="C126" s="24"/>
      <c r="D126" s="9"/>
      <c r="E126" s="7"/>
      <c r="F126" s="103"/>
      <c r="G126" s="69"/>
      <c r="H126" s="69"/>
      <c r="I126" s="69"/>
      <c r="J126" s="69"/>
      <c r="K126" s="69"/>
      <c r="L126" s="70"/>
      <c r="P126" s="182"/>
    </row>
    <row r="127" spans="2:16" ht="13.5" thickBot="1">
      <c r="B127" s="171">
        <f t="shared" si="7"/>
        <v>107</v>
      </c>
      <c r="C127" s="25"/>
      <c r="D127" s="7"/>
      <c r="E127" s="7"/>
      <c r="F127" s="69"/>
      <c r="G127" s="69"/>
      <c r="H127" s="69"/>
      <c r="I127" s="69"/>
      <c r="J127" s="69"/>
      <c r="K127" s="69"/>
      <c r="L127" s="70"/>
      <c r="P127" s="182"/>
    </row>
    <row r="128" spans="1:19" ht="13.5" thickBot="1">
      <c r="A128" s="125"/>
      <c r="B128" s="171">
        <f t="shared" si="7"/>
        <v>108</v>
      </c>
      <c r="C128" s="65" t="s">
        <v>181</v>
      </c>
      <c r="D128" s="78"/>
      <c r="E128" s="7"/>
      <c r="F128" s="94">
        <f>F125+F123+F115+F107+F103+F88</f>
        <v>10960812.836179461</v>
      </c>
      <c r="G128" s="69"/>
      <c r="H128" s="94">
        <f>+H125+H123+H115+H107+H103+H88</f>
        <v>0</v>
      </c>
      <c r="I128" s="94">
        <f>+I125+I123+I115+I107+I103+I88</f>
        <v>696825.76821847993</v>
      </c>
      <c r="J128" s="94">
        <f>+J125+J123+J115+J107+J103+J88</f>
        <v>508815.24491062126</v>
      </c>
      <c r="K128" s="94">
        <f>+K125+K123+K115+K107+K103+K88</f>
        <v>0</v>
      </c>
      <c r="L128" s="95">
        <f>+L125+L123+L115+L107+L103+L88</f>
        <v>9755171.8230503593</v>
      </c>
      <c r="N128" s="43">
        <f>SUM(H128:M128)</f>
        <v>10960812.836179461</v>
      </c>
      <c r="O128" s="43"/>
      <c r="P128" s="182"/>
      <c r="Q128" s="107"/>
      <c r="R128" s="43"/>
      <c r="S128" s="43"/>
    </row>
    <row r="129" spans="2:16" ht="6" customHeight="1" thickTop="1">
      <c r="B129" s="171"/>
      <c r="C129" s="25"/>
      <c r="D129" s="7"/>
      <c r="E129" s="7"/>
      <c r="F129" s="69"/>
      <c r="G129" s="7"/>
      <c r="H129" s="69"/>
      <c r="I129" s="69"/>
      <c r="J129" s="69"/>
      <c r="K129" s="69"/>
      <c r="L129" s="70"/>
      <c r="P129" s="182"/>
    </row>
    <row r="130" spans="2:16" ht="12.75">
      <c r="B130" s="171">
        <v>109</v>
      </c>
      <c r="C130" s="25"/>
      <c r="D130" s="7" t="s">
        <v>149</v>
      </c>
      <c r="E130" s="7"/>
      <c r="F130" s="69"/>
      <c r="G130" s="7"/>
      <c r="H130" s="69">
        <f>+H128/$F$128</f>
        <v>0</v>
      </c>
      <c r="I130" s="69">
        <f>+I128/$F$128</f>
        <v>0.063574278535109802</v>
      </c>
      <c r="J130" s="69">
        <f>+J128/$F$128</f>
        <v>0.04642130583884467</v>
      </c>
      <c r="K130" s="69">
        <f>+K128/$F$128</f>
        <v>0</v>
      </c>
      <c r="L130" s="70">
        <f>+L128/$F$128</f>
        <v>0.89000441562604549</v>
      </c>
      <c r="P130" s="182"/>
    </row>
    <row r="131" spans="3:16" ht="13.5" thickBot="1">
      <c r="C131" s="76"/>
      <c r="D131" s="52"/>
      <c r="E131" s="52"/>
      <c r="F131" s="136"/>
      <c r="G131" s="52"/>
      <c r="H131" s="136"/>
      <c r="I131" s="136"/>
      <c r="J131" s="136"/>
      <c r="K131" s="136"/>
      <c r="L131" s="157"/>
      <c r="P131" s="182"/>
    </row>
    <row r="132" spans="3:16" ht="12.75">
      <c r="C132" s="50"/>
      <c r="D132" s="50"/>
      <c r="F132" s="137"/>
      <c r="G132" s="50"/>
      <c r="H132" s="137"/>
      <c r="I132" s="137"/>
      <c r="J132" s="137"/>
      <c r="K132" s="137"/>
      <c r="L132" s="137"/>
      <c r="P132" s="182"/>
    </row>
    <row r="133" spans="3:16" ht="13.5" thickBot="1">
      <c r="C133" s="177" t="s">
        <v>136</v>
      </c>
      <c r="D133" s="50"/>
      <c r="F133" s="137"/>
      <c r="G133" s="50"/>
      <c r="H133" s="137"/>
      <c r="I133" s="137"/>
      <c r="J133" s="137"/>
      <c r="K133" s="137"/>
      <c r="L133" s="137"/>
      <c r="P133" s="182"/>
    </row>
    <row r="134" spans="3:16" ht="12.75">
      <c r="C134" s="77"/>
      <c r="D134" s="51"/>
      <c r="E134" s="51"/>
      <c r="F134" s="138"/>
      <c r="G134" s="51"/>
      <c r="H134" s="138"/>
      <c r="I134" s="138"/>
      <c r="J134" s="138"/>
      <c r="K134" s="158" t="s">
        <v>55</v>
      </c>
      <c r="L134" s="159"/>
      <c r="P134" s="182"/>
    </row>
    <row r="135" spans="2:16" ht="12.75">
      <c r="B135" s="171">
        <v>110</v>
      </c>
      <c r="C135" s="25"/>
      <c r="D135" s="7"/>
      <c r="E135" s="7"/>
      <c r="F135" s="69"/>
      <c r="G135" s="7"/>
      <c r="H135" s="160" t="s">
        <v>55</v>
      </c>
      <c r="I135" s="160" t="s">
        <v>55</v>
      </c>
      <c r="J135" s="69"/>
      <c r="K135" s="160" t="s">
        <v>47</v>
      </c>
      <c r="L135" s="161" t="s">
        <v>55</v>
      </c>
      <c r="P135" s="182"/>
    </row>
    <row r="136" spans="2:16" ht="12.75">
      <c r="B136" s="171">
        <f t="shared" si="9" ref="B136:B178">1+B135</f>
        <v>111</v>
      </c>
      <c r="C136" s="25"/>
      <c r="D136" s="7"/>
      <c r="E136" s="7"/>
      <c r="F136" s="139" t="s">
        <v>45</v>
      </c>
      <c r="G136" s="7"/>
      <c r="H136" s="160" t="s">
        <v>47</v>
      </c>
      <c r="I136" s="160" t="s">
        <v>47</v>
      </c>
      <c r="J136" s="160" t="s">
        <v>56</v>
      </c>
      <c r="K136" s="160" t="s">
        <v>51</v>
      </c>
      <c r="L136" s="161" t="s">
        <v>47</v>
      </c>
      <c r="P136" s="182"/>
    </row>
    <row r="137" spans="2:16" ht="12.75">
      <c r="B137" s="171">
        <f t="shared" si="9"/>
        <v>112</v>
      </c>
      <c r="C137" s="25"/>
      <c r="D137" s="7"/>
      <c r="E137" s="7"/>
      <c r="F137" s="140" t="s">
        <v>46</v>
      </c>
      <c r="G137" s="7"/>
      <c r="H137" s="162" t="s">
        <v>49</v>
      </c>
      <c r="I137" s="162" t="s">
        <v>48</v>
      </c>
      <c r="J137" s="140" t="s">
        <v>50</v>
      </c>
      <c r="K137" s="162" t="s">
        <v>52</v>
      </c>
      <c r="L137" s="163" t="s">
        <v>139</v>
      </c>
      <c r="P137" s="182"/>
    </row>
    <row r="138" spans="2:16" ht="6" customHeight="1">
      <c r="B138" s="171"/>
      <c r="C138" s="25"/>
      <c r="D138" s="7"/>
      <c r="E138" s="7"/>
      <c r="F138" s="69"/>
      <c r="G138" s="7"/>
      <c r="H138" s="69"/>
      <c r="I138" s="69"/>
      <c r="J138" s="69"/>
      <c r="K138" s="69"/>
      <c r="L138" s="70"/>
      <c r="P138" s="182"/>
    </row>
    <row r="139" spans="2:16" ht="12.75">
      <c r="B139" s="171">
        <v>113</v>
      </c>
      <c r="C139" s="24" t="s">
        <v>185</v>
      </c>
      <c r="D139" s="8"/>
      <c r="E139" s="7"/>
      <c r="F139" s="69"/>
      <c r="G139" s="7"/>
      <c r="H139" s="69"/>
      <c r="I139" s="69"/>
      <c r="J139" s="69"/>
      <c r="K139" s="69"/>
      <c r="L139" s="70"/>
      <c r="P139" s="182"/>
    </row>
    <row r="140" spans="2:16" ht="12.75">
      <c r="B140" s="171">
        <f t="shared" si="9"/>
        <v>114</v>
      </c>
      <c r="C140" s="25" t="s">
        <v>114</v>
      </c>
      <c r="D140" s="7" t="s">
        <v>115</v>
      </c>
      <c r="E140" s="7"/>
      <c r="F140" s="68">
        <f>'[1]II-I-DIST'!$Q746</f>
        <v>1678665.8470791145</v>
      </c>
      <c r="G140" s="11"/>
      <c r="H140" s="69"/>
      <c r="I140" s="69"/>
      <c r="J140" s="69">
        <f>F140</f>
        <v>1678665.8470791145</v>
      </c>
      <c r="K140" s="69"/>
      <c r="L140" s="70"/>
      <c r="N140" s="42">
        <f t="shared" si="10" ref="N140:N152">SUM(H140:L140)</f>
        <v>1678665.8470791145</v>
      </c>
      <c r="O140" s="57" t="s">
        <v>114</v>
      </c>
      <c r="P140" s="182"/>
    </row>
    <row r="141" spans="2:16" ht="12.75">
      <c r="B141" s="171">
        <f t="shared" si="9"/>
        <v>115</v>
      </c>
      <c r="C141" s="25" t="s">
        <v>116</v>
      </c>
      <c r="D141" s="7" t="s">
        <v>117</v>
      </c>
      <c r="E141" s="7"/>
      <c r="F141" s="68">
        <f>'[1]II-I-DIST'!$Q747</f>
        <v>168211.35056669579</v>
      </c>
      <c r="G141" s="11"/>
      <c r="H141" s="69"/>
      <c r="I141" s="69"/>
      <c r="J141" s="69">
        <f t="shared" si="11" ref="J141:J152">F141</f>
        <v>168211.35056669579</v>
      </c>
      <c r="K141" s="69"/>
      <c r="L141" s="70"/>
      <c r="N141" s="42">
        <f t="shared" si="10"/>
        <v>168211.35056669579</v>
      </c>
      <c r="O141" s="57" t="s">
        <v>116</v>
      </c>
      <c r="P141" s="182"/>
    </row>
    <row r="142" spans="2:16" ht="12.75">
      <c r="B142" s="171">
        <f t="shared" si="9"/>
        <v>116</v>
      </c>
      <c r="C142" s="25" t="s">
        <v>118</v>
      </c>
      <c r="D142" s="7" t="s">
        <v>119</v>
      </c>
      <c r="E142" s="7"/>
      <c r="F142" s="68">
        <f>'[1]II-I-DIST'!$Q748</f>
        <v>0</v>
      </c>
      <c r="G142" s="11"/>
      <c r="H142" s="69"/>
      <c r="I142" s="69"/>
      <c r="J142" s="69">
        <f>F142</f>
        <v>0</v>
      </c>
      <c r="K142" s="69"/>
      <c r="L142" s="70"/>
      <c r="N142" s="42">
        <f t="shared" si="10"/>
        <v>0</v>
      </c>
      <c r="O142" s="57" t="s">
        <v>118</v>
      </c>
      <c r="P142" s="182"/>
    </row>
    <row r="143" spans="2:16" ht="12.75">
      <c r="B143" s="171">
        <f t="shared" si="9"/>
        <v>117</v>
      </c>
      <c r="C143" s="25" t="s">
        <v>120</v>
      </c>
      <c r="D143" s="39" t="s">
        <v>121</v>
      </c>
      <c r="E143" s="7"/>
      <c r="F143" s="68">
        <f>'[1]II-I-DIST'!$Q749</f>
        <v>2348253.4579490772</v>
      </c>
      <c r="G143" s="11"/>
      <c r="H143" s="69"/>
      <c r="I143" s="69"/>
      <c r="J143" s="69">
        <f>F143</f>
        <v>2348253.4579490772</v>
      </c>
      <c r="K143" s="69"/>
      <c r="L143" s="70"/>
      <c r="N143" s="42">
        <f t="shared" si="10"/>
        <v>2348253.4579490772</v>
      </c>
      <c r="O143" s="57" t="s">
        <v>120</v>
      </c>
      <c r="P143" s="182"/>
    </row>
    <row r="144" spans="2:16" ht="12.75">
      <c r="B144" s="171">
        <f t="shared" si="9"/>
        <v>118</v>
      </c>
      <c r="C144" s="25" t="s">
        <v>122</v>
      </c>
      <c r="D144" s="7" t="s">
        <v>123</v>
      </c>
      <c r="E144" s="7"/>
      <c r="F144" s="68">
        <f>'[1]II-I-DIST'!$Q750</f>
        <v>7988641.1337396605</v>
      </c>
      <c r="G144" s="11"/>
      <c r="H144" s="69">
        <f>+F144</f>
        <v>7988641.1337396605</v>
      </c>
      <c r="I144" s="69"/>
      <c r="J144" s="69"/>
      <c r="K144" s="69"/>
      <c r="L144" s="70"/>
      <c r="N144" s="42">
        <f t="shared" si="10"/>
        <v>7988641.1337396605</v>
      </c>
      <c r="O144" s="57" t="s">
        <v>122</v>
      </c>
      <c r="P144" s="182"/>
    </row>
    <row r="145" spans="2:16" ht="12.75">
      <c r="B145" s="171">
        <f t="shared" si="9"/>
        <v>119</v>
      </c>
      <c r="C145" s="25" t="s">
        <v>124</v>
      </c>
      <c r="D145" s="7" t="s">
        <v>125</v>
      </c>
      <c r="E145" s="7"/>
      <c r="F145" s="68">
        <f>'[1]II-I-DIST'!$Q751</f>
        <v>560144.92747397081</v>
      </c>
      <c r="G145" s="11"/>
      <c r="H145" s="69"/>
      <c r="I145" s="69"/>
      <c r="J145" s="69">
        <f t="shared" si="11"/>
        <v>560144.92747397081</v>
      </c>
      <c r="K145" s="69"/>
      <c r="L145" s="70"/>
      <c r="N145" s="42">
        <f t="shared" si="10"/>
        <v>560144.92747397081</v>
      </c>
      <c r="O145" s="57" t="s">
        <v>124</v>
      </c>
      <c r="P145" s="182"/>
    </row>
    <row r="146" spans="2:16" ht="12.75">
      <c r="B146" s="171">
        <f t="shared" si="9"/>
        <v>120</v>
      </c>
      <c r="C146" s="25" t="s">
        <v>126</v>
      </c>
      <c r="D146" s="7" t="s">
        <v>127</v>
      </c>
      <c r="E146" s="7"/>
      <c r="F146" s="68">
        <f>'[1]II-I-DIST'!$Q752</f>
        <v>637219.6132703413</v>
      </c>
      <c r="G146" s="11"/>
      <c r="H146" s="69"/>
      <c r="I146" s="69"/>
      <c r="J146" s="69">
        <f t="shared" si="11"/>
        <v>637219.6132703413</v>
      </c>
      <c r="K146" s="69"/>
      <c r="L146" s="70"/>
      <c r="N146" s="42">
        <f t="shared" si="10"/>
        <v>637219.6132703413</v>
      </c>
      <c r="O146" s="57" t="s">
        <v>126</v>
      </c>
      <c r="P146" s="182"/>
    </row>
    <row r="147" spans="2:16" ht="12.75">
      <c r="B147" s="171">
        <f t="shared" si="9"/>
        <v>121</v>
      </c>
      <c r="C147" s="25" t="s">
        <v>128</v>
      </c>
      <c r="D147" s="124" t="s">
        <v>206</v>
      </c>
      <c r="E147" s="7"/>
      <c r="F147" s="68">
        <f>ROUND('[1]II-I-DIST'!$Q753*(1-0.727923),0)</f>
        <v>8833</v>
      </c>
      <c r="G147" s="11"/>
      <c r="H147" s="69"/>
      <c r="I147" s="69"/>
      <c r="J147" s="69">
        <f t="shared" si="11"/>
        <v>8833</v>
      </c>
      <c r="K147" s="69"/>
      <c r="L147" s="70"/>
      <c r="N147" s="42">
        <f t="shared" si="10"/>
        <v>8833</v>
      </c>
      <c r="O147" s="57" t="s">
        <v>128</v>
      </c>
      <c r="P147" s="182"/>
    </row>
    <row r="148" spans="2:16" ht="12.75">
      <c r="B148" s="171">
        <f t="shared" si="9"/>
        <v>122</v>
      </c>
      <c r="C148" s="29" t="s">
        <v>179</v>
      </c>
      <c r="D148" s="7" t="s">
        <v>180</v>
      </c>
      <c r="E148" s="7"/>
      <c r="F148" s="68">
        <f>'[1]II-I-DIST'!$Q754</f>
        <v>0</v>
      </c>
      <c r="G148" s="11"/>
      <c r="H148" s="69"/>
      <c r="I148" s="69"/>
      <c r="J148" s="69">
        <f>F148</f>
        <v>0</v>
      </c>
      <c r="K148" s="69"/>
      <c r="L148" s="70"/>
      <c r="N148" s="42">
        <f t="shared" si="10"/>
        <v>0</v>
      </c>
      <c r="O148" s="108" t="s">
        <v>179</v>
      </c>
      <c r="P148" s="182"/>
    </row>
    <row r="149" spans="2:16" ht="12.75">
      <c r="B149" s="171">
        <f t="shared" si="9"/>
        <v>123</v>
      </c>
      <c r="C149" s="29" t="s">
        <v>164</v>
      </c>
      <c r="D149" s="7" t="s">
        <v>129</v>
      </c>
      <c r="E149" s="7"/>
      <c r="F149" s="68">
        <f>'[1]II-I-DIST'!$Q755</f>
        <v>286152.34098933788</v>
      </c>
      <c r="G149" s="11"/>
      <c r="H149" s="69"/>
      <c r="I149" s="69"/>
      <c r="J149" s="69">
        <f t="shared" si="11"/>
        <v>286152.34098933788</v>
      </c>
      <c r="K149" s="69"/>
      <c r="L149" s="70"/>
      <c r="N149" s="42">
        <f t="shared" si="10"/>
        <v>286152.34098933788</v>
      </c>
      <c r="O149" s="57" t="s">
        <v>164</v>
      </c>
      <c r="P149" s="182"/>
    </row>
    <row r="150" spans="2:16" ht="12.75">
      <c r="B150" s="171">
        <f t="shared" si="9"/>
        <v>124</v>
      </c>
      <c r="C150" s="25" t="s">
        <v>130</v>
      </c>
      <c r="D150" s="7" t="s">
        <v>59</v>
      </c>
      <c r="E150" s="7"/>
      <c r="F150" s="68">
        <f>'[1]II-I-DIST'!$Q756</f>
        <v>35680.665823952157</v>
      </c>
      <c r="G150" s="11"/>
      <c r="H150" s="69"/>
      <c r="I150" s="69"/>
      <c r="J150" s="69">
        <f t="shared" si="11"/>
        <v>35680.665823952157</v>
      </c>
      <c r="K150" s="69"/>
      <c r="L150" s="70"/>
      <c r="N150" s="42">
        <f t="shared" si="10"/>
        <v>35680.665823952157</v>
      </c>
      <c r="O150" s="57" t="s">
        <v>130</v>
      </c>
      <c r="P150" s="182"/>
    </row>
    <row r="151" spans="2:16" ht="12.75">
      <c r="B151" s="171">
        <f t="shared" si="9"/>
        <v>125</v>
      </c>
      <c r="C151" s="25" t="s">
        <v>163</v>
      </c>
      <c r="D151" s="7" t="s">
        <v>132</v>
      </c>
      <c r="E151" s="7"/>
      <c r="F151" s="68">
        <f>'[1]II-I-DIST'!$Q757</f>
        <v>19944.93289566792</v>
      </c>
      <c r="G151" s="11"/>
      <c r="H151" s="69"/>
      <c r="I151" s="69"/>
      <c r="J151" s="69">
        <f>F151</f>
        <v>19944.93289566792</v>
      </c>
      <c r="K151" s="69"/>
      <c r="L151" s="70"/>
      <c r="N151" s="42">
        <f t="shared" si="10"/>
        <v>19944.93289566792</v>
      </c>
      <c r="O151" s="57" t="s">
        <v>163</v>
      </c>
      <c r="P151" s="182"/>
    </row>
    <row r="152" spans="2:16" ht="12.75">
      <c r="B152" s="171">
        <f t="shared" si="9"/>
        <v>126</v>
      </c>
      <c r="C152" s="25" t="s">
        <v>131</v>
      </c>
      <c r="D152" s="7" t="s">
        <v>132</v>
      </c>
      <c r="E152" s="7"/>
      <c r="F152" s="68">
        <f>'[1]II-I-DIST'!$Q758</f>
        <v>-91.619500227026663</v>
      </c>
      <c r="G152" s="11"/>
      <c r="H152" s="69"/>
      <c r="I152" s="69"/>
      <c r="J152" s="69">
        <f t="shared" si="11"/>
        <v>-91.619500227026663</v>
      </c>
      <c r="K152" s="69"/>
      <c r="L152" s="70"/>
      <c r="N152" s="42">
        <f t="shared" si="10"/>
        <v>-91.619500227026663</v>
      </c>
      <c r="O152" s="57" t="s">
        <v>131</v>
      </c>
      <c r="P152" s="182"/>
    </row>
    <row r="153" spans="2:16" ht="6" customHeight="1">
      <c r="B153" s="171"/>
      <c r="C153" s="25"/>
      <c r="D153" s="7"/>
      <c r="E153" s="7"/>
      <c r="F153" s="69"/>
      <c r="G153" s="11"/>
      <c r="H153" s="69"/>
      <c r="I153" s="69"/>
      <c r="J153" s="69"/>
      <c r="K153" s="69"/>
      <c r="L153" s="70"/>
      <c r="P153" s="182"/>
    </row>
    <row r="154" spans="1:19" ht="13.5" thickBot="1">
      <c r="A154" s="125"/>
      <c r="B154" s="171">
        <v>127</v>
      </c>
      <c r="C154" s="24" t="s">
        <v>133</v>
      </c>
      <c r="D154" s="80"/>
      <c r="E154" s="7"/>
      <c r="F154" s="94">
        <f>SUM(F140:F153)</f>
        <v>13731655.650287589</v>
      </c>
      <c r="G154" s="81"/>
      <c r="H154" s="94">
        <f>SUM(H140:H153)</f>
        <v>7988641.1337396605</v>
      </c>
      <c r="I154" s="94">
        <f>SUM(I140:I153)</f>
        <v>0</v>
      </c>
      <c r="J154" s="94">
        <f>SUM(J140:J153)</f>
        <v>5743014.5165479304</v>
      </c>
      <c r="K154" s="94">
        <f>SUM(K140:K153)</f>
        <v>0</v>
      </c>
      <c r="L154" s="95">
        <f>SUM(L140:L153)</f>
        <v>0</v>
      </c>
      <c r="N154" s="106">
        <f>SUM(N140:N153)</f>
        <v>13731655.650287589</v>
      </c>
      <c r="P154" s="182"/>
      <c r="Q154" s="107"/>
      <c r="R154" s="43"/>
      <c r="S154" s="43"/>
    </row>
    <row r="155" spans="2:16" ht="14.25" thickTop="1" thickBot="1">
      <c r="B155" s="171"/>
      <c r="C155" s="76"/>
      <c r="D155" s="52"/>
      <c r="E155" s="52"/>
      <c r="F155" s="136"/>
      <c r="G155" s="38"/>
      <c r="H155" s="136"/>
      <c r="I155" s="136"/>
      <c r="J155" s="136"/>
      <c r="K155" s="136"/>
      <c r="L155" s="157"/>
      <c r="P155" s="182"/>
    </row>
    <row r="156" spans="2:16" ht="12.75">
      <c r="B156" s="171"/>
      <c r="C156" s="50"/>
      <c r="D156" s="50"/>
      <c r="F156" s="137"/>
      <c r="G156" s="79"/>
      <c r="H156" s="137"/>
      <c r="I156" s="137"/>
      <c r="J156" s="137"/>
      <c r="K156" s="69"/>
      <c r="L156" s="69"/>
      <c r="P156" s="182"/>
    </row>
    <row r="157" spans="2:16" ht="12.75">
      <c r="B157" s="171"/>
      <c r="C157" s="50"/>
      <c r="D157" s="50"/>
      <c r="F157" s="137"/>
      <c r="G157" s="50"/>
      <c r="H157" s="137"/>
      <c r="I157" s="137"/>
      <c r="J157" s="137"/>
      <c r="K157" s="69"/>
      <c r="L157" s="69"/>
      <c r="P157" s="182"/>
    </row>
    <row r="158" spans="2:16" ht="13.5" thickBot="1">
      <c r="B158" s="171"/>
      <c r="C158" s="177" t="s">
        <v>141</v>
      </c>
      <c r="D158" s="50"/>
      <c r="F158" s="137"/>
      <c r="G158" s="50"/>
      <c r="H158" s="137"/>
      <c r="I158" s="137"/>
      <c r="J158" s="137"/>
      <c r="K158" s="69"/>
      <c r="L158" s="69"/>
      <c r="P158" s="182"/>
    </row>
    <row r="159" spans="2:16" ht="12.75">
      <c r="B159" s="171"/>
      <c r="C159" s="77"/>
      <c r="D159" s="51"/>
      <c r="E159" s="51"/>
      <c r="F159" s="138"/>
      <c r="G159" s="51"/>
      <c r="H159" s="138"/>
      <c r="I159" s="138"/>
      <c r="J159" s="138"/>
      <c r="K159" s="158" t="s">
        <v>55</v>
      </c>
      <c r="L159" s="159"/>
      <c r="P159" s="182"/>
    </row>
    <row r="160" spans="2:16" ht="12.75">
      <c r="B160" s="171">
        <v>128</v>
      </c>
      <c r="C160" s="25"/>
      <c r="D160" s="7"/>
      <c r="E160" s="7"/>
      <c r="F160" s="69"/>
      <c r="G160" s="7"/>
      <c r="H160" s="160" t="s">
        <v>55</v>
      </c>
      <c r="I160" s="160" t="s">
        <v>55</v>
      </c>
      <c r="J160" s="69"/>
      <c r="K160" s="160" t="s">
        <v>47</v>
      </c>
      <c r="L160" s="161" t="s">
        <v>55</v>
      </c>
      <c r="P160" s="182"/>
    </row>
    <row r="161" spans="2:16" ht="12.75">
      <c r="B161" s="171">
        <f t="shared" si="9"/>
        <v>129</v>
      </c>
      <c r="C161" s="25"/>
      <c r="D161" s="7"/>
      <c r="E161" s="7"/>
      <c r="F161" s="139" t="s">
        <v>45</v>
      </c>
      <c r="G161" s="7"/>
      <c r="H161" s="160" t="s">
        <v>47</v>
      </c>
      <c r="I161" s="160" t="s">
        <v>47</v>
      </c>
      <c r="J161" s="160" t="s">
        <v>56</v>
      </c>
      <c r="K161" s="160" t="s">
        <v>51</v>
      </c>
      <c r="L161" s="161" t="s">
        <v>47</v>
      </c>
      <c r="P161" s="182"/>
    </row>
    <row r="162" spans="2:16" ht="12.75">
      <c r="B162" s="171">
        <f t="shared" si="9"/>
        <v>130</v>
      </c>
      <c r="C162" s="25"/>
      <c r="D162" s="7"/>
      <c r="E162" s="7"/>
      <c r="F162" s="140" t="s">
        <v>46</v>
      </c>
      <c r="G162" s="7"/>
      <c r="H162" s="162" t="s">
        <v>49</v>
      </c>
      <c r="I162" s="162" t="s">
        <v>48</v>
      </c>
      <c r="J162" s="140" t="s">
        <v>50</v>
      </c>
      <c r="K162" s="162" t="s">
        <v>52</v>
      </c>
      <c r="L162" s="163" t="s">
        <v>139</v>
      </c>
      <c r="P162" s="182"/>
    </row>
    <row r="163" spans="2:16" ht="18" customHeight="1">
      <c r="B163" s="171">
        <f t="shared" si="9"/>
        <v>131</v>
      </c>
      <c r="C163" s="25"/>
      <c r="D163" s="7"/>
      <c r="E163" s="7"/>
      <c r="F163" s="69"/>
      <c r="G163" s="7"/>
      <c r="H163" s="69"/>
      <c r="I163" s="69"/>
      <c r="J163" s="69"/>
      <c r="K163" s="69"/>
      <c r="L163" s="70"/>
      <c r="P163" s="182"/>
    </row>
    <row r="164" spans="2:16" ht="13.5" thickBot="1">
      <c r="B164" s="171">
        <f t="shared" si="9"/>
        <v>132</v>
      </c>
      <c r="C164" s="24" t="s">
        <v>148</v>
      </c>
      <c r="D164" s="8"/>
      <c r="E164" s="7"/>
      <c r="F164" s="94">
        <f>'[1]II-I-DIST'!$Q1061</f>
        <v>150785.63432489309</v>
      </c>
      <c r="G164" s="8"/>
      <c r="H164" s="94">
        <f>ROUND($F$164*H130,0)</f>
        <v>0</v>
      </c>
      <c r="I164" s="94">
        <f>ROUND($F$164*I130,0)</f>
        <v>9586</v>
      </c>
      <c r="J164" s="94">
        <f>ROUND($F$164*J130,0)</f>
        <v>7000</v>
      </c>
      <c r="K164" s="94">
        <f>ROUND($F$164*K130,0)</f>
        <v>0</v>
      </c>
      <c r="L164" s="95">
        <f>+F164-H164-I164-J164-K164</f>
        <v>134199.63432489309</v>
      </c>
      <c r="N164" s="42">
        <f>SUM(H164:L164)</f>
        <v>150785.63432489309</v>
      </c>
      <c r="P164" s="182"/>
    </row>
    <row r="165" spans="2:16" ht="13.5" thickTop="1">
      <c r="B165" s="171">
        <f t="shared" si="9"/>
        <v>133</v>
      </c>
      <c r="C165" s="24"/>
      <c r="D165" s="36" t="s">
        <v>150</v>
      </c>
      <c r="E165" s="7"/>
      <c r="F165" s="69"/>
      <c r="G165" s="7"/>
      <c r="H165" s="69"/>
      <c r="I165" s="69"/>
      <c r="J165" s="69"/>
      <c r="K165" s="69"/>
      <c r="L165" s="70"/>
      <c r="P165" s="182"/>
    </row>
    <row r="166" spans="2:16" ht="18" customHeight="1">
      <c r="B166" s="171">
        <f t="shared" si="9"/>
        <v>134</v>
      </c>
      <c r="C166" s="25"/>
      <c r="D166" s="7"/>
      <c r="E166" s="7"/>
      <c r="F166" s="69"/>
      <c r="G166" s="11"/>
      <c r="H166" s="69"/>
      <c r="I166" s="69"/>
      <c r="J166" s="69"/>
      <c r="K166" s="69"/>
      <c r="L166" s="70"/>
      <c r="P166" s="182"/>
    </row>
    <row r="167" spans="2:16" ht="13.5" thickBot="1">
      <c r="B167" s="171">
        <f t="shared" si="9"/>
        <v>135</v>
      </c>
      <c r="C167" s="24" t="s">
        <v>142</v>
      </c>
      <c r="D167" s="7"/>
      <c r="E167" s="7"/>
      <c r="F167" s="188">
        <f>'[1]II-I-DIST'!$Q1064</f>
        <v>4666686.7690703664</v>
      </c>
      <c r="G167" s="37"/>
      <c r="H167" s="94">
        <f>F167</f>
        <v>4666686.7690703664</v>
      </c>
      <c r="I167" s="94">
        <v>0</v>
      </c>
      <c r="J167" s="94">
        <v>0</v>
      </c>
      <c r="K167" s="94">
        <v>0</v>
      </c>
      <c r="L167" s="95">
        <v>0</v>
      </c>
      <c r="N167" s="42">
        <f>SUM(H167:L167)</f>
        <v>4666686.7690703664</v>
      </c>
      <c r="P167" s="182"/>
    </row>
    <row r="168" spans="2:16" ht="18" customHeight="1" thickTop="1">
      <c r="B168" s="171">
        <f t="shared" si="9"/>
        <v>136</v>
      </c>
      <c r="C168" s="25"/>
      <c r="D168" s="7"/>
      <c r="E168" s="7"/>
      <c r="F168" s="69"/>
      <c r="G168" s="11"/>
      <c r="H168" s="69"/>
      <c r="I168" s="69"/>
      <c r="J168" s="69"/>
      <c r="K168" s="69"/>
      <c r="L168" s="70"/>
      <c r="N168" s="58"/>
      <c r="P168" s="182"/>
    </row>
    <row r="169" spans="2:16" ht="12.75">
      <c r="B169" s="171">
        <f t="shared" si="9"/>
        <v>137</v>
      </c>
      <c r="C169" s="24" t="s">
        <v>165</v>
      </c>
      <c r="D169" s="8"/>
      <c r="E169" s="7"/>
      <c r="F169" s="69"/>
      <c r="G169" s="7"/>
      <c r="H169" s="69"/>
      <c r="I169" s="69"/>
      <c r="J169" s="69"/>
      <c r="K169" s="69"/>
      <c r="L169" s="70"/>
      <c r="N169" s="17"/>
      <c r="P169" s="182"/>
    </row>
    <row r="170" spans="2:16" ht="12.75">
      <c r="B170" s="171">
        <f t="shared" si="9"/>
        <v>138</v>
      </c>
      <c r="C170" s="24"/>
      <c r="D170" s="7" t="s">
        <v>144</v>
      </c>
      <c r="E170" s="7"/>
      <c r="F170" s="180">
        <f>'[1]II-I-DIST'!$Q1068</f>
        <v>126788.73202140433</v>
      </c>
      <c r="G170" s="69"/>
      <c r="H170" s="69"/>
      <c r="I170" s="69"/>
      <c r="J170" s="69"/>
      <c r="K170" s="69">
        <f>+F170</f>
        <v>126788.73202140433</v>
      </c>
      <c r="L170" s="70"/>
      <c r="N170" s="42">
        <f>SUM(H170:L170)</f>
        <v>126788.73202140433</v>
      </c>
      <c r="P170" s="182"/>
    </row>
    <row r="171" spans="2:16" ht="12.75">
      <c r="B171" s="171">
        <f t="shared" si="9"/>
        <v>139</v>
      </c>
      <c r="C171" s="24"/>
      <c r="D171" s="7" t="s">
        <v>145</v>
      </c>
      <c r="E171" s="7"/>
      <c r="F171" s="180">
        <f>'[1]II-I-DIST'!$Q1069</f>
        <v>1036247.6440593592</v>
      </c>
      <c r="G171" s="69"/>
      <c r="H171" s="69"/>
      <c r="I171" s="69">
        <f>+F171</f>
        <v>1036247.6440593592</v>
      </c>
      <c r="J171" s="69"/>
      <c r="K171" s="69"/>
      <c r="L171" s="70"/>
      <c r="N171" s="42">
        <f>SUM(H171:L171)</f>
        <v>1036247.6440593592</v>
      </c>
      <c r="P171" s="182"/>
    </row>
    <row r="172" spans="2:19" ht="12" customHeight="1" thickBot="1">
      <c r="B172" s="171">
        <f t="shared" si="9"/>
        <v>140</v>
      </c>
      <c r="C172" s="25"/>
      <c r="D172" s="9" t="s">
        <v>140</v>
      </c>
      <c r="E172" s="7"/>
      <c r="F172" s="98">
        <f>SUM(F170:F171)</f>
        <v>1163036.3760807635</v>
      </c>
      <c r="G172" s="69"/>
      <c r="H172" s="98">
        <f>SUM(H170:H171)</f>
        <v>0</v>
      </c>
      <c r="I172" s="98">
        <f>SUM(I170:I171)</f>
        <v>1036247.6440593592</v>
      </c>
      <c r="J172" s="98">
        <f>SUM(J170:J171)</f>
        <v>0</v>
      </c>
      <c r="K172" s="98">
        <f>SUM(K170:K171)</f>
        <v>126788.73202140433</v>
      </c>
      <c r="L172" s="109">
        <f>SUM(L170:L171)</f>
        <v>0</v>
      </c>
      <c r="N172" s="106">
        <f>+N170+N171</f>
        <v>1163036.3760807635</v>
      </c>
      <c r="P172" s="182"/>
      <c r="Q172" s="107"/>
      <c r="R172" s="43"/>
      <c r="S172" s="43"/>
    </row>
    <row r="173" spans="2:16" ht="18" customHeight="1" thickTop="1">
      <c r="B173" s="171">
        <f t="shared" si="9"/>
        <v>141</v>
      </c>
      <c r="C173" s="25"/>
      <c r="D173" s="9"/>
      <c r="E173" s="7"/>
      <c r="F173" s="141"/>
      <c r="G173" s="7"/>
      <c r="H173" s="110"/>
      <c r="I173" s="110"/>
      <c r="J173" s="110"/>
      <c r="K173" s="110"/>
      <c r="L173" s="164"/>
      <c r="P173" s="182"/>
    </row>
    <row r="174" spans="2:16" ht="13.5" thickBot="1">
      <c r="B174" s="171">
        <f t="shared" si="9"/>
        <v>142</v>
      </c>
      <c r="C174" s="24" t="s">
        <v>143</v>
      </c>
      <c r="D174" s="8"/>
      <c r="E174" s="7"/>
      <c r="F174" s="188">
        <f>'[1]II-I-DIST'!$Q1130</f>
        <v>468980.55176922469</v>
      </c>
      <c r="G174" s="110"/>
      <c r="H174" s="94">
        <v>0</v>
      </c>
      <c r="I174" s="94">
        <v>0</v>
      </c>
      <c r="J174" s="94">
        <v>0</v>
      </c>
      <c r="K174" s="94">
        <f>F174</f>
        <v>468980.55176922469</v>
      </c>
      <c r="L174" s="95">
        <v>0</v>
      </c>
      <c r="N174" s="42">
        <f>SUM(H174:L174)</f>
        <v>468980.55176922469</v>
      </c>
      <c r="P174" s="182"/>
    </row>
    <row r="175" spans="1:16" ht="13.5" thickTop="1">
      <c r="A175" s="125"/>
      <c r="B175" s="171">
        <f t="shared" si="9"/>
        <v>143</v>
      </c>
      <c r="C175" s="25"/>
      <c r="D175" s="7"/>
      <c r="E175" s="7"/>
      <c r="F175" s="69"/>
      <c r="G175" s="11"/>
      <c r="H175" s="69"/>
      <c r="I175" s="69"/>
      <c r="J175" s="69"/>
      <c r="K175" s="69"/>
      <c r="L175" s="70"/>
      <c r="P175" s="182"/>
    </row>
    <row r="176" spans="1:16" ht="12.75">
      <c r="A176" s="40"/>
      <c r="B176" s="171">
        <f t="shared" si="9"/>
        <v>144</v>
      </c>
      <c r="C176" s="25"/>
      <c r="D176" s="7"/>
      <c r="E176" s="7"/>
      <c r="F176" s="69"/>
      <c r="G176" s="11"/>
      <c r="H176" s="69"/>
      <c r="I176" s="69"/>
      <c r="J176" s="69"/>
      <c r="K176" s="69"/>
      <c r="L176" s="70"/>
      <c r="P176" s="182"/>
    </row>
    <row r="177" spans="1:16" ht="13.5" thickBot="1">
      <c r="A177" s="40"/>
      <c r="B177" s="171">
        <f t="shared" si="9"/>
        <v>145</v>
      </c>
      <c r="C177" s="25"/>
      <c r="D177" s="7"/>
      <c r="E177" s="7"/>
      <c r="F177" s="69"/>
      <c r="G177" s="11"/>
      <c r="H177" s="69"/>
      <c r="I177" s="69"/>
      <c r="J177" s="69"/>
      <c r="K177" s="69"/>
      <c r="L177" s="70"/>
      <c r="P177" s="182"/>
    </row>
    <row r="178" spans="1:17" ht="13.5" thickBot="1">
      <c r="A178" s="125"/>
      <c r="B178" s="171">
        <f t="shared" si="9"/>
        <v>146</v>
      </c>
      <c r="C178" s="65" t="s">
        <v>151</v>
      </c>
      <c r="D178" s="82"/>
      <c r="E178" s="7"/>
      <c r="F178" s="94">
        <f>+F174+F172+F167+F164</f>
        <v>6449489.3312452482</v>
      </c>
      <c r="G178" s="30"/>
      <c r="H178" s="94">
        <f>+H174+H172+H167+H164</f>
        <v>4666686.7690703664</v>
      </c>
      <c r="I178" s="94">
        <f>+I174+I172+I167+I164</f>
        <v>1045833.6440593592</v>
      </c>
      <c r="J178" s="94">
        <f>+J174+J172+J167+J164</f>
        <v>7000</v>
      </c>
      <c r="K178" s="94">
        <f>+K174+K172+K167+K164</f>
        <v>595769.28379062901</v>
      </c>
      <c r="L178" s="95">
        <f>+L174+L172+L167+L164</f>
        <v>134199.63432489309</v>
      </c>
      <c r="N178" s="43">
        <f>+N164+N167+N172+N174</f>
        <v>6449489.3312452482</v>
      </c>
      <c r="P178" s="182"/>
      <c r="Q178" s="107"/>
    </row>
    <row r="179" spans="3:16" ht="13.5" thickTop="1" thickBot="1">
      <c r="C179" s="76"/>
      <c r="D179" s="52"/>
      <c r="E179" s="52"/>
      <c r="F179" s="136"/>
      <c r="G179" s="38"/>
      <c r="H179" s="136"/>
      <c r="I179" s="136"/>
      <c r="J179" s="136"/>
      <c r="K179" s="136"/>
      <c r="L179" s="157"/>
      <c r="P179" s="182"/>
    </row>
    <row r="180" spans="16:16" ht="12.75">
      <c r="P180" s="182"/>
    </row>
    <row r="181" spans="16:16" ht="12.75">
      <c r="P181" s="182"/>
    </row>
    <row r="182" spans="6:16" ht="12.75">
      <c r="F182" s="130">
        <f>+F178+F154+F128+F62</f>
        <v>35017691.8177123</v>
      </c>
      <c r="H182" s="130">
        <f>+H178+H154+H128+H62</f>
        <v>15823118.902810026</v>
      </c>
      <c r="I182" s="130">
        <f>+I178+I154+I128+I62</f>
        <v>4160299.4122778391</v>
      </c>
      <c r="J182" s="130">
        <f>+J178+J154+J128+J62</f>
        <v>8744470.7614585515</v>
      </c>
      <c r="K182" s="130">
        <f>+K178+K154+K128+K62</f>
        <v>-3599568.7162093711</v>
      </c>
      <c r="L182" s="130">
        <f>+L178+L154+L128+L62</f>
        <v>9889371.4573752526</v>
      </c>
      <c r="N182" s="43">
        <f>SUM(H182:L182)</f>
        <v>35017691.8177123</v>
      </c>
      <c r="P182" s="182"/>
    </row>
    <row r="184" spans="4:6" ht="12.75">
      <c r="D184" s="169" t="s">
        <v>201</v>
      </c>
      <c r="F184" s="130">
        <f>'[1]II-I-DIST'!$Q$22</f>
        <v>25182581.788684003</v>
      </c>
    </row>
    <row r="185" spans="4:6" ht="12.75">
      <c r="D185" s="169" t="s">
        <v>202</v>
      </c>
      <c r="F185" s="130">
        <f>[1]LinkSheet!$N$10+[1]LinkSheet!$N$12</f>
        <v>1614635.0250198713</v>
      </c>
    </row>
    <row r="186" spans="4:6" ht="13.5" thickBot="1">
      <c r="D186" s="169" t="s">
        <v>204</v>
      </c>
      <c r="F186" s="170">
        <f>SUM(F182:F185)</f>
        <v>61814908.631416172</v>
      </c>
    </row>
    <row r="187" ht="13.5" thickTop="1"/>
    <row r="188" spans="4:6" ht="12.75">
      <c r="D188" s="169" t="s">
        <v>203</v>
      </c>
      <c r="F188" s="130">
        <f>'[1]II-I-DIST'!$Q$31</f>
        <v>527901.21999979834</v>
      </c>
    </row>
    <row r="190" spans="4:6" ht="12.75">
      <c r="D190" s="169" t="s">
        <v>205</v>
      </c>
      <c r="F190" s="130">
        <f>F186-F188</f>
        <v>61287007.411416374</v>
      </c>
    </row>
  </sheetData>
  <mergeCells count="5">
    <mergeCell ref="C2:L2"/>
    <mergeCell ref="C4:L4"/>
    <mergeCell ref="C7:L7"/>
    <mergeCell ref="C5:L5"/>
    <mergeCell ref="C3:L3"/>
  </mergeCells>
  <pageMargins left="0.75" right="0.5" top="1.25" bottom="0.75" header="0.5" footer="0"/>
  <pageSetup cellComments="asDisplayed" horizontalDpi="360" verticalDpi="360" orientation="portrait" scale="70" r:id="rId1"/>
  <headerFooter alignWithMargins="0">
    <oddHeader>&amp;RWP/IV-J-7/4
Page&amp;P of &amp;N</oddHeader>
  </headerFooter>
  <rowBreaks count="2" manualBreakCount="2">
    <brk id="69" min="1" max="12" man="1"/>
    <brk id="132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Assignments by Group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6099f195-022d-46fe-ab90-8ac539333fa0</vt:lpwstr>
  </property>
</Properties>
</file>