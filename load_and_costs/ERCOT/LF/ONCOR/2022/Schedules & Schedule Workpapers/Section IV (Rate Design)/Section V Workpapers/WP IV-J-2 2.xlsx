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V (Rate Design)\Section V Workpapers\"/>
    </mc:Choice>
  </mc:AlternateContent>
  <bookViews>
    <workbookView xWindow="0" yWindow="0" windowWidth="19200" windowHeight="8565" activeTab="1"/>
  </bookViews>
  <sheets>
    <sheet name="Labor and Transportation" sheetId="1" r:id="rId2"/>
    <sheet name="Meter Non-Comm Cost" sheetId="2" r:id="rId3"/>
  </sheets>
  <definedNames/>
  <calcPr calcId="152511"/>
</workbook>
</file>

<file path=xl/calcChain.xml><?xml version="1.0" encoding="utf-8"?>
<calcChain xmlns="http://schemas.openxmlformats.org/spreadsheetml/2006/main">
  <c r="J60" i="1" l="1"/>
</calcChain>
</file>

<file path=xl/sharedStrings.xml><?xml version="1.0" encoding="utf-8"?>
<sst xmlns="http://schemas.openxmlformats.org/spreadsheetml/2006/main" count="108" uniqueCount="70">
  <si>
    <t>Benefits</t>
  </si>
  <si>
    <t>Revenue Management Specialist</t>
  </si>
  <si>
    <t>Average Monthly</t>
  </si>
  <si>
    <t>Salary</t>
  </si>
  <si>
    <t>Veh Desc</t>
  </si>
  <si>
    <t>Transportation</t>
  </si>
  <si>
    <t>Hourly Overtime Rate 2.0</t>
  </si>
  <si>
    <t>Hourly Overtime Rate 1.5</t>
  </si>
  <si>
    <t>Loaded Hourly Rate</t>
  </si>
  <si>
    <t>Base Hourly Rate</t>
  </si>
  <si>
    <t>Monthly Average Job Value</t>
  </si>
  <si>
    <t>Job Classification</t>
  </si>
  <si>
    <t>PTO Loading</t>
  </si>
  <si>
    <t>Payroll Tax</t>
  </si>
  <si>
    <t>OPEBs</t>
  </si>
  <si>
    <t>Pension</t>
  </si>
  <si>
    <t>1/2 Ton pickup</t>
  </si>
  <si>
    <t>Designer</t>
  </si>
  <si>
    <t>Large Bucket, trailer, 3/4 Ton pickup</t>
  </si>
  <si>
    <t>3-Man Crew</t>
  </si>
  <si>
    <t>FCC</t>
  </si>
  <si>
    <t>Clerical</t>
  </si>
  <si>
    <t>Dispatcher</t>
  </si>
  <si>
    <t>Small Bucket</t>
  </si>
  <si>
    <t>DOT</t>
  </si>
  <si>
    <t>Serviceman</t>
  </si>
  <si>
    <t>DISTRIBUTION</t>
  </si>
  <si>
    <t>Broken Meter Seal Average*</t>
  </si>
  <si>
    <t>Small Bucket Truck</t>
  </si>
  <si>
    <t>System Service Rep Sr.</t>
  </si>
  <si>
    <t>Data Analyst II</t>
  </si>
  <si>
    <t>1/2 ton</t>
  </si>
  <si>
    <t>Revenue Security Rep</t>
  </si>
  <si>
    <t>3/4 ton</t>
  </si>
  <si>
    <t>T&amp;D Meter Tech Sr.</t>
  </si>
  <si>
    <t>T&amp;D Meter Tech</t>
  </si>
  <si>
    <t>Meter Technician</t>
  </si>
  <si>
    <t>Meter Repair Tech Sr.</t>
  </si>
  <si>
    <t>Meter Analyst Sr.</t>
  </si>
  <si>
    <t>Hold Que Rep</t>
  </si>
  <si>
    <t>Field Service Rep</t>
  </si>
  <si>
    <t>MEASUREMENT SERVICES</t>
  </si>
  <si>
    <t>Cost per Service Order</t>
  </si>
  <si>
    <t>TOTAL COST</t>
  </si>
  <si>
    <t>Total AMS Orders</t>
  </si>
  <si>
    <t>Cost</t>
  </si>
  <si>
    <t>Hours</t>
  </si>
  <si>
    <t>Rate</t>
  </si>
  <si>
    <t>Non-Communication Dispatch</t>
  </si>
  <si>
    <t>Non-Communication Cost</t>
  </si>
  <si>
    <t>Sent to Dispatch</t>
  </si>
  <si>
    <t xml:space="preserve">   and System Service Rep Sr.</t>
  </si>
  <si>
    <t>* Broken meter seals are normally replaced by a Field Service Rep, however, approximately 20% are replaced by Meter Technicians, Revenue Security Reps</t>
  </si>
  <si>
    <t>Market Ops Specialst, Sr</t>
  </si>
  <si>
    <t>Sr. Engineer - Distribution Planning</t>
  </si>
  <si>
    <t>Sr. Engineer - System Protection</t>
  </si>
  <si>
    <t>Sr. Engineer - Distribution Major Design</t>
  </si>
  <si>
    <t>Sr. Engineer - Transmission Engineering</t>
  </si>
  <si>
    <t>Staff Engineer - Asset Planning</t>
  </si>
  <si>
    <t>Sr. Engineer - Metering</t>
  </si>
  <si>
    <t>1/2 Ton Truck</t>
  </si>
  <si>
    <t>3/4 Ton Truck</t>
  </si>
  <si>
    <t>Large Bucket Truck</t>
  </si>
  <si>
    <t>Trailer</t>
  </si>
  <si>
    <t>Market Trak Specialist</t>
  </si>
  <si>
    <t>OTHER</t>
  </si>
  <si>
    <t>ENGINEERING</t>
  </si>
  <si>
    <t>TRANSPORTATION RATES</t>
  </si>
  <si>
    <t>Used for Distribution only.</t>
  </si>
  <si>
    <t>LABOR LOADING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</si>
</sst>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 val="single"/>
      <sz val="10"/>
      <name val="Arial"/>
      <family val="2"/>
    </font>
    <font>
      <sz val="11"/>
      <name val="Calibri"/>
      <family val="2"/>
      <scheme val="minor"/>
    </font>
    <font>
      <b/>
      <u val="single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/>
    <xf numFmtId="44" fontId="0" fillId="0" borderId="0" xfId="16" applyFont="1"/>
    <xf numFmtId="44" fontId="2" fillId="0" borderId="0" xfId="0" applyNumberFormat="1" applyFont="1" applyFill="1"/>
    <xf numFmtId="0" fontId="2" fillId="0" borderId="0" xfId="0" applyFont="1"/>
    <xf numFmtId="0" fontId="0" fillId="0" borderId="0" xfId="0" applyAlignment="1">
      <alignment horizontal="center"/>
    </xf>
    <xf numFmtId="44" fontId="0" fillId="0" borderId="0" xfId="16" applyNumberFormat="1" applyFont="1"/>
    <xf numFmtId="44" fontId="4" fillId="0" borderId="0" xfId="16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6" fontId="2" fillId="0" borderId="0" xfId="18" applyNumberFormat="1" applyFont="1" applyFill="1"/>
    <xf numFmtId="44" fontId="2" fillId="0" borderId="0" xfId="16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center" wrapText="1"/>
    </xf>
    <xf numFmtId="44" fontId="1" fillId="0" borderId="0" xfId="16" applyFont="1" applyFill="1"/>
    <xf numFmtId="0" fontId="1" fillId="0" borderId="0" xfId="0" applyFont="1" applyFill="1"/>
    <xf numFmtId="44" fontId="2" fillId="0" borderId="0" xfId="0" applyNumberFormat="1" applyFont="1" applyFill="1" applyAlignment="1">
      <alignment horizontal="left"/>
    </xf>
    <xf numFmtId="0" fontId="2" fillId="0" borderId="0" xfId="0" applyFont="1" applyFill="1" applyBorder="1" applyAlignment="1">
      <alignment horizontal="left" wrapText="1"/>
    </xf>
    <xf numFmtId="44" fontId="2" fillId="0" borderId="0" xfId="16" applyFont="1" applyFill="1" applyAlignment="1">
      <alignment horizontal="left"/>
    </xf>
    <xf numFmtId="166" fontId="2" fillId="0" borderId="0" xfId="18" applyNumberFormat="1" applyFont="1" applyFill="1" applyAlignment="1">
      <alignment horizontal="left"/>
    </xf>
    <xf numFmtId="165" fontId="1" fillId="0" borderId="0" xfId="16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64" fontId="1" fillId="0" borderId="0" xfId="15" applyNumberFormat="1" applyFont="1" applyFill="1" applyAlignment="1">
      <alignment horizontal="left"/>
    </xf>
    <xf numFmtId="10" fontId="1" fillId="0" borderId="0" xfId="15" applyNumberFormat="1" applyFont="1" applyFill="1" applyAlignment="1">
      <alignment horizontal="left"/>
    </xf>
    <xf numFmtId="44" fontId="1" fillId="0" borderId="0" xfId="16" applyFont="1" applyFill="1" applyAlignment="1">
      <alignment horizontal="left"/>
    </xf>
    <xf numFmtId="0" fontId="3" fillId="0" borderId="2" xfId="0" applyFont="1" applyFill="1" applyBorder="1"/>
    <xf numFmtId="165" fontId="2" fillId="0" borderId="0" xfId="16" applyNumberFormat="1" applyFont="1" applyFill="1"/>
    <xf numFmtId="166" fontId="1" fillId="0" borderId="0" xfId="18" applyNumberFormat="1" applyFont="1" applyFill="1"/>
    <xf numFmtId="166" fontId="3" fillId="0" borderId="1" xfId="18" applyNumberFormat="1" applyFont="1" applyFill="1" applyBorder="1" applyAlignment="1">
      <alignment horizontal="center" wrapText="1"/>
    </xf>
    <xf numFmtId="44" fontId="0" fillId="0" borderId="0" xfId="16" applyFont="1" applyBorder="1"/>
    <xf numFmtId="3" fontId="5" fillId="0" borderId="0" xfId="0" applyNumberFormat="1" applyFont="1" applyFill="1" applyBorder="1" quotePrefix="1"/>
    <xf numFmtId="166" fontId="0" fillId="0" borderId="0" xfId="18" applyNumberFormat="1" applyFont="1" applyBorder="1"/>
    <xf numFmtId="0" fontId="3" fillId="0" borderId="0" xfId="0" applyFont="1" applyFill="1"/>
    <xf numFmtId="166" fontId="0" fillId="0" borderId="0" xfId="18" applyNumberFormat="1" applyFont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/>
    </xf>
    <xf numFmtId="43" fontId="1" fillId="0" borderId="0" xfId="18" applyFont="1" applyFill="1"/>
    <xf numFmtId="0" fontId="6" fillId="0" borderId="0" xfId="0" applyFont="1" applyFill="1"/>
    <xf numFmtId="10" fontId="2" fillId="0" borderId="0" xfId="15" applyNumberFormat="1" applyFont="1" applyFill="1"/>
    <xf numFmtId="165" fontId="1" fillId="0" borderId="0" xfId="0" applyNumberFormat="1" applyFont="1" applyFill="1"/>
    <xf numFmtId="166" fontId="1" fillId="0" borderId="0" xfId="18" applyNumberFormat="1" applyFont="1" applyFill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tyles" Target="styles.xml" /><Relationship Id="rId6" Type="http://schemas.openxmlformats.org/officeDocument/2006/relationships/calcChain" Target="calcChain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2:J68"/>
  <sheetViews>
    <sheetView view="pageBreakPreview" zoomScale="80" zoomScaleNormal="100" zoomScaleSheetLayoutView="80" workbookViewId="0" topLeftCell="A54">
      <selection pane="topLeft" activeCell="L67" sqref="L67"/>
    </sheetView>
  </sheetViews>
  <sheetFormatPr defaultColWidth="8.71428571428571" defaultRowHeight="12.75"/>
  <cols>
    <col min="1" max="1" width="30.4285714285714" style="14" customWidth="1"/>
    <col min="2" max="2" width="12.1428571428571" style="14" bestFit="1" customWidth="1"/>
    <col min="3" max="3" width="11.7142857142857" style="14" bestFit="1" customWidth="1"/>
    <col min="4" max="4" width="11.2857142857143" style="14" bestFit="1" customWidth="1"/>
    <col min="5" max="5" width="13.8571428571429" style="14" bestFit="1" customWidth="1"/>
    <col min="6" max="6" width="10.1428571428571" style="14" bestFit="1" customWidth="1"/>
    <col min="7" max="7" width="13.8571428571429" style="14" bestFit="1" customWidth="1"/>
    <col min="8" max="8" width="29.5714285714286" style="14" customWidth="1"/>
    <col min="9" max="9" width="8.71428571428571" style="26" bestFit="1" customWidth="1"/>
    <col min="10" max="10" width="7.57142857142857" style="26" customWidth="1"/>
    <col min="11" max="16384" width="8.71428571428571" style="14"/>
  </cols>
  <sheetData>
    <row r="2" spans="1:3" ht="12.6">
      <c r="A2" s="11"/>
      <c r="B2" s="11"/>
      <c r="C2" s="11"/>
    </row>
    <row r="3" spans="1:3" ht="12.6">
      <c r="A3" s="11"/>
      <c r="B3" s="11"/>
      <c r="C3" s="11"/>
    </row>
    <row r="4" spans="1:3" ht="12.6">
      <c r="A4" s="11"/>
      <c r="B4" s="11"/>
      <c r="C4" s="11"/>
    </row>
    <row r="5" spans="1:3" ht="12.6">
      <c r="A5" s="11"/>
      <c r="B5" s="11"/>
      <c r="C5" s="11"/>
    </row>
    <row r="6" spans="4:10" ht="12.6">
      <c r="D6" s="11"/>
      <c r="E6" s="11"/>
      <c r="F6" s="11"/>
      <c r="G6" s="11"/>
      <c r="H6" s="11"/>
      <c r="I6" s="9"/>
      <c r="J6" s="9"/>
    </row>
    <row r="7" spans="1:1" ht="12.95">
      <c r="A7" s="36" t="s">
        <v>69</v>
      </c>
    </row>
    <row r="8" spans="1:10" ht="12.6">
      <c r="A8" s="11" t="s">
        <v>0</v>
      </c>
      <c r="B8" s="11"/>
      <c r="C8" s="37">
        <v>0.20169999999999999</v>
      </c>
      <c r="D8" s="11"/>
      <c r="E8" s="11"/>
      <c r="F8" s="11"/>
      <c r="G8" s="11"/>
      <c r="H8" s="11"/>
      <c r="I8" s="9"/>
      <c r="J8" s="9"/>
    </row>
    <row r="9" spans="1:10" ht="12.6">
      <c r="A9" s="11" t="s">
        <v>15</v>
      </c>
      <c r="B9" s="11"/>
      <c r="C9" s="37">
        <v>0</v>
      </c>
      <c r="D9" s="37"/>
      <c r="E9" s="11"/>
      <c r="F9" s="11"/>
      <c r="G9" s="11"/>
      <c r="H9" s="11"/>
      <c r="I9" s="9"/>
      <c r="J9" s="9"/>
    </row>
    <row r="10" spans="1:10" ht="12.6">
      <c r="A10" s="11" t="s">
        <v>14</v>
      </c>
      <c r="B10" s="11"/>
      <c r="C10" s="37">
        <v>0</v>
      </c>
      <c r="D10" s="37"/>
      <c r="E10" s="11"/>
      <c r="F10" s="11"/>
      <c r="G10" s="11"/>
      <c r="H10" s="11"/>
      <c r="I10" s="9"/>
      <c r="J10" s="9"/>
    </row>
    <row r="11" spans="1:10" ht="12.6">
      <c r="A11" s="11" t="s">
        <v>13</v>
      </c>
      <c r="B11" s="11"/>
      <c r="C11" s="37">
        <v>0.076499999999999999</v>
      </c>
      <c r="D11" s="11"/>
      <c r="E11" s="11"/>
      <c r="F11" s="11"/>
      <c r="G11" s="11"/>
      <c r="H11" s="11"/>
      <c r="I11" s="9"/>
      <c r="J11" s="9"/>
    </row>
    <row r="12" spans="1:10" ht="12.6">
      <c r="A12" s="11" t="s">
        <v>12</v>
      </c>
      <c r="B12" s="11"/>
      <c r="C12" s="37">
        <v>0.17499999999999999</v>
      </c>
      <c r="D12" s="11" t="s">
        <v>68</v>
      </c>
      <c r="E12" s="11"/>
      <c r="F12" s="11"/>
      <c r="G12" s="11"/>
      <c r="H12" s="11"/>
      <c r="I12" s="9"/>
      <c r="J12" s="9"/>
    </row>
    <row r="13" spans="1:10" ht="12.6">
      <c r="A13" s="11"/>
      <c r="B13" s="11"/>
      <c r="C13" s="11"/>
      <c r="D13" s="11"/>
      <c r="E13" s="11"/>
      <c r="F13" s="11"/>
      <c r="G13" s="11"/>
      <c r="H13" s="11"/>
      <c r="I13" s="9"/>
      <c r="J13" s="9"/>
    </row>
    <row r="14" spans="1:10" ht="12.95">
      <c r="A14" s="31" t="s">
        <v>41</v>
      </c>
      <c r="B14" s="11"/>
      <c r="C14" s="25"/>
      <c r="D14" s="11"/>
      <c r="E14" s="11"/>
      <c r="F14" s="11"/>
      <c r="G14" s="11"/>
      <c r="H14" s="11"/>
      <c r="I14" s="9"/>
      <c r="J14" s="9"/>
    </row>
    <row r="15" spans="1:10" ht="65.1">
      <c r="A15" s="12" t="s">
        <v>11</v>
      </c>
      <c r="B15" s="12" t="s">
        <v>10</v>
      </c>
      <c r="C15" s="12" t="s">
        <v>9</v>
      </c>
      <c r="D15" s="12" t="s">
        <v>8</v>
      </c>
      <c r="E15" s="12" t="s">
        <v>7</v>
      </c>
      <c r="F15" s="12" t="s">
        <v>6</v>
      </c>
      <c r="G15" s="12" t="s">
        <v>5</v>
      </c>
      <c r="H15" s="12" t="s">
        <v>4</v>
      </c>
      <c r="I15" s="27" t="s">
        <v>3</v>
      </c>
      <c r="J15" s="27" t="s">
        <v>2</v>
      </c>
    </row>
    <row r="16" spans="1:10" ht="12.6">
      <c r="A16" s="11" t="s">
        <v>40</v>
      </c>
      <c r="B16" s="25">
        <f t="shared" si="0" ref="B16:B25">J16</f>
        <v>4631.4666666666662</v>
      </c>
      <c r="C16" s="10">
        <f t="shared" si="1" ref="C16:C24">ROUND(B16/173.3,2)</f>
        <v>26.73</v>
      </c>
      <c r="D16" s="10">
        <f t="shared" si="2" ref="D16:D25">ROUND(C16+(C16*($C$11))+(C16*($C$8+$C$10)),2)</f>
        <v>34.170000000000002</v>
      </c>
      <c r="E16" s="2">
        <f t="shared" si="3" ref="E16:E25">ROUND((($C16*1.5)*1.0765),2)</f>
        <v>43.159999999999997</v>
      </c>
      <c r="F16" s="2">
        <f t="shared" si="4" ref="F16:F25">ROUND((($C16*2)*1.0765),2)</f>
        <v>57.549999999999997</v>
      </c>
      <c r="G16" s="2">
        <f>B67</f>
        <v>6</v>
      </c>
      <c r="H16" s="2" t="s">
        <v>31</v>
      </c>
      <c r="I16" s="9">
        <v>55577.599999999999</v>
      </c>
      <c r="J16" s="9">
        <f t="shared" si="5" ref="J16:J25">I16/12</f>
        <v>4631.4666666666662</v>
      </c>
    </row>
    <row r="17" spans="1:10" s="11" customFormat="1" ht="12.6">
      <c r="A17" s="11" t="s">
        <v>39</v>
      </c>
      <c r="B17" s="25">
        <f t="shared" si="0"/>
        <v>4783.333333333333</v>
      </c>
      <c r="C17" s="10">
        <f t="shared" si="1"/>
        <v>27.600000000000001</v>
      </c>
      <c r="D17" s="10">
        <f t="shared" si="2"/>
        <v>35.280000000000001</v>
      </c>
      <c r="E17" s="2">
        <f t="shared" si="3"/>
        <v>44.57</v>
      </c>
      <c r="F17" s="2">
        <f t="shared" si="4"/>
        <v>59.420000000000002</v>
      </c>
      <c r="G17" s="2"/>
      <c r="I17" s="9">
        <v>57400</v>
      </c>
      <c r="J17" s="9">
        <f t="shared" si="5"/>
        <v>4783.333333333333</v>
      </c>
    </row>
    <row r="18" spans="1:10" s="11" customFormat="1" ht="12.6">
      <c r="A18" s="11" t="s">
        <v>38</v>
      </c>
      <c r="B18" s="25">
        <f t="shared" si="0"/>
        <v>8241.6666666666661</v>
      </c>
      <c r="C18" s="10">
        <f t="shared" si="1"/>
        <v>47.560000000000002</v>
      </c>
      <c r="D18" s="10">
        <f t="shared" si="2"/>
        <v>60.789999999999999</v>
      </c>
      <c r="E18" s="2">
        <f t="shared" si="3"/>
        <v>76.799999999999997</v>
      </c>
      <c r="F18" s="2">
        <f t="shared" si="4"/>
        <v>102.40000000000001</v>
      </c>
      <c r="I18" s="9">
        <v>98900</v>
      </c>
      <c r="J18" s="9">
        <f t="shared" si="5"/>
        <v>8241.6666666666661</v>
      </c>
    </row>
    <row r="19" spans="1:10" s="11" customFormat="1" ht="12.6">
      <c r="A19" s="11" t="s">
        <v>37</v>
      </c>
      <c r="B19" s="25">
        <f t="shared" si="0"/>
        <v>7610.8966666666665</v>
      </c>
      <c r="C19" s="10">
        <f t="shared" si="1"/>
        <v>43.920000000000002</v>
      </c>
      <c r="D19" s="10">
        <f t="shared" si="2"/>
        <v>56.140000000000001</v>
      </c>
      <c r="E19" s="2">
        <f t="shared" si="3"/>
        <v>70.920000000000002</v>
      </c>
      <c r="F19" s="2">
        <f t="shared" si="4"/>
        <v>94.560000000000002</v>
      </c>
      <c r="I19" s="9">
        <v>91330.759999999995</v>
      </c>
      <c r="J19" s="9">
        <f t="shared" si="5"/>
        <v>7610.8966666666665</v>
      </c>
    </row>
    <row r="20" spans="1:10" ht="12.6">
      <c r="A20" s="11" t="s">
        <v>36</v>
      </c>
      <c r="B20" s="25">
        <f t="shared" si="0"/>
        <v>6269.9191666666666</v>
      </c>
      <c r="C20" s="10">
        <f t="shared" si="1"/>
        <v>36.18</v>
      </c>
      <c r="D20" s="10">
        <f t="shared" si="2"/>
        <v>46.25</v>
      </c>
      <c r="E20" s="2">
        <f t="shared" si="3"/>
        <v>58.420000000000002</v>
      </c>
      <c r="F20" s="2">
        <f t="shared" si="4"/>
        <v>77.900000000000006</v>
      </c>
      <c r="G20" s="2">
        <f>G16</f>
        <v>6</v>
      </c>
      <c r="H20" s="2" t="s">
        <v>31</v>
      </c>
      <c r="I20" s="9">
        <v>75239.029999999999</v>
      </c>
      <c r="J20" s="9">
        <f t="shared" si="5"/>
        <v>6269.9191666666666</v>
      </c>
    </row>
    <row r="21" spans="1:10" ht="12.6">
      <c r="A21" s="11" t="s">
        <v>35</v>
      </c>
      <c r="B21" s="25">
        <f t="shared" si="0"/>
        <v>6902.2150000000001</v>
      </c>
      <c r="C21" s="10">
        <f t="shared" si="1"/>
        <v>39.829999999999998</v>
      </c>
      <c r="D21" s="10">
        <f t="shared" si="2"/>
        <v>50.909999999999997</v>
      </c>
      <c r="E21" s="2">
        <f t="shared" si="3"/>
        <v>64.319999999999993</v>
      </c>
      <c r="F21" s="2">
        <f t="shared" si="4"/>
        <v>85.75</v>
      </c>
      <c r="G21" s="2">
        <f>G16</f>
        <v>6</v>
      </c>
      <c r="H21" s="2" t="s">
        <v>31</v>
      </c>
      <c r="I21" s="9">
        <v>82826.580000000002</v>
      </c>
      <c r="J21" s="9">
        <f t="shared" si="5"/>
        <v>6902.2150000000001</v>
      </c>
    </row>
    <row r="22" spans="1:10" ht="12.6">
      <c r="A22" s="11" t="s">
        <v>34</v>
      </c>
      <c r="B22" s="25">
        <f t="shared" si="0"/>
        <v>8400.2058333333334</v>
      </c>
      <c r="C22" s="10">
        <f t="shared" si="1"/>
        <v>48.469999999999999</v>
      </c>
      <c r="D22" s="10">
        <f t="shared" si="2"/>
        <v>61.950000000000003</v>
      </c>
      <c r="E22" s="2">
        <f t="shared" si="3"/>
        <v>78.269999999999996</v>
      </c>
      <c r="F22" s="2">
        <f t="shared" si="4"/>
        <v>104.36</v>
      </c>
      <c r="G22" s="2">
        <f>B68</f>
        <v>11</v>
      </c>
      <c r="H22" s="2" t="s">
        <v>33</v>
      </c>
      <c r="I22" s="9">
        <v>100802.47</v>
      </c>
      <c r="J22" s="9">
        <f t="shared" si="5"/>
        <v>8400.2058333333334</v>
      </c>
    </row>
    <row r="23" spans="1:10" ht="12.6">
      <c r="A23" s="11" t="s">
        <v>32</v>
      </c>
      <c r="B23" s="25">
        <f t="shared" si="0"/>
        <v>4718.8833333333332</v>
      </c>
      <c r="C23" s="10">
        <f t="shared" si="1"/>
        <v>27.23</v>
      </c>
      <c r="D23" s="10">
        <f t="shared" si="2"/>
        <v>34.810000000000002</v>
      </c>
      <c r="E23" s="2">
        <f t="shared" si="3"/>
        <v>43.969999999999999</v>
      </c>
      <c r="F23" s="2">
        <f t="shared" si="4"/>
        <v>58.630000000000003</v>
      </c>
      <c r="G23" s="2">
        <f>G16</f>
        <v>6</v>
      </c>
      <c r="H23" s="2" t="s">
        <v>31</v>
      </c>
      <c r="I23" s="9">
        <v>56626.599999999999</v>
      </c>
      <c r="J23" s="9">
        <f t="shared" si="5"/>
        <v>4718.8833333333332</v>
      </c>
    </row>
    <row r="24" spans="1:10" ht="12.6">
      <c r="A24" s="11" t="s">
        <v>30</v>
      </c>
      <c r="B24" s="25">
        <f t="shared" si="0"/>
        <v>6566.666666666667</v>
      </c>
      <c r="C24" s="10">
        <f t="shared" si="1"/>
        <v>37.890000000000001</v>
      </c>
      <c r="D24" s="10">
        <f t="shared" si="2"/>
        <v>48.43</v>
      </c>
      <c r="E24" s="2">
        <f t="shared" si="3"/>
        <v>61.18</v>
      </c>
      <c r="F24" s="2">
        <f t="shared" si="4"/>
        <v>81.579999999999998</v>
      </c>
      <c r="G24" s="2"/>
      <c r="H24" s="2"/>
      <c r="I24" s="9">
        <v>78800</v>
      </c>
      <c r="J24" s="9">
        <f t="shared" si="5"/>
        <v>6566.666666666667</v>
      </c>
    </row>
    <row r="25" spans="1:10" ht="12.6">
      <c r="A25" s="11" t="s">
        <v>29</v>
      </c>
      <c r="B25" s="25">
        <f t="shared" si="0"/>
        <v>5714.0074999999997</v>
      </c>
      <c r="C25" s="10">
        <f>ROUND(B25/173.3,2)</f>
        <v>32.969999999999999</v>
      </c>
      <c r="D25" s="10">
        <f t="shared" si="2"/>
        <v>42.140000000000001</v>
      </c>
      <c r="E25" s="2">
        <f t="shared" si="3"/>
        <v>53.240000000000002</v>
      </c>
      <c r="F25" s="2">
        <f t="shared" si="4"/>
        <v>70.980000000000004</v>
      </c>
      <c r="G25" s="2">
        <f>B64</f>
        <v>26</v>
      </c>
      <c r="H25" s="2" t="s">
        <v>28</v>
      </c>
      <c r="I25" s="9">
        <v>68568.089999999997</v>
      </c>
      <c r="J25" s="9">
        <f t="shared" si="5"/>
        <v>5714.0074999999997</v>
      </c>
    </row>
    <row r="27" spans="1:7" ht="12.6">
      <c r="A27" s="14" t="s">
        <v>27</v>
      </c>
      <c r="B27" s="38">
        <f t="shared" si="6" ref="B27:G27">AVERAGE(B20,B23,B25)</f>
        <v>5567.6033333333326</v>
      </c>
      <c r="C27" s="13">
        <f t="shared" si="6"/>
        <v>32.126666666666665</v>
      </c>
      <c r="D27" s="13">
        <f t="shared" si="6"/>
        <v>41.06666666666667</v>
      </c>
      <c r="E27" s="13">
        <f t="shared" si="6"/>
        <v>51.876666666666665</v>
      </c>
      <c r="F27" s="13">
        <f t="shared" si="6"/>
        <v>69.170000000000002</v>
      </c>
      <c r="G27" s="13">
        <f t="shared" si="6"/>
        <v>12.666666666666666</v>
      </c>
    </row>
    <row r="28" spans="2:7" ht="12.6">
      <c r="B28" s="38"/>
      <c r="C28" s="13"/>
      <c r="D28" s="13"/>
      <c r="E28" s="13"/>
      <c r="F28" s="13"/>
      <c r="G28" s="13"/>
    </row>
    <row r="29" spans="1:1" ht="12.6">
      <c r="A29" s="14" t="s">
        <v>52</v>
      </c>
    </row>
    <row r="30" spans="1:1" ht="12.6">
      <c r="A30" s="14" t="s">
        <v>51</v>
      </c>
    </row>
    <row r="33" spans="1:1" ht="12.95">
      <c r="A33" s="31" t="s">
        <v>26</v>
      </c>
    </row>
    <row r="34" spans="1:10" ht="65.1">
      <c r="A34" s="12" t="s">
        <v>11</v>
      </c>
      <c r="B34" s="12" t="s">
        <v>10</v>
      </c>
      <c r="C34" s="12" t="s">
        <v>9</v>
      </c>
      <c r="D34" s="12" t="s">
        <v>8</v>
      </c>
      <c r="E34" s="12" t="s">
        <v>7</v>
      </c>
      <c r="F34" s="12" t="s">
        <v>6</v>
      </c>
      <c r="G34" s="12" t="s">
        <v>5</v>
      </c>
      <c r="H34" s="12" t="s">
        <v>4</v>
      </c>
      <c r="I34" s="27" t="s">
        <v>3</v>
      </c>
      <c r="J34" s="27" t="s">
        <v>2</v>
      </c>
    </row>
    <row r="35" spans="1:10" ht="12.6">
      <c r="A35" s="11" t="s">
        <v>25</v>
      </c>
      <c r="B35" s="19">
        <f t="shared" si="7" ref="B35:B41">J35</f>
        <v>7784</v>
      </c>
      <c r="C35" s="17">
        <f t="shared" si="8" ref="C35:C41">ROUND(B35/173.3,2)</f>
        <v>44.920000000000002</v>
      </c>
      <c r="D35" s="17">
        <f t="shared" si="9" ref="D35:D41">ROUND(C35+(C35*($C$12+$C$11))+(C35*($C$8+$C$10)),2)</f>
        <v>65.280000000000001</v>
      </c>
      <c r="E35" s="15">
        <f t="shared" si="10" ref="E35:E41">ROUND((($C35*1.5)*1.0765),2)</f>
        <v>72.530000000000001</v>
      </c>
      <c r="F35" s="15">
        <f t="shared" si="11" ref="F35:F41">ROUND((($C35*2)*1.0765),2)</f>
        <v>96.709999999999994</v>
      </c>
      <c r="G35" s="2">
        <f>B64</f>
        <v>26</v>
      </c>
      <c r="H35" s="2" t="s">
        <v>23</v>
      </c>
      <c r="I35" s="26">
        <f t="shared" si="12" ref="I35:I41">12*J35</f>
        <v>93408</v>
      </c>
      <c r="J35" s="26">
        <v>7784</v>
      </c>
    </row>
    <row r="36" spans="1:10" ht="12.6">
      <c r="A36" s="11" t="s">
        <v>24</v>
      </c>
      <c r="B36" s="19">
        <f t="shared" si="7"/>
        <v>8545</v>
      </c>
      <c r="C36" s="17">
        <f t="shared" si="8"/>
        <v>49.310000000000002</v>
      </c>
      <c r="D36" s="17">
        <f t="shared" si="9"/>
        <v>71.659999999999997</v>
      </c>
      <c r="E36" s="15">
        <f t="shared" si="10"/>
        <v>79.620000000000005</v>
      </c>
      <c r="F36" s="15">
        <f t="shared" si="11"/>
        <v>106.16</v>
      </c>
      <c r="G36" s="2">
        <f>G35</f>
        <v>26</v>
      </c>
      <c r="H36" s="2" t="s">
        <v>23</v>
      </c>
      <c r="I36" s="26">
        <f t="shared" si="12"/>
        <v>102540</v>
      </c>
      <c r="J36" s="26">
        <v>8545</v>
      </c>
    </row>
    <row r="37" spans="1:10" ht="12.6">
      <c r="A37" s="11" t="s">
        <v>22</v>
      </c>
      <c r="B37" s="19">
        <f t="shared" si="7"/>
        <v>8192</v>
      </c>
      <c r="C37" s="17">
        <f t="shared" si="8"/>
        <v>47.270000000000003</v>
      </c>
      <c r="D37" s="17">
        <f t="shared" si="9"/>
        <v>68.689999999999998</v>
      </c>
      <c r="E37" s="15">
        <f t="shared" si="10"/>
        <v>76.329999999999998</v>
      </c>
      <c r="F37" s="15">
        <f t="shared" si="11"/>
        <v>101.77</v>
      </c>
      <c r="G37" s="2"/>
      <c r="H37" s="2"/>
      <c r="I37" s="26">
        <f t="shared" si="12"/>
        <v>98304</v>
      </c>
      <c r="J37" s="26">
        <v>8192</v>
      </c>
    </row>
    <row r="38" spans="1:10" ht="12.6">
      <c r="A38" s="11" t="s">
        <v>21</v>
      </c>
      <c r="B38" s="19">
        <f t="shared" si="7"/>
        <v>4202</v>
      </c>
      <c r="C38" s="17">
        <f t="shared" si="8"/>
        <v>24.25</v>
      </c>
      <c r="D38" s="17">
        <f t="shared" si="9"/>
        <v>35.240000000000002</v>
      </c>
      <c r="E38" s="15">
        <f t="shared" si="10"/>
        <v>39.159999999999997</v>
      </c>
      <c r="F38" s="15">
        <f t="shared" si="11"/>
        <v>52.210000000000001</v>
      </c>
      <c r="G38" s="2"/>
      <c r="H38" s="2"/>
      <c r="I38" s="26">
        <f t="shared" si="12"/>
        <v>50424</v>
      </c>
      <c r="J38" s="9">
        <v>4202</v>
      </c>
    </row>
    <row r="39" spans="1:10" ht="12.6">
      <c r="A39" s="11" t="s">
        <v>20</v>
      </c>
      <c r="B39" s="19">
        <f t="shared" si="7"/>
        <v>8328</v>
      </c>
      <c r="C39" s="17">
        <f t="shared" si="8"/>
        <v>48.060000000000002</v>
      </c>
      <c r="D39" s="17">
        <f t="shared" si="9"/>
        <v>69.840000000000003</v>
      </c>
      <c r="E39" s="15">
        <f t="shared" si="10"/>
        <v>77.599999999999994</v>
      </c>
      <c r="F39" s="15">
        <f t="shared" si="11"/>
        <v>103.47</v>
      </c>
      <c r="G39" s="2">
        <f>B67</f>
        <v>6</v>
      </c>
      <c r="H39" s="2" t="s">
        <v>16</v>
      </c>
      <c r="I39" s="26">
        <f t="shared" si="12"/>
        <v>99936</v>
      </c>
      <c r="J39" s="26">
        <v>8328</v>
      </c>
    </row>
    <row r="40" spans="1:10" ht="12.6">
      <c r="A40" s="11" t="s">
        <v>19</v>
      </c>
      <c r="B40" s="19">
        <f t="shared" si="7"/>
        <v>23671</v>
      </c>
      <c r="C40" s="17">
        <f t="shared" si="8"/>
        <v>136.59</v>
      </c>
      <c r="D40" s="17">
        <f t="shared" si="9"/>
        <v>198.49000000000001</v>
      </c>
      <c r="E40" s="15">
        <f t="shared" si="10"/>
        <v>220.56</v>
      </c>
      <c r="F40" s="15">
        <f t="shared" si="11"/>
        <v>294.07999999999998</v>
      </c>
      <c r="G40" s="2">
        <f>B65+B66+B68</f>
        <v>54</v>
      </c>
      <c r="H40" s="2" t="s">
        <v>18</v>
      </c>
      <c r="I40" s="26">
        <f t="shared" si="12"/>
        <v>284052</v>
      </c>
      <c r="J40" s="26">
        <v>23671</v>
      </c>
    </row>
    <row r="41" spans="1:10" ht="12.6">
      <c r="A41" s="11" t="s">
        <v>17</v>
      </c>
      <c r="B41" s="19">
        <f t="shared" si="7"/>
        <v>6220</v>
      </c>
      <c r="C41" s="17">
        <f t="shared" si="8"/>
        <v>35.890000000000001</v>
      </c>
      <c r="D41" s="17">
        <f t="shared" si="9"/>
        <v>52.159999999999997</v>
      </c>
      <c r="E41" s="15">
        <f t="shared" si="10"/>
        <v>57.950000000000003</v>
      </c>
      <c r="F41" s="15">
        <f t="shared" si="11"/>
        <v>77.269999999999996</v>
      </c>
      <c r="G41" s="2">
        <f>G39</f>
        <v>6</v>
      </c>
      <c r="H41" s="2" t="s">
        <v>16</v>
      </c>
      <c r="I41" s="26">
        <f t="shared" si="12"/>
        <v>74640</v>
      </c>
      <c r="J41" s="39">
        <v>6220</v>
      </c>
    </row>
    <row r="45" spans="1:10" ht="12.95">
      <c r="A45" s="31" t="s">
        <v>65</v>
      </c>
      <c r="B45" s="11"/>
      <c r="C45" s="25"/>
      <c r="D45" s="11"/>
      <c r="E45" s="11"/>
      <c r="F45" s="11"/>
      <c r="G45" s="11"/>
      <c r="H45" s="11"/>
      <c r="I45" s="9"/>
      <c r="J45" s="9"/>
    </row>
    <row r="46" spans="1:10" ht="65.1">
      <c r="A46" s="12" t="s">
        <v>11</v>
      </c>
      <c r="B46" s="12" t="s">
        <v>10</v>
      </c>
      <c r="C46" s="12" t="s">
        <v>9</v>
      </c>
      <c r="D46" s="12" t="s">
        <v>8</v>
      </c>
      <c r="E46" s="12" t="s">
        <v>7</v>
      </c>
      <c r="F46" s="12" t="s">
        <v>6</v>
      </c>
      <c r="G46" s="12" t="s">
        <v>5</v>
      </c>
      <c r="H46" s="12" t="s">
        <v>4</v>
      </c>
      <c r="I46" s="27" t="s">
        <v>3</v>
      </c>
      <c r="J46" s="27" t="s">
        <v>2</v>
      </c>
    </row>
    <row r="47" spans="1:10" ht="12.6">
      <c r="A47" s="11" t="s">
        <v>1</v>
      </c>
      <c r="B47" s="25">
        <f>J47</f>
        <v>5908.333333333333</v>
      </c>
      <c r="C47" s="10">
        <f>ROUND(B47/173.3,2)</f>
        <v>34.090000000000003</v>
      </c>
      <c r="D47" s="17">
        <f>ROUND(C47+(C47*($C$11))+(C47*($C$8+$C$10)),2)</f>
        <v>43.57</v>
      </c>
      <c r="E47" s="2">
        <f>ROUND((($C47*1.5)*1.0765),2)</f>
        <v>55.049999999999997</v>
      </c>
      <c r="F47" s="2">
        <f>ROUND((($C47*2)*1.0765),2)</f>
        <v>73.400000000000006</v>
      </c>
      <c r="G47" s="2"/>
      <c r="H47" s="2"/>
      <c r="I47" s="9">
        <v>70900</v>
      </c>
      <c r="J47" s="9">
        <f>I47/12</f>
        <v>5908.333333333333</v>
      </c>
    </row>
    <row r="48" spans="1:10" s="11" customFormat="1" ht="12.6">
      <c r="A48" s="11" t="s">
        <v>64</v>
      </c>
      <c r="B48" s="25">
        <f>J48</f>
        <v>5908.333333333333</v>
      </c>
      <c r="C48" s="10">
        <f>ROUND(B48/173.3,2)</f>
        <v>34.090000000000003</v>
      </c>
      <c r="D48" s="17">
        <f>ROUND(C48+(C48*($C$11))+(C48*($C$8+$C$10)),2)</f>
        <v>43.57</v>
      </c>
      <c r="E48" s="2">
        <f>ROUND((($C48*1.5)*1.0765),2)</f>
        <v>55.049999999999997</v>
      </c>
      <c r="F48" s="2">
        <f>ROUND((($C48*2)*1.0765),2)</f>
        <v>73.400000000000006</v>
      </c>
      <c r="G48" s="2"/>
      <c r="I48" s="9">
        <v>70900</v>
      </c>
      <c r="J48" s="9">
        <f>I48/12</f>
        <v>5908.333333333333</v>
      </c>
    </row>
    <row r="49" spans="1:10" ht="12.6">
      <c r="A49" s="20" t="s">
        <v>53</v>
      </c>
      <c r="B49" s="25">
        <f>J49</f>
        <v>7341.666666666667</v>
      </c>
      <c r="C49" s="10">
        <f>ROUND(B49/173.3,2)</f>
        <v>42.359999999999999</v>
      </c>
      <c r="D49" s="17">
        <f>ROUND(C49+(C49*($C$11))+(C49*($C$8+$C$10)),2)</f>
        <v>54.140000000000001</v>
      </c>
      <c r="E49" s="2">
        <f>ROUND((($C49*1.5)*1.0765),2)</f>
        <v>68.400000000000006</v>
      </c>
      <c r="F49" s="2">
        <f>ROUND((($C49*2)*1.0765),2)</f>
        <v>91.200000000000003</v>
      </c>
      <c r="I49" s="26">
        <v>88100</v>
      </c>
      <c r="J49" s="9">
        <f>I49/12</f>
        <v>7341.666666666667</v>
      </c>
    </row>
    <row r="53" spans="1:1" ht="12.95">
      <c r="A53" s="24" t="s">
        <v>66</v>
      </c>
    </row>
    <row r="54" spans="1:10" ht="65.1">
      <c r="A54" s="12" t="s">
        <v>11</v>
      </c>
      <c r="B54" s="12" t="s">
        <v>10</v>
      </c>
      <c r="C54" s="12" t="s">
        <v>9</v>
      </c>
      <c r="D54" s="12" t="s">
        <v>8</v>
      </c>
      <c r="E54" s="12" t="s">
        <v>7</v>
      </c>
      <c r="F54" s="12" t="s">
        <v>6</v>
      </c>
      <c r="G54" s="12" t="s">
        <v>5</v>
      </c>
      <c r="H54" s="12" t="s">
        <v>4</v>
      </c>
      <c r="I54" s="27" t="s">
        <v>3</v>
      </c>
      <c r="J54" s="27" t="s">
        <v>2</v>
      </c>
    </row>
    <row r="55" spans="1:10" s="20" customFormat="1" ht="12.6">
      <c r="A55" s="16" t="s">
        <v>54</v>
      </c>
      <c r="B55" s="19">
        <f>J55</f>
        <v>10316.666666666666</v>
      </c>
      <c r="C55" s="17">
        <f t="shared" si="13" ref="C55:C59">ROUND(B55/173.3,2)</f>
        <v>59.530000000000001</v>
      </c>
      <c r="D55" s="17">
        <f t="shared" si="14" ref="D55:D60">ROUND(C55+(C55*($C$11))+(C55*($C$8+$C$10)),2)</f>
        <v>76.090000000000003</v>
      </c>
      <c r="E55" s="15">
        <f t="shared" si="15" ref="E55:E59">ROUND((($C55*1.5)*1.0765),2)</f>
        <v>96.129999999999995</v>
      </c>
      <c r="F55" s="15">
        <f t="shared" si="16" ref="F55:F59">ROUND((($C55*2)*1.0765),2)</f>
        <v>128.16999999999999</v>
      </c>
      <c r="G55" s="15"/>
      <c r="I55" s="18">
        <v>123800</v>
      </c>
      <c r="J55" s="18">
        <f t="shared" si="17" ref="J55:J59">I55/12</f>
        <v>10316.666666666666</v>
      </c>
    </row>
    <row r="56" spans="1:10" s="20" customFormat="1" ht="12.6">
      <c r="A56" s="16" t="s">
        <v>55</v>
      </c>
      <c r="B56" s="19">
        <f t="shared" si="18" ref="B56:B59">J56</f>
        <v>10316.666666666666</v>
      </c>
      <c r="C56" s="17">
        <f t="shared" si="13"/>
        <v>59.530000000000001</v>
      </c>
      <c r="D56" s="17">
        <f t="shared" si="14"/>
        <v>76.090000000000003</v>
      </c>
      <c r="E56" s="15">
        <f t="shared" si="15"/>
        <v>96.129999999999995</v>
      </c>
      <c r="F56" s="15">
        <f t="shared" si="16"/>
        <v>128.16999999999999</v>
      </c>
      <c r="G56" s="15"/>
      <c r="I56" s="18">
        <v>123800</v>
      </c>
      <c r="J56" s="18">
        <f t="shared" si="17"/>
        <v>10316.666666666666</v>
      </c>
    </row>
    <row r="57" spans="1:10" s="20" customFormat="1" ht="12.6">
      <c r="A57" s="33" t="s">
        <v>56</v>
      </c>
      <c r="B57" s="19">
        <f t="shared" si="18"/>
        <v>10316.666666666666</v>
      </c>
      <c r="C57" s="17">
        <f t="shared" si="13"/>
        <v>59.530000000000001</v>
      </c>
      <c r="D57" s="17">
        <f t="shared" si="14"/>
        <v>76.090000000000003</v>
      </c>
      <c r="E57" s="15">
        <f t="shared" si="15"/>
        <v>96.129999999999995</v>
      </c>
      <c r="F57" s="15">
        <f t="shared" si="16"/>
        <v>128.16999999999999</v>
      </c>
      <c r="G57" s="21"/>
      <c r="I57" s="18">
        <v>123800</v>
      </c>
      <c r="J57" s="18">
        <f t="shared" si="17"/>
        <v>10316.666666666666</v>
      </c>
    </row>
    <row r="58" spans="1:10" s="20" customFormat="1" ht="12.6">
      <c r="A58" s="33" t="s">
        <v>57</v>
      </c>
      <c r="B58" s="19">
        <f t="shared" si="18"/>
        <v>10316.666666666666</v>
      </c>
      <c r="C58" s="17">
        <f t="shared" si="13"/>
        <v>59.530000000000001</v>
      </c>
      <c r="D58" s="17">
        <f t="shared" si="14"/>
        <v>76.090000000000003</v>
      </c>
      <c r="E58" s="15">
        <f t="shared" si="15"/>
        <v>96.129999999999995</v>
      </c>
      <c r="F58" s="15">
        <f t="shared" si="16"/>
        <v>128.16999999999999</v>
      </c>
      <c r="G58" s="22"/>
      <c r="I58" s="18">
        <v>123800</v>
      </c>
      <c r="J58" s="18">
        <f t="shared" si="17"/>
        <v>10316.666666666666</v>
      </c>
    </row>
    <row r="59" spans="1:10" s="20" customFormat="1" ht="12.6">
      <c r="A59" s="16" t="s">
        <v>58</v>
      </c>
      <c r="B59" s="19">
        <f t="shared" si="18"/>
        <v>9225</v>
      </c>
      <c r="C59" s="17">
        <f t="shared" si="13"/>
        <v>53.229999999999997</v>
      </c>
      <c r="D59" s="17">
        <f t="shared" si="14"/>
        <v>68.040000000000006</v>
      </c>
      <c r="E59" s="15">
        <f t="shared" si="15"/>
        <v>85.950000000000003</v>
      </c>
      <c r="F59" s="15">
        <f t="shared" si="16"/>
        <v>114.59999999999999</v>
      </c>
      <c r="I59" s="18">
        <v>110700</v>
      </c>
      <c r="J59" s="18">
        <f t="shared" si="17"/>
        <v>9225</v>
      </c>
    </row>
    <row r="60" spans="1:10" s="20" customFormat="1" ht="12.6">
      <c r="A60" s="16" t="s">
        <v>59</v>
      </c>
      <c r="B60" s="19">
        <f>J60</f>
        <v>10316.666666666666</v>
      </c>
      <c r="C60" s="17">
        <f t="shared" si="19" ref="C60">ROUND(B60/173.3,2)</f>
        <v>59.530000000000001</v>
      </c>
      <c r="D60" s="17">
        <f t="shared" si="14"/>
        <v>76.090000000000003</v>
      </c>
      <c r="E60" s="15">
        <f t="shared" si="20" ref="E60">ROUND((($C60*1.5)*1.0765),2)</f>
        <v>96.129999999999995</v>
      </c>
      <c r="F60" s="15">
        <f t="shared" si="21" ref="F60">ROUND((($C60*2)*1.0765),2)</f>
        <v>128.16999999999999</v>
      </c>
      <c r="G60" s="23"/>
      <c r="I60" s="18">
        <v>123800</v>
      </c>
      <c r="J60" s="18">
        <f>I60/12</f>
        <v>10316.666666666666</v>
      </c>
    </row>
    <row r="63" spans="1:1" ht="12.95">
      <c r="A63" s="36" t="s">
        <v>67</v>
      </c>
    </row>
    <row r="64" spans="1:2" ht="12.6">
      <c r="A64" s="14" t="s">
        <v>28</v>
      </c>
      <c r="B64" s="13">
        <v>26</v>
      </c>
    </row>
    <row r="65" spans="1:2" ht="12.6">
      <c r="A65" s="14" t="s">
        <v>62</v>
      </c>
      <c r="B65" s="35">
        <v>41</v>
      </c>
    </row>
    <row r="66" spans="1:2" ht="12.6">
      <c r="A66" s="14" t="s">
        <v>63</v>
      </c>
      <c r="B66" s="35">
        <v>2</v>
      </c>
    </row>
    <row r="67" spans="1:2" ht="12.6">
      <c r="A67" s="14" t="s">
        <v>60</v>
      </c>
      <c r="B67" s="35">
        <v>6</v>
      </c>
    </row>
    <row r="68" spans="1:2" ht="12.6">
      <c r="A68" s="14" t="s">
        <v>61</v>
      </c>
      <c r="B68" s="35">
        <v>11</v>
      </c>
    </row>
  </sheetData>
  <pageMargins left="0.7" right="0.7" top="0.75" bottom="0.75" header="0.3" footer="0.3"/>
  <pageSetup orientation="portrait" scale="61" r:id="rId1"/>
  <headerFooter>
    <oddHeader>&amp;C2022 RATE CASE 
ONCOR ELECTRIC DELIVERY COMPANY LLC
PROPOSED CHARGES FOR DISCRETIONARY SERVICES AND OTHER SERVICES
FOR THE TEST YEAR ENDING DECEMBER 31, 2021
SPONSOR:  MATTHEW A. TROXLE&amp;RWP IV-J-2/2
PAGE &amp;P of &amp;N</oddHeader>
  </headerFooter>
  <rowBreaks count="2" manualBreakCount="2">
    <brk id="30" max="16383" man="1"/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7:I58"/>
  <sheetViews>
    <sheetView tabSelected="1" view="pageBreakPreview" zoomScale="90" zoomScaleNormal="100" zoomScaleSheetLayoutView="90" workbookViewId="0" topLeftCell="A1">
      <selection pane="topLeft" activeCell="A7" sqref="A7"/>
    </sheetView>
  </sheetViews>
  <sheetFormatPr defaultRowHeight="15"/>
  <cols>
    <col min="1" max="1" width="30.4285714285714" customWidth="1"/>
    <col min="2" max="2" width="13.2857142857143" customWidth="1"/>
    <col min="3" max="3" width="11.1428571428571" bestFit="1" customWidth="1"/>
    <col min="5" max="5" width="13.2857142857143" bestFit="1" customWidth="1"/>
    <col min="8" max="8" width="29.5714285714286" customWidth="1"/>
    <col min="9" max="9" width="8.14285714285714" customWidth="1"/>
    <col min="10" max="10" width="7.57142857142857" customWidth="1"/>
  </cols>
  <sheetData>
    <row r="7" spans="1:5" ht="15">
      <c r="A7" s="8" t="s">
        <v>49</v>
      </c>
      <c r="C7" s="1"/>
      <c r="D7" s="4"/>
      <c r="E7" s="1"/>
    </row>
    <row r="8" spans="1:5" ht="15">
      <c r="A8" s="8"/>
      <c r="C8" s="1"/>
      <c r="D8" s="4"/>
      <c r="E8" s="1"/>
    </row>
    <row r="9" spans="1:5" ht="15">
      <c r="A9" s="8" t="s">
        <v>48</v>
      </c>
      <c r="C9" s="1"/>
      <c r="D9" s="4"/>
      <c r="E9" s="1"/>
    </row>
    <row r="10" spans="3:5" ht="15">
      <c r="C10" s="6" t="s">
        <v>47</v>
      </c>
      <c r="D10" s="7" t="s">
        <v>46</v>
      </c>
      <c r="E10" s="6" t="s">
        <v>45</v>
      </c>
    </row>
    <row r="11" spans="1:5" ht="15">
      <c r="A11" t="s">
        <v>22</v>
      </c>
      <c r="C11" s="1">
        <f>'Labor and Transportation'!D37</f>
        <v>68.689999999999998</v>
      </c>
      <c r="D11" s="4">
        <f>ROUND(C17*0.03,0)</f>
        <v>1321</v>
      </c>
      <c r="E11" s="1">
        <f>C11*D11</f>
        <v>90739.489999999991</v>
      </c>
    </row>
    <row r="12" spans="1:5" ht="15">
      <c r="A12" t="s">
        <v>30</v>
      </c>
      <c r="C12" s="1">
        <f>'Labor and Transportation'!D24</f>
        <v>48.43</v>
      </c>
      <c r="D12" s="4">
        <v>2080</v>
      </c>
      <c r="E12" s="1">
        <f>C12*D12</f>
        <v>100734.39999999999</v>
      </c>
    </row>
    <row r="13" spans="3:5" ht="15">
      <c r="C13" s="1"/>
      <c r="D13" s="4"/>
      <c r="E13" s="1"/>
    </row>
    <row r="14" spans="3:5" ht="15">
      <c r="C14" s="1"/>
      <c r="D14" s="4"/>
      <c r="E14" s="1"/>
    </row>
    <row r="15" spans="3:5" ht="15">
      <c r="C15" s="28"/>
      <c r="D15" s="4"/>
      <c r="E15" s="1"/>
    </row>
    <row r="16" spans="1:5" ht="15">
      <c r="A16" t="s">
        <v>44</v>
      </c>
      <c r="C16" s="29">
        <v>3589583</v>
      </c>
      <c r="D16" s="4"/>
      <c r="E16" s="1"/>
    </row>
    <row r="17" spans="1:5" ht="15">
      <c r="A17" s="3" t="s">
        <v>50</v>
      </c>
      <c r="C17" s="30">
        <v>44037</v>
      </c>
      <c r="D17" s="4"/>
      <c r="E17" s="1"/>
    </row>
    <row r="18" spans="3:5" ht="15">
      <c r="C18" s="1"/>
      <c r="D18" s="4"/>
      <c r="E18" s="1"/>
    </row>
    <row r="19" spans="3:5" ht="15">
      <c r="C19" s="1"/>
      <c r="D19" s="4"/>
      <c r="E19" s="1"/>
    </row>
    <row r="20" spans="3:5" ht="15">
      <c r="C20" s="1"/>
      <c r="D20" s="4"/>
      <c r="E20" s="1"/>
    </row>
    <row r="21" spans="1:5" ht="15">
      <c r="A21" t="s">
        <v>43</v>
      </c>
      <c r="C21" s="1"/>
      <c r="D21" s="4"/>
      <c r="E21" s="1">
        <f>SUM(E11:E14)</f>
        <v>191473.88999999999</v>
      </c>
    </row>
    <row r="22" spans="1:5" ht="15">
      <c r="A22" t="s">
        <v>42</v>
      </c>
      <c r="C22" s="1"/>
      <c r="D22" s="4"/>
      <c r="E22" s="5">
        <f>ROUND(E21/C16,2)</f>
        <v>0.050000000000000003</v>
      </c>
    </row>
    <row r="23" spans="3:5" ht="15">
      <c r="C23" s="1"/>
      <c r="D23" s="4"/>
      <c r="E23" s="1"/>
    </row>
    <row r="33" spans="1:1" ht="15">
      <c r="A33" s="3"/>
    </row>
    <row r="36" spans="9:9" ht="15">
      <c r="I36" s="32"/>
    </row>
    <row r="57" spans="1:1" ht="15">
      <c r="A57" s="34"/>
    </row>
    <row r="58" spans="1:1" ht="15">
      <c r="A58" s="34"/>
    </row>
  </sheetData>
  <pageMargins left="0.7" right="0.7" top="0.75" bottom="0.75" header="0.3" footer="0.3"/>
  <pageSetup orientation="portrait" r:id="rId1"/>
  <headerFooter>
    <oddHeader>&amp;C2022 RATE CASE 
ONCOR ELECTRIC DELIVERY COMPANY LLC
PROPOSED CHARGES FOR DISCRETIONARY SERVICES AND OTHER SERVICES
FOR THE TEST YEAR ENDING DECEMBER 31, 2021
SPONSOR:  MATTHEW A. TROXLE&amp;RWP IV-J-2/2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 and Transportation</vt:lpstr>
      <vt:lpstr>Meter Non-Comm Cost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729df8ef-744e-469b-9ac4-699156d352cb</vt:lpwstr>
  </property>
</Properties>
</file>