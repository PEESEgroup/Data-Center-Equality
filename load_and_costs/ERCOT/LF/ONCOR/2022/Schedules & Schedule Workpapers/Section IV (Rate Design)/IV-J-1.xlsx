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ction IV (Rate Design)\"/>
    </mc:Choice>
  </mc:AlternateContent>
  <bookViews>
    <workbookView xWindow="0" yWindow="105" windowWidth="19140" windowHeight="10320" activeTab="0"/>
  </bookViews>
  <sheets>
    <sheet name="Sheet1" sheetId="1" r:id="rId2"/>
    <sheet name="Sheet2" sheetId="2" r:id="rId3"/>
    <sheet name="Sheet3" sheetId="3" r:id="rId4"/>
  </sheets>
  <externalReferences>
    <externalReference r:id="rId7"/>
    <externalReference r:id="rId8"/>
  </externalReferences>
  <definedNames/>
  <calcPr calcId="152511"/>
</workbook>
</file>

<file path=xl/calcChain.xml><?xml version="1.0" encoding="utf-8"?>
<calcChain xmlns="http://schemas.openxmlformats.org/spreadsheetml/2006/main">
  <c r="O39" i="1" l="1"/>
</calcChain>
</file>

<file path=xl/sharedStrings.xml><?xml version="1.0" encoding="utf-8"?>
<sst xmlns="http://schemas.openxmlformats.org/spreadsheetml/2006/main" count="66" uniqueCount="45">
  <si>
    <t>Test Year</t>
  </si>
  <si>
    <t>Retail Charges</t>
  </si>
  <si>
    <t>Line</t>
  </si>
  <si>
    <t>Description</t>
  </si>
  <si>
    <t>Revenue</t>
  </si>
  <si>
    <t>Paid By</t>
  </si>
  <si>
    <t>Residential</t>
  </si>
  <si>
    <t>Secondary</t>
  </si>
  <si>
    <t>Primary</t>
  </si>
  <si>
    <t>Transmission</t>
  </si>
  <si>
    <t>Lighting</t>
  </si>
  <si>
    <t>No.</t>
  </si>
  <si>
    <t>Requirement</t>
  </si>
  <si>
    <t>Ratepayers</t>
  </si>
  <si>
    <t>&gt; 10 kW</t>
  </si>
  <si>
    <t>Substation</t>
  </si>
  <si>
    <t>≤ 10 kW</t>
  </si>
  <si>
    <t>Transmission (TRAN)</t>
  </si>
  <si>
    <t>N/A</t>
  </si>
  <si>
    <t>Metering (MET)</t>
  </si>
  <si>
    <t>Customer (TBILL + TDCS)</t>
  </si>
  <si>
    <t>Billing (TBILL)</t>
  </si>
  <si>
    <t>T&amp;D Customer Service (TDCS)</t>
  </si>
  <si>
    <t>DIST + MET + TBILL + TDCS</t>
  </si>
  <si>
    <t>Total Pertaining to This Rate Case     (1+11)</t>
  </si>
  <si>
    <t>Energy Efficiency Cost Recovery Factor (EECRF)</t>
  </si>
  <si>
    <t>Transmission Cost Recovery Factor (TCRF)</t>
  </si>
  <si>
    <t>Subtotal</t>
  </si>
  <si>
    <t>Nuclear Decommissioning Charge (NDC)</t>
  </si>
  <si>
    <t>Schedule IV-J-1</t>
  </si>
  <si>
    <t>Page 1 of 1</t>
  </si>
  <si>
    <t>Wholesale</t>
  </si>
  <si>
    <t>ONCOR ELECTRIC DELIVERY COMPANY LLC</t>
  </si>
  <si>
    <t>REVENUE SUMMARY</t>
  </si>
  <si>
    <t>-</t>
  </si>
  <si>
    <t>Rate Case Expense (RCE)</t>
  </si>
  <si>
    <r>
      <t>Distribution (DIST)</t>
    </r>
    <r>
      <rPr>
        <sz val="10"/>
        <rFont val="Arial"/>
        <family val="2"/>
      </rPr>
      <t xml:space="preserve"> (excluding Acct 565 &amp; Acct 928)</t>
    </r>
  </si>
  <si>
    <t>Revenue Charges in This Docket</t>
  </si>
  <si>
    <t>Non-Revenue Charges in This Docket</t>
  </si>
  <si>
    <t>XFMR</t>
  </si>
  <si>
    <t>DLS</t>
  </si>
  <si>
    <t>Total Revenue Charges     (13+20)</t>
  </si>
  <si>
    <t>SPONSOR:  MATTHEW A. TROXLE</t>
  </si>
  <si>
    <t>FOR THE TEST YEAR ENDING DECEMBER 31, 2021</t>
  </si>
  <si>
    <t>2022 RATE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</si>
</sst>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0"/>
      <name val="Arial"/>
      <family val="2"/>
    </font>
    <font>
      <b/>
      <sz val="10"/>
      <name val="Arial"/>
      <family val="2"/>
    </font>
    <font>
      <u val="singleAccounting"/>
      <sz val="10"/>
      <name val="Arial"/>
      <family val="2"/>
    </font>
    <font>
      <u val="single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u val="single"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/>
      <bottom/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 style="medium">
        <color auto="1"/>
      </right>
      <top/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2" xfId="0" applyFont="1" applyFill="1" applyBorder="1" applyAlignment="1" quotePrefix="1">
      <alignment horizontal="center"/>
    </xf>
    <xf numFmtId="0" fontId="2" fillId="0" borderId="3" xfId="0" applyFont="1" applyBorder="1"/>
    <xf numFmtId="0" fontId="2" fillId="3" borderId="3" xfId="0" applyFont="1" applyFill="1" applyBorder="1" applyAlignment="1">
      <alignment horizontal="center"/>
    </xf>
    <xf numFmtId="0" fontId="2" fillId="2" borderId="3" xfId="0" applyFont="1" applyFill="1" applyBorder="1"/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 quotePrefix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4" fillId="0" borderId="0" xfId="0" applyFont="1" applyFill="1" applyBorder="1"/>
    <xf numFmtId="0" fontId="2" fillId="0" borderId="0" xfId="0" applyFont="1" applyFill="1" applyBorder="1"/>
    <xf numFmtId="164" fontId="2" fillId="0" borderId="0" xfId="18" applyNumberFormat="1" applyFont="1" applyFill="1" applyBorder="1"/>
    <xf numFmtId="164" fontId="2" fillId="0" borderId="4" xfId="18" applyNumberFormat="1" applyFont="1" applyFill="1" applyBorder="1"/>
    <xf numFmtId="164" fontId="2" fillId="0" borderId="0" xfId="18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 quotePrefix="1">
      <alignment horizontal="left" indent="1"/>
    </xf>
    <xf numFmtId="0" fontId="2" fillId="0" borderId="0" xfId="0" applyFont="1" applyFill="1" applyBorder="1" applyAlignment="1">
      <alignment horizontal="left" indent="1"/>
    </xf>
    <xf numFmtId="164" fontId="5" fillId="0" borderId="0" xfId="18" applyNumberFormat="1" applyFont="1" applyFill="1" applyBorder="1"/>
    <xf numFmtId="0" fontId="0" fillId="0" borderId="0" xfId="0" applyBorder="1"/>
    <xf numFmtId="0" fontId="0" fillId="0" borderId="4" xfId="0" applyBorder="1"/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centerContinuous"/>
    </xf>
    <xf numFmtId="164" fontId="2" fillId="0" borderId="0" xfId="18" applyNumberFormat="1" applyFont="1" applyFill="1" applyBorder="1" applyAlignment="1" quotePrefix="1">
      <alignment horizontal="left"/>
    </xf>
    <xf numFmtId="164" fontId="0" fillId="0" borderId="0" xfId="0" applyNumberFormat="1"/>
    <xf numFmtId="164" fontId="2" fillId="0" borderId="0" xfId="0" applyNumberFormat="1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6" fillId="0" borderId="0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/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left"/>
    </xf>
    <xf numFmtId="0" fontId="2" fillId="0" borderId="9" xfId="0" applyFont="1" applyFill="1" applyBorder="1" applyAlignment="1" quotePrefix="1">
      <alignment horizontal="left"/>
    </xf>
    <xf numFmtId="164" fontId="2" fillId="0" borderId="9" xfId="18" applyNumberFormat="1" applyFont="1" applyFill="1" applyBorder="1"/>
    <xf numFmtId="0" fontId="3" fillId="2" borderId="9" xfId="0" applyFont="1" applyFill="1" applyBorder="1" applyAlignment="1" quotePrefix="1">
      <alignment horizontal="left"/>
    </xf>
    <xf numFmtId="0" fontId="2" fillId="2" borderId="10" xfId="0" applyFont="1" applyFill="1" applyBorder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 quotePrefix="1">
      <alignment horizontal="center"/>
    </xf>
    <xf numFmtId="0" fontId="7" fillId="0" borderId="0" xfId="0" applyFont="1" applyBorder="1"/>
    <xf numFmtId="164" fontId="1" fillId="0" borderId="4" xfId="18" applyNumberFormat="1" applyFont="1" applyBorder="1"/>
    <xf numFmtId="0" fontId="8" fillId="0" borderId="4" xfId="0" applyFont="1" applyBorder="1"/>
    <xf numFmtId="0" fontId="8" fillId="0" borderId="4" xfId="0" applyFont="1" applyBorder="1" applyAlignment="1">
      <alignment horizontal="right"/>
    </xf>
    <xf numFmtId="164" fontId="2" fillId="0" borderId="10" xfId="18" applyNumberFormat="1" applyFont="1" applyFill="1" applyBorder="1"/>
    <xf numFmtId="0" fontId="9" fillId="0" borderId="4" xfId="0" applyFont="1" applyBorder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externalLink" Target="externalLinks/externalLink2.xml" /><Relationship Id="rId4" Type="http://schemas.openxmlformats.org/officeDocument/2006/relationships/worksheet" Target="worksheets/sheet3.xml" /><Relationship Id="rId9" Type="http://schemas.openxmlformats.org/officeDocument/2006/relationships/calcChain" Target="calcChain.xml" /><Relationship Id="rId6" Type="http://schemas.openxmlformats.org/officeDocument/2006/relationships/sharedStrings" Target="sharedStrings.xml" /><Relationship Id="rId3" Type="http://schemas.openxmlformats.org/officeDocument/2006/relationships/worksheet" Target="worksheets/sheet2.xml" /><Relationship Id="rId7" Type="http://schemas.openxmlformats.org/officeDocument/2006/relationships/externalLink" Target="externalLinks/externalLink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IV-J-7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I%20(Class%20Allocation)/II-I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te Summary"/>
      <sheetName val="RATE DESIGN SUMMARY"/>
      <sheetName val="RATE DESIGN SUMMARY (2)"/>
      <sheetName val="RESIDENTIAL"/>
      <sheetName val="SECONDARY-SMALL"/>
      <sheetName val="SECONDARY-LARGE"/>
      <sheetName val="PRIMARY-SMALL"/>
      <sheetName val="PRIMARY-LARGE-DLS"/>
      <sheetName val="PRIMARY-LARGE-SUB"/>
      <sheetName val="TRANSMISSION"/>
      <sheetName val="LIGHTING"/>
      <sheetName val="WHOLESALE-SUB"/>
      <sheetName val="WHOLESALE-DLS"/>
      <sheetName val="WHOLESALE-NTU"/>
      <sheetName val="TCRF"/>
      <sheetName val="EGY EFF"/>
      <sheetName val="EECRF"/>
      <sheetName val="NDC_kW"/>
      <sheetName val="ALLOWANCE"/>
      <sheetName val="RCE"/>
      <sheetName val="DCRF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G14">
            <v>379094106.264224</v>
          </cell>
        </row>
        <row r="16">
          <cell r="G16">
            <v>10596308.598813</v>
          </cell>
        </row>
        <row r="18">
          <cell r="G18">
            <v>195667289.573854</v>
          </cell>
        </row>
        <row r="19">
          <cell r="G19">
            <v>79920442.2203067</v>
          </cell>
        </row>
        <row r="21">
          <cell r="G21">
            <v>109598.018170527</v>
          </cell>
        </row>
        <row r="23">
          <cell r="G23">
            <v>11085643.1764793</v>
          </cell>
        </row>
        <row r="24">
          <cell r="G24">
            <v>58199626.6765161</v>
          </cell>
        </row>
        <row r="25">
          <cell r="G25">
            <v>22692154.5417446</v>
          </cell>
        </row>
        <row r="26">
          <cell r="G26">
            <v>68895841.6498914</v>
          </cell>
        </row>
        <row r="27">
          <cell r="G27">
            <v>0</v>
          </cell>
        </row>
      </sheetData>
      <sheetData sheetId="15" refreshError="1"/>
      <sheetData sheetId="16">
        <row r="12">
          <cell r="G12">
            <v>51571075</v>
          </cell>
        </row>
        <row r="13">
          <cell r="G13">
            <v>1154847</v>
          </cell>
        </row>
        <row r="14">
          <cell r="G14">
            <v>29641515</v>
          </cell>
        </row>
        <row r="15">
          <cell r="G15">
            <v>3022</v>
          </cell>
        </row>
        <row r="16">
          <cell r="G16">
            <v>753406</v>
          </cell>
        </row>
        <row r="17">
          <cell r="G17">
            <v>267927</v>
          </cell>
        </row>
        <row r="18">
          <cell r="G18">
            <v>18725</v>
          </cell>
        </row>
        <row r="19">
          <cell r="G19">
            <v>0</v>
          </cell>
        </row>
      </sheetData>
      <sheetData sheetId="17">
        <row r="20">
          <cell r="C20">
            <v>9142535</v>
          </cell>
        </row>
        <row r="21">
          <cell r="C21">
            <v>244163</v>
          </cell>
        </row>
        <row r="22">
          <cell r="C22">
            <v>6332036</v>
          </cell>
        </row>
        <row r="23">
          <cell r="C23">
            <v>3618</v>
          </cell>
        </row>
        <row r="24">
          <cell r="C24">
            <v>1678871</v>
          </cell>
        </row>
        <row r="25">
          <cell r="C25">
            <v>608324</v>
          </cell>
        </row>
        <row r="26">
          <cell r="C26">
            <v>2006004</v>
          </cell>
        </row>
        <row r="27">
          <cell r="C27">
            <v>61614</v>
          </cell>
        </row>
      </sheetData>
      <sheetData sheetId="18" refreshError="1"/>
      <sheetData sheetId="19">
        <row r="20">
          <cell r="F20">
            <v>4121759.53940596</v>
          </cell>
        </row>
        <row r="21">
          <cell r="F21">
            <v>169857.681720637</v>
          </cell>
        </row>
        <row r="22">
          <cell r="F22">
            <v>2800581.11647966</v>
          </cell>
        </row>
        <row r="23">
          <cell r="F23">
            <v>3128.58897066754</v>
          </cell>
        </row>
        <row r="24">
          <cell r="F24">
            <v>570951.020889087</v>
          </cell>
        </row>
        <row r="25">
          <cell r="F25">
            <v>115132.074120566</v>
          </cell>
        </row>
        <row r="26">
          <cell r="F26">
            <v>317271.85414117</v>
          </cell>
        </row>
        <row r="27">
          <cell r="F27">
            <v>118342.994379935</v>
          </cell>
        </row>
        <row r="28">
          <cell r="F28">
            <v>3038.02455309559</v>
          </cell>
        </row>
        <row r="29">
          <cell r="F29">
            <v>13065.9755169721</v>
          </cell>
        </row>
      </sheetData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nkSheet"/>
      <sheetName val="II-I-1"/>
      <sheetName val="WP II-I-1.1"/>
      <sheetName val="changes"/>
      <sheetName val=" WP II-I-1.4"/>
      <sheetName val="II-I-DIST"/>
      <sheetName val="II-I-MET"/>
      <sheetName val="II-I-TBILLTDCS"/>
      <sheetName val="II-I-Total"/>
      <sheetName val="II-I Summary"/>
      <sheetName val="WP II-I-1.9 "/>
      <sheetName val="WP II-I-2.2"/>
      <sheetName val="WP II-I-1.5"/>
      <sheetName val="WP II-I-1.6"/>
      <sheetName val="WP II-I-1.7"/>
      <sheetName val="WP II-I-1.2"/>
      <sheetName val="WP II-I-2.1"/>
      <sheetName val="II-I-2.1f"/>
      <sheetName val="II-I-3.1"/>
    </sheetNames>
    <sheetDataSet>
      <sheetData sheetId="0">
        <row r="8">
          <cell r="G8">
            <v>1207545357.72834</v>
          </cell>
          <cell r="H8">
            <v>41122596.1973847</v>
          </cell>
          <cell r="I8">
            <v>818254176.406343</v>
          </cell>
          <cell r="J8">
            <v>295364.150684271</v>
          </cell>
          <cell r="K8">
            <v>133694018.941024</v>
          </cell>
          <cell r="L8">
            <v>13404714.9969303</v>
          </cell>
          <cell r="M8">
            <v>24606814.6001601</v>
          </cell>
          <cell r="N8">
            <v>59672372.3651067</v>
          </cell>
          <cell r="O8">
            <v>1480635.43280717</v>
          </cell>
          <cell r="P8">
            <v>6549864.03979056</v>
          </cell>
        </row>
        <row r="10">
          <cell r="G10">
            <v>111684992.498786</v>
          </cell>
          <cell r="H10">
            <v>17198916.7074931</v>
          </cell>
          <cell r="I10">
            <v>53110885.9345788</v>
          </cell>
          <cell r="J10">
            <v>744278.789788863</v>
          </cell>
          <cell r="K10">
            <v>15544460.2776359</v>
          </cell>
          <cell r="L10">
            <v>532402.953983412</v>
          </cell>
          <cell r="M10">
            <v>1172829.32162671</v>
          </cell>
          <cell r="N10">
            <v>142786.016920277</v>
          </cell>
          <cell r="O10">
            <v>62823.4411830049</v>
          </cell>
          <cell r="P10">
            <v>146686.456142142</v>
          </cell>
        </row>
        <row r="12">
          <cell r="G12">
            <v>57205974.7390978</v>
          </cell>
          <cell r="H12">
            <v>8455436.73093085</v>
          </cell>
          <cell r="I12">
            <v>27857670.4798173</v>
          </cell>
          <cell r="J12">
            <v>359398.346338822</v>
          </cell>
          <cell r="K12">
            <v>7883822.92337986</v>
          </cell>
          <cell r="L12">
            <v>305330.923145431</v>
          </cell>
          <cell r="M12">
            <v>741936.812662258</v>
          </cell>
          <cell r="N12">
            <v>1471849.00809959</v>
          </cell>
          <cell r="O12">
            <v>29390.5935282848</v>
          </cell>
          <cell r="P12">
            <v>68580.7649614955</v>
          </cell>
        </row>
        <row r="46">
          <cell r="F46">
            <v>1652522021.44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41"/>
  <sheetViews>
    <sheetView tabSelected="1" workbookViewId="0" topLeftCell="A1">
      <selection pane="topLeft" activeCell="K17" sqref="K17"/>
    </sheetView>
  </sheetViews>
  <sheetFormatPr defaultRowHeight="15"/>
  <cols>
    <col min="1" max="1" width="4.42857142857143" bestFit="1" customWidth="1"/>
    <col min="2" max="2" width="44.2857142857143" bestFit="1" customWidth="1"/>
    <col min="3" max="3" width="15" bestFit="1" customWidth="1"/>
    <col min="4" max="4" width="2.42857142857143" customWidth="1"/>
    <col min="5" max="6" width="14.1428571428571" bestFit="1" customWidth="1"/>
    <col min="7" max="7" width="11.4285714285714" bestFit="1" customWidth="1"/>
    <col min="8" max="8" width="14.1428571428571" bestFit="1" customWidth="1"/>
    <col min="9" max="9" width="10.4285714285714" bestFit="1" customWidth="1"/>
    <col min="10" max="10" width="12.4285714285714" bestFit="1" customWidth="1"/>
    <col min="11" max="11" width="11.4285714285714" bestFit="1" customWidth="1"/>
    <col min="12" max="12" width="15.8571428571429" customWidth="1"/>
    <col min="13" max="13" width="13.5714285714286" customWidth="1"/>
    <col min="14" max="14" width="11.4285714285714" bestFit="1" customWidth="1"/>
    <col min="15" max="15" width="12.8571428571429" bestFit="1" customWidth="1"/>
    <col min="16" max="16" width="22" customWidth="1"/>
  </cols>
  <sheetData>
    <row r="1" spans="13:13" ht="15">
      <c r="M1" t="s">
        <v>29</v>
      </c>
    </row>
    <row r="2" spans="13:13" ht="15">
      <c r="M2" t="s">
        <v>30</v>
      </c>
    </row>
    <row r="5" spans="1:14" ht="15">
      <c r="A5" s="25" t="s">
        <v>44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ht="15">
      <c r="A6" s="25" t="s">
        <v>32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4" ht="15">
      <c r="A7" s="25" t="s">
        <v>33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15">
      <c r="A8" s="25" t="s">
        <v>43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4" ht="1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 ht="15">
      <c r="A10" s="25" t="s">
        <v>42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ht="15.75" thickBot="1"/>
    <row r="12" spans="1:15" ht="15">
      <c r="A12" s="1"/>
      <c r="B12" s="33"/>
      <c r="C12" s="43" t="s">
        <v>0</v>
      </c>
      <c r="D12" s="43"/>
      <c r="E12" s="43" t="s">
        <v>1</v>
      </c>
      <c r="F12" s="44"/>
      <c r="G12" s="44"/>
      <c r="H12" s="44"/>
      <c r="I12" s="44"/>
      <c r="J12" s="44"/>
      <c r="K12" s="44"/>
      <c r="L12" s="32"/>
      <c r="M12" s="32"/>
      <c r="N12" s="32"/>
      <c r="O12" s="34"/>
    </row>
    <row r="13" spans="1:15" ht="15">
      <c r="A13" s="2" t="s">
        <v>2</v>
      </c>
      <c r="B13" s="29" t="s">
        <v>3</v>
      </c>
      <c r="C13" s="4" t="s">
        <v>4</v>
      </c>
      <c r="D13" s="4"/>
      <c r="E13" s="4" t="s">
        <v>5</v>
      </c>
      <c r="F13" s="3" t="s">
        <v>6</v>
      </c>
      <c r="G13" s="3" t="s">
        <v>7</v>
      </c>
      <c r="H13" s="3" t="s">
        <v>7</v>
      </c>
      <c r="I13" s="5" t="s">
        <v>8</v>
      </c>
      <c r="J13" s="5" t="s">
        <v>8</v>
      </c>
      <c r="K13" s="5" t="s">
        <v>8</v>
      </c>
      <c r="L13" s="5" t="s">
        <v>9</v>
      </c>
      <c r="M13" s="5" t="s">
        <v>10</v>
      </c>
      <c r="N13" s="3" t="s">
        <v>31</v>
      </c>
      <c r="O13" s="24" t="s">
        <v>31</v>
      </c>
    </row>
    <row r="14" spans="1:15" ht="15">
      <c r="A14" s="2" t="s">
        <v>11</v>
      </c>
      <c r="B14" s="29"/>
      <c r="C14" s="4" t="s">
        <v>12</v>
      </c>
      <c r="D14" s="4"/>
      <c r="E14" s="4" t="s">
        <v>13</v>
      </c>
      <c r="F14" s="3"/>
      <c r="G14" s="3" t="s">
        <v>16</v>
      </c>
      <c r="H14" s="3" t="s">
        <v>14</v>
      </c>
      <c r="I14" s="3" t="s">
        <v>16</v>
      </c>
      <c r="J14" s="5" t="s">
        <v>14</v>
      </c>
      <c r="K14" s="5" t="s">
        <v>15</v>
      </c>
      <c r="L14" s="5"/>
      <c r="M14" s="5"/>
      <c r="N14" s="3" t="s">
        <v>39</v>
      </c>
      <c r="O14" s="24" t="s">
        <v>40</v>
      </c>
    </row>
    <row r="15" spans="1:15" ht="15.75" thickBot="1">
      <c r="A15" s="6"/>
      <c r="B15" s="41"/>
      <c r="C15" s="7"/>
      <c r="D15" s="7"/>
      <c r="E15" s="7"/>
      <c r="F15" s="8"/>
      <c r="G15" s="8"/>
      <c r="H15" s="8"/>
      <c r="I15" s="8"/>
      <c r="J15" s="8"/>
      <c r="K15" s="8"/>
      <c r="L15" s="8"/>
      <c r="M15" s="8"/>
      <c r="N15" s="8"/>
      <c r="O15" s="42"/>
    </row>
    <row r="16" spans="1:15" ht="15">
      <c r="A16" s="35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</row>
    <row r="17" spans="1:15" ht="15">
      <c r="A17" s="36">
        <v>1</v>
      </c>
      <c r="B17" s="9" t="s">
        <v>17</v>
      </c>
      <c r="C17" s="26">
        <f>[2]LinkSheet!$F$46</f>
        <v>1652522021.4399998</v>
      </c>
      <c r="D17" s="10"/>
      <c r="E17" s="11" t="s">
        <v>18</v>
      </c>
      <c r="F17" s="11" t="s">
        <v>18</v>
      </c>
      <c r="G17" s="11" t="s">
        <v>18</v>
      </c>
      <c r="H17" s="11" t="s">
        <v>18</v>
      </c>
      <c r="I17" s="11" t="s">
        <v>18</v>
      </c>
      <c r="J17" s="11" t="s">
        <v>18</v>
      </c>
      <c r="K17" s="11" t="s">
        <v>18</v>
      </c>
      <c r="L17" s="11" t="s">
        <v>18</v>
      </c>
      <c r="M17" s="11" t="s">
        <v>18</v>
      </c>
      <c r="N17" s="11" t="s">
        <v>18</v>
      </c>
      <c r="O17" s="12" t="s">
        <v>18</v>
      </c>
    </row>
    <row r="18" spans="1:15" ht="15">
      <c r="A18" s="36">
        <f>A17+1</f>
        <v>2</v>
      </c>
      <c r="B18" s="13"/>
      <c r="C18" s="14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22"/>
      <c r="O18" s="23"/>
    </row>
    <row r="19" spans="1:16" ht="15">
      <c r="A19" s="36">
        <f t="shared" si="0" ref="A19:A39">A18+1</f>
        <v>3</v>
      </c>
      <c r="B19" s="9" t="s">
        <v>36</v>
      </c>
      <c r="C19" s="17"/>
      <c r="D19" s="18"/>
      <c r="E19" s="15">
        <f>SUM(F19:M19)</f>
        <v>2298595415.3859739</v>
      </c>
      <c r="F19" s="15">
        <f>+[2]LinkSheet!G8</f>
        <v>1207545357.7283404</v>
      </c>
      <c r="G19" s="15">
        <f>+[2]LinkSheet!H8</f>
        <v>41122596.197384663</v>
      </c>
      <c r="H19" s="15">
        <f>+[2]LinkSheet!I8</f>
        <v>818254176.40634346</v>
      </c>
      <c r="I19" s="15">
        <f>+[2]LinkSheet!J8</f>
        <v>295364.15068427072</v>
      </c>
      <c r="J19" s="15">
        <f>+[2]LinkSheet!K8</f>
        <v>133694018.94102408</v>
      </c>
      <c r="K19" s="15">
        <f>+[2]LinkSheet!L8</f>
        <v>13404714.996930279</v>
      </c>
      <c r="L19" s="15">
        <f>+[2]LinkSheet!M8</f>
        <v>24606814.600160129</v>
      </c>
      <c r="M19" s="15">
        <f>+[2]LinkSheet!N8</f>
        <v>59672372.365106717</v>
      </c>
      <c r="N19" s="15">
        <f>+[2]LinkSheet!O8</f>
        <v>1480635.4328071722</v>
      </c>
      <c r="O19" s="16">
        <f>+[2]LinkSheet!P8</f>
        <v>6549864.0397905577</v>
      </c>
      <c r="P19" s="27"/>
    </row>
    <row r="20" spans="1:15" ht="15">
      <c r="A20" s="36">
        <f t="shared" si="0"/>
        <v>4</v>
      </c>
      <c r="B20" s="9"/>
      <c r="C20" s="17"/>
      <c r="D20" s="18"/>
      <c r="E20" s="15"/>
      <c r="F20" s="15"/>
      <c r="G20" s="15"/>
      <c r="H20" s="15"/>
      <c r="I20" s="15"/>
      <c r="J20" s="15"/>
      <c r="K20" s="15"/>
      <c r="L20" s="15"/>
      <c r="M20" s="15"/>
      <c r="N20" s="45"/>
      <c r="O20" s="46"/>
    </row>
    <row r="21" spans="1:16" ht="15">
      <c r="A21" s="36">
        <f t="shared" si="0"/>
        <v>5</v>
      </c>
      <c r="B21" s="9" t="s">
        <v>19</v>
      </c>
      <c r="C21" s="17"/>
      <c r="D21" s="18"/>
      <c r="E21" s="15">
        <f>SUM(F21:M21)</f>
        <v>200131552.50081313</v>
      </c>
      <c r="F21" s="15">
        <f>+[2]LinkSheet!G10</f>
        <v>111684992.49878599</v>
      </c>
      <c r="G21" s="15">
        <f>+[2]LinkSheet!H10</f>
        <v>17198916.707493149</v>
      </c>
      <c r="H21" s="15">
        <f>+[2]LinkSheet!I10</f>
        <v>53110885.934578843</v>
      </c>
      <c r="I21" s="15">
        <f>+[2]LinkSheet!J10</f>
        <v>744278.78978886304</v>
      </c>
      <c r="J21" s="15">
        <f>+[2]LinkSheet!K10</f>
        <v>15544460.27763591</v>
      </c>
      <c r="K21" s="15">
        <f>+[2]LinkSheet!L10</f>
        <v>532402.95398341166</v>
      </c>
      <c r="L21" s="15">
        <f>+[2]LinkSheet!M10</f>
        <v>1172829.3216267072</v>
      </c>
      <c r="M21" s="15">
        <f>+[2]LinkSheet!N10</f>
        <v>142786.01692027733</v>
      </c>
      <c r="N21" s="15">
        <f>+[2]LinkSheet!O10</f>
        <v>62823.441183004914</v>
      </c>
      <c r="O21" s="16">
        <f>+[2]LinkSheet!P10</f>
        <v>146686.45614214157</v>
      </c>
      <c r="P21" s="27"/>
    </row>
    <row r="22" spans="1:15" ht="15">
      <c r="A22" s="36">
        <f t="shared" si="0"/>
        <v>6</v>
      </c>
      <c r="B22" s="9"/>
      <c r="C22" s="17"/>
      <c r="D22" s="18"/>
      <c r="E22" s="15"/>
      <c r="F22" s="15"/>
      <c r="G22" s="15"/>
      <c r="H22" s="15"/>
      <c r="I22" s="15"/>
      <c r="J22" s="15"/>
      <c r="K22" s="15"/>
      <c r="L22" s="15"/>
      <c r="M22" s="15"/>
      <c r="N22" s="45"/>
      <c r="O22" s="46"/>
    </row>
    <row r="23" spans="1:16" ht="15">
      <c r="A23" s="36">
        <f t="shared" si="0"/>
        <v>7</v>
      </c>
      <c r="B23" s="9" t="s">
        <v>20</v>
      </c>
      <c r="C23" s="17"/>
      <c r="D23" s="18"/>
      <c r="E23" s="15">
        <f>SUM(F23:M23)</f>
        <v>104281419.96347193</v>
      </c>
      <c r="F23" s="15">
        <f>+[2]LinkSheet!G12</f>
        <v>57205974.739097841</v>
      </c>
      <c r="G23" s="15">
        <f>+[2]LinkSheet!H12</f>
        <v>8455436.7309308499</v>
      </c>
      <c r="H23" s="15">
        <f>+[2]LinkSheet!I12</f>
        <v>27857670.479817279</v>
      </c>
      <c r="I23" s="15">
        <f>+[2]LinkSheet!J12</f>
        <v>359398.34633882204</v>
      </c>
      <c r="J23" s="15">
        <f>+[2]LinkSheet!K12</f>
        <v>7883822.9233798599</v>
      </c>
      <c r="K23" s="15">
        <f>+[2]LinkSheet!L12</f>
        <v>305330.92314543127</v>
      </c>
      <c r="L23" s="15">
        <f>+[2]LinkSheet!M12</f>
        <v>741936.81266225758</v>
      </c>
      <c r="M23" s="15">
        <f>+[2]LinkSheet!N12</f>
        <v>1471849.0080995939</v>
      </c>
      <c r="N23" s="15">
        <f>+[2]LinkSheet!O12</f>
        <v>29390.593528284848</v>
      </c>
      <c r="O23" s="16">
        <f>+[2]LinkSheet!P12</f>
        <v>68580.76496149553</v>
      </c>
      <c r="P23" s="27"/>
    </row>
    <row r="24" spans="1:15" ht="15">
      <c r="A24" s="36">
        <f t="shared" si="0"/>
        <v>8</v>
      </c>
      <c r="B24" s="19" t="s">
        <v>21</v>
      </c>
      <c r="C24" s="17"/>
      <c r="D24" s="18"/>
      <c r="E24" s="15"/>
      <c r="F24" s="15"/>
      <c r="G24" s="15"/>
      <c r="H24" s="15"/>
      <c r="I24" s="15"/>
      <c r="J24" s="15"/>
      <c r="K24" s="15"/>
      <c r="L24" s="15"/>
      <c r="M24" s="15"/>
      <c r="N24" s="22"/>
      <c r="O24" s="23"/>
    </row>
    <row r="25" spans="1:15" ht="15">
      <c r="A25" s="36">
        <f t="shared" si="0"/>
        <v>9</v>
      </c>
      <c r="B25" s="20" t="s">
        <v>22</v>
      </c>
      <c r="C25" s="17"/>
      <c r="D25" s="18"/>
      <c r="E25" s="15"/>
      <c r="F25" s="15"/>
      <c r="G25" s="15"/>
      <c r="H25" s="15"/>
      <c r="I25" s="15"/>
      <c r="J25" s="15"/>
      <c r="K25" s="15"/>
      <c r="L25" s="15"/>
      <c r="M25" s="15"/>
      <c r="N25" s="22"/>
      <c r="O25" s="23"/>
    </row>
    <row r="26" spans="1:15" ht="15">
      <c r="A26" s="36">
        <f t="shared" si="0"/>
        <v>10</v>
      </c>
      <c r="B26" s="18"/>
      <c r="C26" s="17"/>
      <c r="D26" s="18"/>
      <c r="E26" s="15"/>
      <c r="F26" s="15"/>
      <c r="G26" s="15"/>
      <c r="H26" s="15"/>
      <c r="I26" s="15"/>
      <c r="J26" s="15"/>
      <c r="K26" s="15"/>
      <c r="L26" s="15"/>
      <c r="M26" s="15"/>
      <c r="N26" s="22"/>
      <c r="O26" s="47"/>
    </row>
    <row r="27" spans="1:16" ht="15">
      <c r="A27" s="36">
        <f t="shared" si="0"/>
        <v>11</v>
      </c>
      <c r="B27" s="9" t="s">
        <v>23</v>
      </c>
      <c r="C27" s="17"/>
      <c r="D27" s="18"/>
      <c r="E27" s="15">
        <f>SUM(F27:M27)</f>
        <v>2603008387.8502588</v>
      </c>
      <c r="F27" s="15">
        <f>SUM(F19:F23)</f>
        <v>1376436324.9662242</v>
      </c>
      <c r="G27" s="15">
        <f t="shared" si="1" ref="G27:O27">SUM(G19:G23)</f>
        <v>66776949.635808662</v>
      </c>
      <c r="H27" s="15">
        <f t="shared" si="1"/>
        <v>899222732.82073963</v>
      </c>
      <c r="I27" s="15">
        <f t="shared" si="1"/>
        <v>1399041.2868119557</v>
      </c>
      <c r="J27" s="15">
        <f t="shared" si="1"/>
        <v>157122302.14203987</v>
      </c>
      <c r="K27" s="15">
        <f t="shared" si="1"/>
        <v>14242448.874059122</v>
      </c>
      <c r="L27" s="15">
        <f t="shared" si="1"/>
        <v>26521580.734449096</v>
      </c>
      <c r="M27" s="15">
        <f t="shared" si="1"/>
        <v>61287007.390126586</v>
      </c>
      <c r="N27" s="15">
        <f t="shared" si="1"/>
        <v>1572849.4675184621</v>
      </c>
      <c r="O27" s="16">
        <f t="shared" si="1"/>
        <v>6765131.2608941942</v>
      </c>
      <c r="P27" s="27"/>
    </row>
    <row r="28" spans="1:15" ht="15">
      <c r="A28" s="36">
        <f t="shared" si="0"/>
        <v>12</v>
      </c>
      <c r="B28" s="18"/>
      <c r="C28" s="17"/>
      <c r="D28" s="18"/>
      <c r="E28" s="15"/>
      <c r="F28" s="15"/>
      <c r="G28" s="15"/>
      <c r="H28" s="15"/>
      <c r="I28" s="15"/>
      <c r="J28" s="15"/>
      <c r="K28" s="15"/>
      <c r="L28" s="15"/>
      <c r="M28" s="15"/>
      <c r="N28" s="22"/>
      <c r="O28" s="47"/>
    </row>
    <row r="29" spans="1:16" ht="15">
      <c r="A29" s="36">
        <f t="shared" si="0"/>
        <v>13</v>
      </c>
      <c r="B29" s="9" t="s">
        <v>24</v>
      </c>
      <c r="C29" s="28"/>
      <c r="D29" s="18"/>
      <c r="E29" s="15">
        <f>SUM(F29:M29)</f>
        <v>2603008387.8502588</v>
      </c>
      <c r="F29" s="15">
        <f>+F27</f>
        <v>1376436324.9662242</v>
      </c>
      <c r="G29" s="15">
        <f t="shared" si="2" ref="G29:O29">+G27</f>
        <v>66776949.635808662</v>
      </c>
      <c r="H29" s="15">
        <f t="shared" si="2"/>
        <v>899222732.82073963</v>
      </c>
      <c r="I29" s="15">
        <f t="shared" si="2"/>
        <v>1399041.2868119557</v>
      </c>
      <c r="J29" s="15">
        <f t="shared" si="2"/>
        <v>157122302.14203987</v>
      </c>
      <c r="K29" s="15">
        <f t="shared" si="2"/>
        <v>14242448.874059122</v>
      </c>
      <c r="L29" s="15">
        <f t="shared" si="2"/>
        <v>26521580.734449096</v>
      </c>
      <c r="M29" s="15">
        <f t="shared" si="2"/>
        <v>61287007.390126586</v>
      </c>
      <c r="N29" s="15">
        <f t="shared" si="2"/>
        <v>1572849.4675184621</v>
      </c>
      <c r="O29" s="16">
        <f t="shared" si="2"/>
        <v>6765131.2608941942</v>
      </c>
      <c r="P29" s="27"/>
    </row>
    <row r="30" spans="1:15" ht="15">
      <c r="A30" s="36">
        <f t="shared" si="0"/>
        <v>14</v>
      </c>
      <c r="B30" s="18"/>
      <c r="C30" s="18"/>
      <c r="D30" s="18"/>
      <c r="E30" s="15"/>
      <c r="F30" s="15"/>
      <c r="G30" s="15"/>
      <c r="H30" s="15"/>
      <c r="I30" s="15"/>
      <c r="J30" s="15"/>
      <c r="K30" s="15"/>
      <c r="L30" s="15"/>
      <c r="M30" s="15"/>
      <c r="N30" s="22"/>
      <c r="O30" s="47"/>
    </row>
    <row r="31" spans="1:15" ht="15">
      <c r="A31" s="36">
        <f t="shared" si="0"/>
        <v>15</v>
      </c>
      <c r="B31" s="9" t="s">
        <v>37</v>
      </c>
      <c r="C31" s="18"/>
      <c r="D31" s="18"/>
      <c r="E31" s="15"/>
      <c r="F31" s="15"/>
      <c r="G31" s="15"/>
      <c r="H31" s="15"/>
      <c r="I31" s="15"/>
      <c r="J31" s="15"/>
      <c r="K31" s="15"/>
      <c r="L31" s="15"/>
      <c r="M31" s="15"/>
      <c r="N31" s="22"/>
      <c r="O31" s="47"/>
    </row>
    <row r="32" spans="1:15" ht="15">
      <c r="A32" s="36">
        <f t="shared" si="0"/>
        <v>16</v>
      </c>
      <c r="B32" s="20" t="s">
        <v>25</v>
      </c>
      <c r="C32" s="10"/>
      <c r="D32" s="10"/>
      <c r="E32" s="15">
        <f>SUM(F32:M32)</f>
        <v>83410517</v>
      </c>
      <c r="F32" s="15">
        <f>+[1]EECRF!$G$12</f>
        <v>51571075</v>
      </c>
      <c r="G32" s="15">
        <f>+[1]EECRF!$G$13</f>
        <v>1154847</v>
      </c>
      <c r="H32" s="15">
        <f>+[1]EECRF!$G$14</f>
        <v>29641515</v>
      </c>
      <c r="I32" s="15">
        <f>+[1]EECRF!$G$15</f>
        <v>3022</v>
      </c>
      <c r="J32" s="15">
        <f>+[1]EECRF!$G$16</f>
        <v>753406</v>
      </c>
      <c r="K32" s="15">
        <f>+[1]EECRF!$G$17</f>
        <v>267927</v>
      </c>
      <c r="L32" s="15">
        <f>+[1]EECRF!$G$18</f>
        <v>18725</v>
      </c>
      <c r="M32" s="15">
        <f>+[1]EECRF!$G$19</f>
        <v>0</v>
      </c>
      <c r="N32" s="30" t="s">
        <v>34</v>
      </c>
      <c r="O32" s="48" t="s">
        <v>34</v>
      </c>
    </row>
    <row r="33" spans="1:15" ht="15">
      <c r="A33" s="36">
        <f t="shared" si="0"/>
        <v>17</v>
      </c>
      <c r="B33" s="20" t="s">
        <v>26</v>
      </c>
      <c r="C33" s="10"/>
      <c r="D33" s="10"/>
      <c r="E33" s="15">
        <f>SUM(F33:M33)</f>
        <v>1652522021.4399998</v>
      </c>
      <c r="F33" s="15">
        <f>+[1]TCRF!$G$14*2</f>
        <v>758188212.5284481</v>
      </c>
      <c r="G33" s="15">
        <f>+[1]TCRF!$G$16*2</f>
        <v>21192617.197626065</v>
      </c>
      <c r="H33" s="15">
        <f>(+[1]TCRF!$G$18+[1]TCRF!$G$19)*2</f>
        <v>551175463.58832192</v>
      </c>
      <c r="I33" s="15">
        <f>+[1]TCRF!$G$21*2</f>
        <v>219196.03634105407</v>
      </c>
      <c r="J33" s="15">
        <f>(+[1]TCRF!$G$23+[1]TCRF!$G$24)*2</f>
        <v>138570539.70599067</v>
      </c>
      <c r="K33" s="15">
        <f>+[1]TCRF!$G$25*2</f>
        <v>45384309.083489172</v>
      </c>
      <c r="L33" s="15">
        <f>+[1]TCRF!$G$26*2</f>
        <v>137791683.29978278</v>
      </c>
      <c r="M33" s="15">
        <f>+[1]TCRF!$G$27*2</f>
        <v>0</v>
      </c>
      <c r="N33" s="30" t="s">
        <v>34</v>
      </c>
      <c r="O33" s="48" t="s">
        <v>34</v>
      </c>
    </row>
    <row r="34" spans="1:15" ht="15">
      <c r="A34" s="36">
        <f t="shared" si="0"/>
        <v>18</v>
      </c>
      <c r="B34" s="20" t="s">
        <v>35</v>
      </c>
      <c r="C34" s="10"/>
      <c r="D34" s="10"/>
      <c r="E34" s="15">
        <f>SUM(F34:O34)</f>
        <v>8233128.8701777514</v>
      </c>
      <c r="F34" s="15">
        <f>+[1]RCE!$F$20</f>
        <v>4121759.5394059573</v>
      </c>
      <c r="G34" s="15">
        <f>+[1]RCE!$F$21</f>
        <v>169857.68172063716</v>
      </c>
      <c r="H34" s="15">
        <f>+[1]RCE!$F$22</f>
        <v>2800581.1164796636</v>
      </c>
      <c r="I34" s="15">
        <f>+[1]RCE!$F$23</f>
        <v>3128.5889706675448</v>
      </c>
      <c r="J34" s="15">
        <f>+[1]RCE!$F$24</f>
        <v>570951.02088908665</v>
      </c>
      <c r="K34" s="15">
        <f>+[1]RCE!$F$25</f>
        <v>115132.07412056565</v>
      </c>
      <c r="L34" s="15">
        <f>+[1]RCE!$F$26</f>
        <v>317271.85414116975</v>
      </c>
      <c r="M34" s="15">
        <f>+[1]RCE!$F$27</f>
        <v>118342.99437993497</v>
      </c>
      <c r="N34" s="15">
        <f>+[1]RCE!$F$28</f>
        <v>3038.0245530955899</v>
      </c>
      <c r="O34" s="46">
        <f>+[1]RCE!$F$29</f>
        <v>13065.975516972088</v>
      </c>
    </row>
    <row r="35" spans="1:15" ht="15">
      <c r="A35" s="36"/>
      <c r="B35" s="9" t="s">
        <v>38</v>
      </c>
      <c r="C35" s="10"/>
      <c r="D35" s="1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47"/>
    </row>
    <row r="36" spans="1:15" ht="16.5">
      <c r="A36" s="36">
        <f>A34+1</f>
        <v>19</v>
      </c>
      <c r="B36" s="20" t="s">
        <v>28</v>
      </c>
      <c r="C36" s="10"/>
      <c r="D36" s="10"/>
      <c r="E36" s="21">
        <f>SUM(F36:M36)</f>
        <v>20077165</v>
      </c>
      <c r="F36" s="21">
        <f>+[1]NDC_kW!$C$20</f>
        <v>9142535</v>
      </c>
      <c r="G36" s="21">
        <f>+[1]NDC_kW!$C$21</f>
        <v>244163</v>
      </c>
      <c r="H36" s="21">
        <f>+[1]NDC_kW!$C$22</f>
        <v>6332036</v>
      </c>
      <c r="I36" s="21">
        <f>+[1]NDC_kW!$C$23</f>
        <v>3618</v>
      </c>
      <c r="J36" s="21">
        <f>+[1]NDC_kW!$C$24</f>
        <v>1678871</v>
      </c>
      <c r="K36" s="21">
        <f>+[1]NDC_kW!$C$25</f>
        <v>608324</v>
      </c>
      <c r="L36" s="21">
        <f>+[1]NDC_kW!$C$26</f>
        <v>2006004</v>
      </c>
      <c r="M36" s="21">
        <f>+[1]NDC_kW!$C$27</f>
        <v>61614</v>
      </c>
      <c r="N36" s="31" t="s">
        <v>34</v>
      </c>
      <c r="O36" s="50" t="s">
        <v>34</v>
      </c>
    </row>
    <row r="37" spans="1:15" ht="15">
      <c r="A37" s="36">
        <f t="shared" si="0"/>
        <v>20</v>
      </c>
      <c r="B37" s="9" t="s">
        <v>27</v>
      </c>
      <c r="C37" s="10"/>
      <c r="D37" s="10"/>
      <c r="E37" s="15">
        <f>SUM(E32:E36)</f>
        <v>1764242832.3101776</v>
      </c>
      <c r="F37" s="15">
        <f t="shared" si="3" ref="F37:O37">SUM(F32:F36)</f>
        <v>823023582.06785405</v>
      </c>
      <c r="G37" s="15">
        <f t="shared" si="3"/>
        <v>22761484.879346702</v>
      </c>
      <c r="H37" s="15">
        <f t="shared" si="3"/>
        <v>589949595.70480156</v>
      </c>
      <c r="I37" s="15">
        <f t="shared" si="3"/>
        <v>228964.62531172161</v>
      </c>
      <c r="J37" s="15">
        <f t="shared" si="3"/>
        <v>141573767.72687975</v>
      </c>
      <c r="K37" s="15">
        <f t="shared" si="3"/>
        <v>46375692.157609738</v>
      </c>
      <c r="L37" s="15">
        <f t="shared" si="3"/>
        <v>140133684.15392396</v>
      </c>
      <c r="M37" s="15">
        <f t="shared" si="3"/>
        <v>179956.99437993497</v>
      </c>
      <c r="N37" s="15">
        <f t="shared" si="3"/>
        <v>3038.0245530955899</v>
      </c>
      <c r="O37" s="16">
        <f t="shared" si="3"/>
        <v>13065.975516972088</v>
      </c>
    </row>
    <row r="38" spans="1:15" ht="15">
      <c r="A38" s="36">
        <f t="shared" si="0"/>
        <v>21</v>
      </c>
      <c r="B38" s="9"/>
      <c r="C38" s="10"/>
      <c r="D38" s="10"/>
      <c r="E38" s="15"/>
      <c r="F38" s="15"/>
      <c r="G38" s="15"/>
      <c r="H38" s="15"/>
      <c r="I38" s="15"/>
      <c r="J38" s="15"/>
      <c r="K38" s="15"/>
      <c r="L38" s="15"/>
      <c r="M38" s="15"/>
      <c r="N38" s="22"/>
      <c r="O38" s="47"/>
    </row>
    <row r="39" spans="1:15" ht="15.75" thickBot="1">
      <c r="A39" s="37">
        <f t="shared" si="0"/>
        <v>22</v>
      </c>
      <c r="B39" s="38" t="s">
        <v>41</v>
      </c>
      <c r="C39" s="39"/>
      <c r="D39" s="39"/>
      <c r="E39" s="40">
        <f>+E29+E37</f>
        <v>4367251220.1604366</v>
      </c>
      <c r="F39" s="40">
        <f t="shared" si="4" ref="F39:O39">+F29+F37</f>
        <v>2199459907.0340781</v>
      </c>
      <c r="G39" s="40">
        <f t="shared" si="4"/>
        <v>89538434.51515536</v>
      </c>
      <c r="H39" s="40">
        <f t="shared" si="4"/>
        <v>1489172328.5255413</v>
      </c>
      <c r="I39" s="40">
        <f t="shared" si="4"/>
        <v>1628005.9121236773</v>
      </c>
      <c r="J39" s="40">
        <f t="shared" si="4"/>
        <v>298696069.86891961</v>
      </c>
      <c r="K39" s="40">
        <f t="shared" si="4"/>
        <v>60618141.031668857</v>
      </c>
      <c r="L39" s="40">
        <f t="shared" si="4"/>
        <v>166655264.88837305</v>
      </c>
      <c r="M39" s="40">
        <f t="shared" si="4"/>
        <v>61466964.384506524</v>
      </c>
      <c r="N39" s="40">
        <f t="shared" si="4"/>
        <v>1575887.4920715578</v>
      </c>
      <c r="O39" s="49">
        <f t="shared" si="4"/>
        <v>6778197.2364111664</v>
      </c>
    </row>
    <row r="40" spans="1:14" ht="1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1:14" ht="1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</row>
  </sheetData>
  <printOptions horizontalCentered="1"/>
  <pageMargins left="0.2" right="0.2" top="0.75" bottom="0.75" header="0.3" footer="0.3"/>
  <pageSetup orientation="landscape" scale="6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"/>
  <sheetViews>
    <sheetView workbookViewId="0" topLeftCell="A1"/>
  </sheetViews>
  <sheetFormatPr defaultRowHeight="15"/>
  <sheetData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"/>
  <sheetViews>
    <sheetView workbookViewId="0" topLeftCell="A1"/>
  </sheetViews>
  <sheetFormatPr defaultRowHeight="1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