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86-lxIKaQZI0nh8/"/>
    </mc:Choice>
  </mc:AlternateContent>
  <xr:revisionPtr revIDLastSave="0" documentId="13_ncr:1_{D476D2E1-6D56-C84A-B9DE-3E014F5410DC}" xr6:coauthVersionLast="47" xr6:coauthVersionMax="47" xr10:uidLastSave="{00000000-0000-0000-0000-000000000000}"/>
  <bookViews>
    <workbookView xWindow="0" yWindow="600" windowWidth="38400" windowHeight="21000" activeTab="6" xr2:uid="{2B962C4C-ABC3-FA4E-AA37-CA9B9A85C265}"/>
  </bookViews>
  <sheets>
    <sheet name="AEP" sheetId="4" r:id="rId1"/>
    <sheet name="CP" sheetId="5" r:id="rId2"/>
    <sheet name="ONCOR" sheetId="6" r:id="rId3"/>
    <sheet name="Houston" sheetId="7" r:id="rId4"/>
    <sheet name="North" sheetId="8" r:id="rId5"/>
    <sheet name="South" sheetId="9" r:id="rId6"/>
    <sheet name="West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F4" i="10"/>
  <c r="F5" i="9"/>
  <c r="F4" i="9"/>
  <c r="F5" i="8"/>
  <c r="F4" i="8"/>
  <c r="F5" i="7"/>
  <c r="T6" i="6"/>
  <c r="R20" i="6"/>
  <c r="R6" i="6"/>
  <c r="L20" i="5"/>
  <c r="N6" i="5"/>
  <c r="L48" i="5"/>
  <c r="L34" i="5"/>
  <c r="L5" i="5"/>
  <c r="L6" i="5"/>
  <c r="L4" i="5"/>
  <c r="H14" i="4"/>
  <c r="F33" i="4"/>
  <c r="F32" i="4"/>
  <c r="F14" i="4"/>
  <c r="F9" i="4"/>
  <c r="F13" i="4"/>
  <c r="F3" i="10"/>
  <c r="F2" i="10"/>
  <c r="F3" i="9"/>
  <c r="F2" i="9"/>
  <c r="F3" i="8"/>
  <c r="F2" i="8"/>
  <c r="F3" i="7"/>
  <c r="F4" i="7"/>
  <c r="F2" i="7"/>
  <c r="T4" i="6"/>
  <c r="T5" i="6"/>
  <c r="T3" i="6"/>
  <c r="R19" i="6"/>
  <c r="R18" i="6"/>
  <c r="R17" i="6"/>
  <c r="R5" i="6" l="1"/>
  <c r="R4" i="6"/>
  <c r="R3" i="6"/>
  <c r="N4" i="5"/>
  <c r="N5" i="5"/>
  <c r="N3" i="5"/>
  <c r="L47" i="5"/>
  <c r="L46" i="5"/>
  <c r="L45" i="5"/>
  <c r="L33" i="5"/>
  <c r="L32" i="5"/>
  <c r="L31" i="5"/>
  <c r="L19" i="5"/>
  <c r="L18" i="5"/>
  <c r="L17" i="5"/>
  <c r="L3" i="5" l="1"/>
  <c r="H13" i="4" l="1"/>
  <c r="H9" i="4"/>
  <c r="H3" i="4"/>
  <c r="F26" i="4"/>
  <c r="F20" i="4"/>
  <c r="F3" i="4"/>
</calcChain>
</file>

<file path=xl/sharedStrings.xml><?xml version="1.0" encoding="utf-8"?>
<sst xmlns="http://schemas.openxmlformats.org/spreadsheetml/2006/main" count="203" uniqueCount="51">
  <si>
    <t>Residential</t>
  </si>
  <si>
    <t>Load Factor</t>
  </si>
  <si>
    <t>Commercial</t>
  </si>
  <si>
    <t>Industrial</t>
  </si>
  <si>
    <t>All year</t>
  </si>
  <si>
    <t>DESCRIPTION</t>
  </si>
  <si>
    <t>RESIDENTIAL SERVICE</t>
  </si>
  <si>
    <t>SECONDARY &lt;= 10 kW</t>
  </si>
  <si>
    <t>SECONDARY &gt; 10 kW NON-IDR</t>
  </si>
  <si>
    <t>SECONDARY &gt; 10 kW IDR</t>
  </si>
  <si>
    <t>TOTAL SECONDARY &gt; 10 kW</t>
  </si>
  <si>
    <t>PRIMARY NON-IDR</t>
  </si>
  <si>
    <t>PRIMARY IDR</t>
  </si>
  <si>
    <t>TOTAL PRIMARY</t>
  </si>
  <si>
    <t>TRANSMISSION IDR</t>
  </si>
  <si>
    <t>LIGHTING</t>
  </si>
  <si>
    <t>TOTAL</t>
  </si>
  <si>
    <t>SECONDARY &gt; 10 kW 4CP</t>
  </si>
  <si>
    <t>PRIMARY NCP</t>
  </si>
  <si>
    <t>PRIMARY 4CP</t>
  </si>
  <si>
    <t>PRIMARY SUB NCP</t>
  </si>
  <si>
    <t>PRIMARY SUB 4CP</t>
  </si>
  <si>
    <t xml:space="preserve">TRANSMISSION </t>
  </si>
  <si>
    <t>SECONDARY &gt; 10 kW NCP</t>
  </si>
  <si>
    <r>
      <t xml:space="preserve">SECONDARY </t>
    </r>
    <r>
      <rPr>
        <u/>
        <sz val="12"/>
        <rFont val="Arial"/>
        <family val="2"/>
      </rPr>
      <t>&lt;</t>
    </r>
    <r>
      <rPr>
        <sz val="12"/>
        <rFont val="Arial"/>
        <family val="2"/>
      </rPr>
      <t xml:space="preserve"> 10 kW</t>
    </r>
  </si>
  <si>
    <t>RS</t>
  </si>
  <si>
    <t>SVS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</si>
  <si>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</si>
  <si>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</si>
  <si>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</si>
  <si>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</si>
  <si>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</si>
  <si>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</si>
  <si>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</si>
  <si>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</si>
  <si>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</si>
  <si>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</si>
  <si>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</si>
  <si>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</si>
  <si>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PVS</t>
  </si>
  <si>
    <t>TVS</t>
  </si>
  <si>
    <t>sec&lt;10 kw</t>
  </si>
  <si>
    <t>sec&gt;10 kw</t>
  </si>
  <si>
    <t>primary&lt;10kw</t>
  </si>
  <si>
    <t>primary&gt;10kw</t>
  </si>
  <si>
    <t>primary sub</t>
  </si>
  <si>
    <t>transmission</t>
  </si>
  <si>
    <t>CP</t>
  </si>
  <si>
    <t>AEP</t>
  </si>
  <si>
    <t>ONCOR</t>
  </si>
  <si>
    <t>C+I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</si>
</sst>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43" fontId="3" fillId="0" borderId="0" xfId="1" applyFont="1" applyFill="1" applyBorder="1" applyAlignment="1">
      <alignment horizontal="center"/>
    </xf>
    <xf numFmtId="43" fontId="4" fillId="0" borderId="0" xfId="1" applyFont="1" applyFill="1" applyBorder="1"/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" fontId="0" fillId="0" borderId="0" xfId="0" applyNumberFormat="1"/>
    <xf numFmtId="0" fontId="8" fillId="0" borderId="0" xfId="0" applyFont="1"/>
    <xf numFmtId="4" fontId="9" fillId="0" borderId="0" xfId="0" applyNumberFormat="1" applyFont="1"/>
    <xf numFmtId="0" fontId="9" fillId="0" borderId="0" xfId="0" applyFont="1"/>
    <xf numFmtId="0" fontId="10" fillId="0" borderId="0" xfId="0" applyFont="1"/>
    <xf numFmtId="41" fontId="9" fillId="0" borderId="0" xfId="0" applyNumberFormat="1" applyFont="1"/>
    <xf numFmtId="3" fontId="9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/>
    <xf numFmtId="43" fontId="1" fillId="0" borderId="0" xfId="0" applyNumberFormat="1" applyFont="1"/>
    <xf numFmtId="0" fontId="1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NumberFormat="1" applyFont="1"/>
    <xf numFmtId="0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661-09C9-A943-B36C-E62AA7B8AC66}">
  <dimension ref="A1:H36"/>
  <sheetViews>
    <sheetView workbookViewId="0">
      <selection activeCell="H14" sqref="H14"/>
    </sheetView>
  </sheetViews>
  <sheetFormatPr baseColWidth="10" defaultColWidth="16.83203125" defaultRowHeight="16" x14ac:dyDescent="0.2"/>
  <cols>
    <col min="1" max="1" width="30" style="1" customWidth="1"/>
    <col min="2" max="16384" width="16.83203125" style="1"/>
  </cols>
  <sheetData>
    <row r="1" spans="1:8" x14ac:dyDescent="0.2">
      <c r="A1" s="18">
        <v>2020</v>
      </c>
      <c r="B1" s="18"/>
      <c r="C1" s="18"/>
    </row>
    <row r="2" spans="1:8" x14ac:dyDescent="0.2">
      <c r="A2" s="2" t="s">
        <v>5</v>
      </c>
      <c r="B2" s="1" t="s">
        <v>16</v>
      </c>
      <c r="C2" s="1" t="s">
        <v>16</v>
      </c>
      <c r="F2" s="1" t="s">
        <v>1</v>
      </c>
      <c r="H2" s="1" t="s">
        <v>4</v>
      </c>
    </row>
    <row r="3" spans="1:8" x14ac:dyDescent="0.2">
      <c r="A3" s="2"/>
      <c r="E3" s="1" t="s">
        <v>0</v>
      </c>
      <c r="F3" s="1">
        <f>B4*8760/12/C4</f>
        <v>1.7663467095536014</v>
      </c>
      <c r="H3" s="1">
        <f>(F3+F20)/2</f>
        <v>1.8096066404131788</v>
      </c>
    </row>
    <row r="4" spans="1:8" x14ac:dyDescent="0.2">
      <c r="A4" s="3" t="s">
        <v>6</v>
      </c>
      <c r="B4" s="1">
        <v>31355402.129367318</v>
      </c>
      <c r="C4" s="1">
        <v>12958635714.40222</v>
      </c>
    </row>
    <row r="5" spans="1:8" x14ac:dyDescent="0.2">
      <c r="A5" s="3"/>
    </row>
    <row r="6" spans="1:8" x14ac:dyDescent="0.2">
      <c r="A6" s="3" t="s">
        <v>7</v>
      </c>
      <c r="B6" s="1">
        <v>1149934.4122485521</v>
      </c>
      <c r="C6" s="1">
        <v>625728757.40852118</v>
      </c>
    </row>
    <row r="7" spans="1:8" x14ac:dyDescent="0.2">
      <c r="A7" s="3"/>
    </row>
    <row r="8" spans="1:8" x14ac:dyDescent="0.2">
      <c r="A8" s="3" t="s">
        <v>8</v>
      </c>
      <c r="B8" s="1">
        <v>16785751.485720884</v>
      </c>
      <c r="C8" s="1">
        <v>8717129182.9882469</v>
      </c>
    </row>
    <row r="9" spans="1:8" x14ac:dyDescent="0.2">
      <c r="A9" s="3" t="s">
        <v>9</v>
      </c>
      <c r="B9" s="1">
        <v>2081169.0531524112</v>
      </c>
      <c r="C9" s="1">
        <v>1270137390.473707</v>
      </c>
      <c r="E9" s="1" t="s">
        <v>2</v>
      </c>
      <c r="F9" s="1">
        <f>B10*8760/12/C10</f>
        <v>1.3790411913079963</v>
      </c>
      <c r="H9" s="1">
        <f>(F9+F26)/2</f>
        <v>1.3751453524312673</v>
      </c>
    </row>
    <row r="10" spans="1:8" x14ac:dyDescent="0.2">
      <c r="A10" s="3" t="s">
        <v>10</v>
      </c>
      <c r="B10" s="1">
        <v>18866920.538873296</v>
      </c>
      <c r="C10" s="1">
        <v>9987266573.4619541</v>
      </c>
    </row>
    <row r="11" spans="1:8" x14ac:dyDescent="0.2">
      <c r="A11" s="3"/>
    </row>
    <row r="12" spans="1:8" x14ac:dyDescent="0.2">
      <c r="A12" s="3" t="s">
        <v>11</v>
      </c>
      <c r="B12" s="1">
        <v>503473.29575346987</v>
      </c>
      <c r="C12" s="1">
        <v>321598989.0128122</v>
      </c>
    </row>
    <row r="13" spans="1:8" x14ac:dyDescent="0.2">
      <c r="A13" s="3" t="s">
        <v>12</v>
      </c>
      <c r="B13" s="1">
        <v>6422528.6221873285</v>
      </c>
      <c r="C13" s="1">
        <v>4364950738.4494123</v>
      </c>
      <c r="E13" s="1" t="s">
        <v>3</v>
      </c>
      <c r="F13" s="1">
        <f>(B14+B15)*8760/12/(C14+C15)</f>
        <v>1.0114178741370123</v>
      </c>
      <c r="H13" s="1">
        <f>(F13+F32)/2</f>
        <v>0.94132783110836504</v>
      </c>
    </row>
    <row r="14" spans="1:8" x14ac:dyDescent="0.2">
      <c r="A14" s="3" t="s">
        <v>13</v>
      </c>
      <c r="B14" s="1">
        <v>6926001.9179407982</v>
      </c>
      <c r="C14" s="1">
        <v>4686549727.462225</v>
      </c>
      <c r="E14" s="1" t="s">
        <v>50</v>
      </c>
      <c r="F14" s="1">
        <f>(B10+B14+B15)*8760/12/(C10+C14+C15)</f>
        <v>1.1919643771772717</v>
      </c>
      <c r="H14" s="1">
        <f>(F14+F33)/2</f>
        <v>1.0333304156458412</v>
      </c>
    </row>
    <row r="15" spans="1:8" x14ac:dyDescent="0.2">
      <c r="A15" s="3" t="s">
        <v>14</v>
      </c>
      <c r="B15" s="1">
        <v>7411889.6102922168</v>
      </c>
      <c r="C15" s="1">
        <v>5661953184.3937979</v>
      </c>
    </row>
    <row r="16" spans="1:8" x14ac:dyDescent="0.2">
      <c r="A16" s="3"/>
    </row>
    <row r="17" spans="1:6" x14ac:dyDescent="0.2">
      <c r="A17" s="3" t="s">
        <v>15</v>
      </c>
      <c r="B17" s="1">
        <v>59138.823141657922</v>
      </c>
      <c r="C17" s="1">
        <v>283240840.71998429</v>
      </c>
    </row>
    <row r="18" spans="1:6" x14ac:dyDescent="0.2">
      <c r="A18" s="18">
        <v>2024</v>
      </c>
      <c r="B18" s="18"/>
      <c r="C18" s="18"/>
    </row>
    <row r="19" spans="1:6" x14ac:dyDescent="0.2">
      <c r="A19" s="2" t="s">
        <v>5</v>
      </c>
      <c r="B19" s="1" t="s">
        <v>16</v>
      </c>
      <c r="C19" s="1" t="s">
        <v>16</v>
      </c>
    </row>
    <row r="20" spans="1:6" x14ac:dyDescent="0.2">
      <c r="A20" s="2"/>
      <c r="E20" s="1" t="s">
        <v>0</v>
      </c>
      <c r="F20" s="1">
        <f>B21*8760/12/C21</f>
        <v>1.8528665712727561</v>
      </c>
    </row>
    <row r="21" spans="1:6" x14ac:dyDescent="0.2">
      <c r="A21" s="4" t="s">
        <v>6</v>
      </c>
      <c r="B21" s="1">
        <v>34364734.810511813</v>
      </c>
      <c r="C21" s="1">
        <v>13539159700.226864</v>
      </c>
    </row>
    <row r="22" spans="1:6" x14ac:dyDescent="0.2">
      <c r="A22" s="4"/>
    </row>
    <row r="23" spans="1:6" x14ac:dyDescent="0.2">
      <c r="A23" s="4" t="s">
        <v>24</v>
      </c>
      <c r="B23" s="1">
        <v>1313062.249034771</v>
      </c>
      <c r="C23" s="1">
        <v>722776454.1162051</v>
      </c>
    </row>
    <row r="24" spans="1:6" x14ac:dyDescent="0.2">
      <c r="A24" s="4"/>
    </row>
    <row r="25" spans="1:6" x14ac:dyDescent="0.2">
      <c r="A25" s="4" t="s">
        <v>23</v>
      </c>
      <c r="B25" s="1">
        <v>16490563.051300909</v>
      </c>
      <c r="C25" s="1">
        <v>8490810402.6776323</v>
      </c>
    </row>
    <row r="26" spans="1:6" x14ac:dyDescent="0.2">
      <c r="A26" s="4" t="s">
        <v>17</v>
      </c>
      <c r="B26" s="1">
        <v>2104178.6695342427</v>
      </c>
      <c r="C26" s="1">
        <v>1408308118.0814843</v>
      </c>
      <c r="E26" s="1" t="s">
        <v>2</v>
      </c>
      <c r="F26" s="1">
        <f>B27*8760/12/C27</f>
        <v>1.3712495135545384</v>
      </c>
    </row>
    <row r="27" spans="1:6" x14ac:dyDescent="0.2">
      <c r="A27" s="5" t="s">
        <v>10</v>
      </c>
      <c r="B27" s="1">
        <v>18594741.720835153</v>
      </c>
      <c r="C27" s="1">
        <v>9899118520.7591171</v>
      </c>
    </row>
    <row r="28" spans="1:6" x14ac:dyDescent="0.2">
      <c r="A28" s="6"/>
    </row>
    <row r="29" spans="1:6" x14ac:dyDescent="0.2">
      <c r="A29" s="4" t="s">
        <v>18</v>
      </c>
      <c r="B29" s="1">
        <v>402619.62242348335</v>
      </c>
      <c r="C29" s="1">
        <v>272813116.95703787</v>
      </c>
    </row>
    <row r="30" spans="1:6" x14ac:dyDescent="0.2">
      <c r="A30" s="4" t="s">
        <v>19</v>
      </c>
      <c r="B30" s="1">
        <v>5362632.5105237458</v>
      </c>
      <c r="C30" s="1">
        <v>3925838646.6430259</v>
      </c>
    </row>
    <row r="31" spans="1:6" x14ac:dyDescent="0.2">
      <c r="A31" s="4" t="s">
        <v>20</v>
      </c>
      <c r="B31" s="1">
        <v>8558.527024025354</v>
      </c>
      <c r="C31" s="1">
        <v>6143051.1779999994</v>
      </c>
    </row>
    <row r="32" spans="1:6" x14ac:dyDescent="0.2">
      <c r="A32" s="4" t="s">
        <v>21</v>
      </c>
      <c r="B32" s="1">
        <v>710673.20204483555</v>
      </c>
      <c r="C32" s="1">
        <v>522230781.92939997</v>
      </c>
      <c r="E32" s="1" t="s">
        <v>3</v>
      </c>
      <c r="F32" s="1">
        <f>(B33+B34)*8760/12/(C33+C34)</f>
        <v>0.87123778807971786</v>
      </c>
    </row>
    <row r="33" spans="1:6" x14ac:dyDescent="0.2">
      <c r="A33" s="4" t="s">
        <v>13</v>
      </c>
      <c r="B33" s="1">
        <v>6484483.8620160902</v>
      </c>
      <c r="C33" s="1">
        <v>4727025596.7074642</v>
      </c>
      <c r="E33" s="1" t="s">
        <v>50</v>
      </c>
      <c r="F33" s="1">
        <f>(B29+B33+B34)*8760/12/(C29+C33+C34)</f>
        <v>0.87469645411441077</v>
      </c>
    </row>
    <row r="34" spans="1:6" x14ac:dyDescent="0.2">
      <c r="A34" s="5" t="s">
        <v>22</v>
      </c>
      <c r="B34" s="1">
        <v>12592160.740130836</v>
      </c>
      <c r="C34" s="1">
        <v>11257072832.105219</v>
      </c>
    </row>
    <row r="35" spans="1:6" x14ac:dyDescent="0.2">
      <c r="A35" s="4"/>
    </row>
    <row r="36" spans="1:6" x14ac:dyDescent="0.2">
      <c r="A36" s="4" t="s">
        <v>15</v>
      </c>
      <c r="B36" s="1">
        <v>56903.685182889822</v>
      </c>
      <c r="C36" s="1">
        <v>256359076.9438501</v>
      </c>
    </row>
  </sheetData>
  <mergeCells count="2">
    <mergeCell ref="A1:C1"/>
    <mergeCell ref="A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088B-5DF5-2944-B71B-050C4C941AC4}">
  <dimension ref="A1:N56"/>
  <sheetViews>
    <sheetView workbookViewId="0">
      <selection activeCell="N6" sqref="N6"/>
    </sheetView>
  </sheetViews>
  <sheetFormatPr baseColWidth="10" defaultRowHeight="14" x14ac:dyDescent="0.15"/>
  <cols>
    <col min="1" max="1" width="10.83203125" style="10"/>
    <col min="2" max="2" width="8.33203125" style="10" bestFit="1" customWidth="1"/>
    <col min="3" max="3" width="9.1640625" style="10" bestFit="1" customWidth="1"/>
    <col min="4" max="9" width="11" style="10" bestFit="1" customWidth="1"/>
    <col min="10" max="11" width="10.83203125" style="10"/>
    <col min="12" max="12" width="14" style="10" bestFit="1" customWidth="1"/>
    <col min="13" max="16384" width="10.83203125" style="10"/>
  </cols>
  <sheetData>
    <row r="1" spans="1:14" x14ac:dyDescent="0.15">
      <c r="A1" s="19">
        <v>2017</v>
      </c>
      <c r="B1" s="19"/>
      <c r="C1" s="19"/>
      <c r="D1" s="19"/>
      <c r="E1" s="19"/>
      <c r="F1" s="19"/>
      <c r="G1" s="19"/>
      <c r="H1" s="19"/>
      <c r="I1" s="19"/>
    </row>
    <row r="2" spans="1:14" x14ac:dyDescent="0.15">
      <c r="B2" s="19" t="s">
        <v>25</v>
      </c>
      <c r="C2" s="19"/>
      <c r="D2" s="19" t="s">
        <v>26</v>
      </c>
      <c r="E2" s="19"/>
      <c r="F2" s="19" t="s">
        <v>39</v>
      </c>
      <c r="G2" s="19"/>
      <c r="H2" s="19" t="s">
        <v>40</v>
      </c>
      <c r="I2" s="19"/>
      <c r="K2" s="11"/>
      <c r="L2" s="11" t="s">
        <v>1</v>
      </c>
      <c r="N2" s="10" t="s">
        <v>4</v>
      </c>
    </row>
    <row r="3" spans="1:14" x14ac:dyDescent="0.15">
      <c r="A3" s="10" t="s">
        <v>27</v>
      </c>
      <c r="B3" s="12">
        <v>5701.53</v>
      </c>
      <c r="C3" s="9">
        <v>1903.61</v>
      </c>
      <c r="D3" s="10">
        <v>161.9</v>
      </c>
      <c r="E3" s="10">
        <v>83.47</v>
      </c>
      <c r="F3" s="9">
        <v>4188.92</v>
      </c>
      <c r="G3" s="9">
        <v>2527.5</v>
      </c>
      <c r="H3" s="9">
        <v>2330.38</v>
      </c>
      <c r="I3" s="9">
        <v>1931.55</v>
      </c>
      <c r="K3" s="11" t="s">
        <v>0</v>
      </c>
      <c r="L3" s="20">
        <f>SUM(B3:B14)/12*8760/SUM(C3:C14)/1000</f>
        <v>1.7653905559180687</v>
      </c>
      <c r="N3" s="20">
        <f>(L3+L17+L31+L45)/4</f>
        <v>1.7177173452815639</v>
      </c>
    </row>
    <row r="4" spans="1:14" x14ac:dyDescent="0.15">
      <c r="A4" s="10" t="s">
        <v>28</v>
      </c>
      <c r="B4" s="13">
        <v>3010.85</v>
      </c>
      <c r="C4" s="9">
        <v>1620.3</v>
      </c>
      <c r="D4" s="10">
        <v>105.1</v>
      </c>
      <c r="E4" s="10">
        <v>74.760000000000005</v>
      </c>
      <c r="F4" s="9">
        <v>3846.43</v>
      </c>
      <c r="G4" s="9">
        <v>2319.08</v>
      </c>
      <c r="H4" s="9">
        <v>2251.15</v>
      </c>
      <c r="I4" s="9">
        <v>1657.33</v>
      </c>
      <c r="K4" s="11" t="s">
        <v>2</v>
      </c>
      <c r="L4" s="20">
        <f>SUM(D3:D14,F3:F14)/12*8760/SUM(E3:E14,G3:G14)/1000</f>
        <v>1.3140589168987167</v>
      </c>
      <c r="N4" s="20">
        <f t="shared" ref="N4:N6" si="0">(L4+L18+L32+L46)/4</f>
        <v>1.2630113822294993</v>
      </c>
    </row>
    <row r="5" spans="1:14" x14ac:dyDescent="0.15">
      <c r="A5" s="10" t="s">
        <v>29</v>
      </c>
      <c r="B5" s="10">
        <v>4672.3599999999997</v>
      </c>
      <c r="C5" s="9">
        <v>1913.87</v>
      </c>
      <c r="D5" s="10">
        <v>110.22</v>
      </c>
      <c r="E5" s="10">
        <v>81.59</v>
      </c>
      <c r="F5" s="9">
        <v>4773.5600000000004</v>
      </c>
      <c r="G5" s="9">
        <v>2629.27</v>
      </c>
      <c r="H5" s="9">
        <v>2781.24</v>
      </c>
      <c r="I5" s="9">
        <v>2042.11</v>
      </c>
      <c r="K5" s="11" t="s">
        <v>3</v>
      </c>
      <c r="L5" s="20">
        <f>SUM(F3:F14,H3:H14)/12*8760/SUM(G3:G14,I3:I14)/1000</f>
        <v>1.1656877516842461</v>
      </c>
      <c r="N5" s="20">
        <f t="shared" si="0"/>
        <v>1.0151557269503895</v>
      </c>
    </row>
    <row r="6" spans="1:14" x14ac:dyDescent="0.15">
      <c r="A6" s="10" t="s">
        <v>30</v>
      </c>
      <c r="B6" s="10">
        <v>6405.66</v>
      </c>
      <c r="C6" s="9">
        <v>2177.63</v>
      </c>
      <c r="D6" s="10">
        <v>122.01</v>
      </c>
      <c r="E6" s="10">
        <v>80.55</v>
      </c>
      <c r="F6" s="9">
        <v>5264.29</v>
      </c>
      <c r="G6" s="9">
        <v>2633.35</v>
      </c>
      <c r="H6" s="9">
        <v>2138.29</v>
      </c>
      <c r="I6" s="9">
        <v>1727.36</v>
      </c>
      <c r="K6" s="11" t="s">
        <v>50</v>
      </c>
      <c r="L6" s="11">
        <f>SUM(D3:D14,F3:F14,H3:H14)/12*8760/SUM(E3:E14,G3:G14,I3:I14)/1000</f>
        <v>1.1646074951168697</v>
      </c>
      <c r="N6" s="20">
        <f t="shared" si="0"/>
        <v>1.1236834624147412</v>
      </c>
    </row>
    <row r="7" spans="1:14" x14ac:dyDescent="0.15">
      <c r="A7" s="10" t="s">
        <v>31</v>
      </c>
      <c r="B7" s="10">
        <v>6234.92</v>
      </c>
      <c r="C7" s="9">
        <v>2777.46</v>
      </c>
      <c r="D7" s="10">
        <v>125.82</v>
      </c>
      <c r="E7" s="10">
        <v>86.69</v>
      </c>
      <c r="F7" s="9">
        <v>5369.75</v>
      </c>
      <c r="G7" s="9">
        <v>2944</v>
      </c>
      <c r="H7" s="9">
        <v>2698.39</v>
      </c>
      <c r="I7" s="9">
        <v>1837.55</v>
      </c>
      <c r="K7" s="11"/>
      <c r="L7" s="11"/>
    </row>
    <row r="8" spans="1:14" x14ac:dyDescent="0.15">
      <c r="A8" s="10" t="s">
        <v>32</v>
      </c>
      <c r="B8" s="10">
        <v>8099.18</v>
      </c>
      <c r="C8" s="9">
        <v>3428.75</v>
      </c>
      <c r="D8" s="10">
        <v>142.79</v>
      </c>
      <c r="E8" s="10">
        <v>90.96</v>
      </c>
      <c r="F8" s="9">
        <v>5683.64</v>
      </c>
      <c r="G8" s="9">
        <v>3080.77</v>
      </c>
      <c r="H8" s="9">
        <v>2104.73</v>
      </c>
      <c r="I8" s="9">
        <v>1936.18</v>
      </c>
      <c r="K8" s="11"/>
      <c r="L8" s="11"/>
    </row>
    <row r="9" spans="1:14" x14ac:dyDescent="0.15">
      <c r="A9" s="10" t="s">
        <v>33</v>
      </c>
      <c r="B9" s="10">
        <v>8909.41</v>
      </c>
      <c r="C9" s="9">
        <v>4095.75</v>
      </c>
      <c r="D9" s="10">
        <v>147.87</v>
      </c>
      <c r="E9" s="10">
        <v>97.33</v>
      </c>
      <c r="F9" s="9">
        <v>5855.93</v>
      </c>
      <c r="G9" s="9">
        <v>3306.43</v>
      </c>
      <c r="H9" s="9">
        <v>2152.91</v>
      </c>
      <c r="I9" s="9">
        <v>2058.5700000000002</v>
      </c>
    </row>
    <row r="10" spans="1:14" x14ac:dyDescent="0.15">
      <c r="A10" s="10" t="s">
        <v>34</v>
      </c>
      <c r="B10" s="10">
        <v>8402.5</v>
      </c>
      <c r="C10" s="9">
        <v>3791.81</v>
      </c>
      <c r="D10" s="10">
        <v>150.35</v>
      </c>
      <c r="E10" s="10">
        <v>97.58</v>
      </c>
      <c r="F10" s="9">
        <v>6111.97</v>
      </c>
      <c r="G10" s="9">
        <v>3213.93</v>
      </c>
      <c r="H10" s="9">
        <v>2900.9</v>
      </c>
      <c r="I10" s="9">
        <v>1977.76</v>
      </c>
      <c r="K10" s="11"/>
      <c r="L10" s="11"/>
    </row>
    <row r="11" spans="1:14" x14ac:dyDescent="0.15">
      <c r="A11" s="10" t="s">
        <v>35</v>
      </c>
      <c r="B11" s="10">
        <v>6692.57</v>
      </c>
      <c r="C11" s="9">
        <v>3159.39</v>
      </c>
      <c r="D11" s="10">
        <v>135.54</v>
      </c>
      <c r="E11" s="10">
        <v>89.76</v>
      </c>
      <c r="F11" s="9">
        <v>5563.29</v>
      </c>
      <c r="G11" s="9">
        <v>2992.47</v>
      </c>
      <c r="H11" s="9">
        <v>2041.61</v>
      </c>
      <c r="I11" s="9">
        <v>1778.87</v>
      </c>
      <c r="K11" s="11"/>
      <c r="L11" s="11"/>
    </row>
    <row r="12" spans="1:14" x14ac:dyDescent="0.15">
      <c r="A12" s="10" t="s">
        <v>36</v>
      </c>
      <c r="B12" s="10">
        <v>7408.78</v>
      </c>
      <c r="C12" s="9">
        <v>2482.46</v>
      </c>
      <c r="D12" s="10">
        <v>140.5</v>
      </c>
      <c r="E12" s="10">
        <v>91.85</v>
      </c>
      <c r="F12" s="9">
        <v>5773.2</v>
      </c>
      <c r="G12" s="9">
        <v>2852.68</v>
      </c>
      <c r="H12" s="9">
        <v>2770.72</v>
      </c>
      <c r="I12" s="9">
        <v>2056.15</v>
      </c>
      <c r="K12" s="11"/>
      <c r="L12" s="11"/>
    </row>
    <row r="13" spans="1:14" x14ac:dyDescent="0.15">
      <c r="A13" s="10" t="s">
        <v>37</v>
      </c>
      <c r="B13" s="10">
        <v>5865.59</v>
      </c>
      <c r="C13" s="9">
        <v>1880.55</v>
      </c>
      <c r="D13" s="10">
        <v>102.94</v>
      </c>
      <c r="E13" s="10">
        <v>82.32</v>
      </c>
      <c r="F13" s="9">
        <v>3863.69</v>
      </c>
      <c r="G13" s="9">
        <v>2530.35</v>
      </c>
      <c r="H13" s="9">
        <v>3161.42</v>
      </c>
      <c r="I13" s="9">
        <v>2142.75</v>
      </c>
    </row>
    <row r="14" spans="1:14" x14ac:dyDescent="0.15">
      <c r="A14" s="10" t="s">
        <v>38</v>
      </c>
      <c r="B14" s="10">
        <v>4572.53</v>
      </c>
      <c r="C14" s="9">
        <v>2184.92</v>
      </c>
      <c r="D14" s="10">
        <v>139.97</v>
      </c>
      <c r="E14" s="10">
        <v>89.23</v>
      </c>
      <c r="F14" s="9">
        <v>4391.97</v>
      </c>
      <c r="G14" s="9">
        <v>2517.89</v>
      </c>
      <c r="H14" s="9">
        <v>2487.15</v>
      </c>
      <c r="I14" s="9">
        <v>1984.26</v>
      </c>
    </row>
    <row r="15" spans="1:14" x14ac:dyDescent="0.15">
      <c r="A15" s="19">
        <v>2020</v>
      </c>
      <c r="B15" s="19"/>
      <c r="C15" s="19"/>
      <c r="D15" s="19"/>
      <c r="E15" s="19"/>
      <c r="F15" s="19"/>
      <c r="G15" s="19"/>
      <c r="H15" s="19"/>
      <c r="I15" s="19"/>
    </row>
    <row r="16" spans="1:14" x14ac:dyDescent="0.15">
      <c r="B16" s="19" t="s">
        <v>25</v>
      </c>
      <c r="C16" s="19"/>
      <c r="D16" s="19" t="s">
        <v>26</v>
      </c>
      <c r="E16" s="19"/>
      <c r="F16" s="19" t="s">
        <v>39</v>
      </c>
      <c r="G16" s="19"/>
      <c r="H16" s="19" t="s">
        <v>40</v>
      </c>
      <c r="I16" s="19"/>
      <c r="K16" s="11"/>
      <c r="L16" s="11" t="s">
        <v>1</v>
      </c>
    </row>
    <row r="17" spans="1:12" x14ac:dyDescent="0.15">
      <c r="A17" s="10" t="s">
        <v>27</v>
      </c>
      <c r="B17" s="12">
        <v>3221.04</v>
      </c>
      <c r="C17" s="9">
        <v>1791.13</v>
      </c>
      <c r="D17" s="9">
        <v>4003.64</v>
      </c>
      <c r="E17" s="9">
        <v>2443.0500000000002</v>
      </c>
      <c r="F17" s="10">
        <v>522.65</v>
      </c>
      <c r="G17" s="10">
        <v>347.68</v>
      </c>
      <c r="H17" s="9">
        <v>3217.13</v>
      </c>
      <c r="I17" s="9">
        <v>2346.2399999999998</v>
      </c>
      <c r="K17" s="11" t="s">
        <v>0</v>
      </c>
      <c r="L17" s="20">
        <f>SUM(B17:B28)/12*8760/SUM(C17:C28)/1000</f>
        <v>1.6798660016237557</v>
      </c>
    </row>
    <row r="18" spans="1:12" x14ac:dyDescent="0.15">
      <c r="A18" s="10" t="s">
        <v>28</v>
      </c>
      <c r="B18" s="13">
        <v>3996.76</v>
      </c>
      <c r="C18" s="9">
        <v>1737.99</v>
      </c>
      <c r="D18" s="9">
        <v>4537.68</v>
      </c>
      <c r="E18" s="9">
        <v>2324.33</v>
      </c>
      <c r="F18" s="10">
        <v>583.54</v>
      </c>
      <c r="G18" s="10">
        <v>332.77</v>
      </c>
      <c r="H18" s="9">
        <v>2799.02</v>
      </c>
      <c r="I18" s="9">
        <v>2212.0100000000002</v>
      </c>
      <c r="K18" s="11" t="s">
        <v>2</v>
      </c>
      <c r="L18" s="20">
        <f>SUM(D17:D28,F17:F28)/12*8760/SUM(E17:E28,G17:G28)/1000</f>
        <v>1.1889542485157287</v>
      </c>
    </row>
    <row r="19" spans="1:12" x14ac:dyDescent="0.15">
      <c r="A19" s="10" t="s">
        <v>29</v>
      </c>
      <c r="B19" s="10">
        <v>6039.56</v>
      </c>
      <c r="C19" s="9">
        <v>2071.9899999999998</v>
      </c>
      <c r="D19" s="9">
        <v>4147.2700000000004</v>
      </c>
      <c r="E19" s="9">
        <v>2475.81</v>
      </c>
      <c r="F19" s="10">
        <v>534.69000000000005</v>
      </c>
      <c r="G19" s="10">
        <v>361.34</v>
      </c>
      <c r="H19" s="9">
        <v>4142.13</v>
      </c>
      <c r="I19" s="9">
        <v>2738.9</v>
      </c>
      <c r="K19" s="11" t="s">
        <v>3</v>
      </c>
      <c r="L19" s="20">
        <f>SUM(F17:F28,H17:H28)/12*8760/SUM(G17:G28,I17:I28)/1000</f>
        <v>0.95191479999715167</v>
      </c>
    </row>
    <row r="20" spans="1:12" x14ac:dyDescent="0.15">
      <c r="A20" s="10" t="s">
        <v>30</v>
      </c>
      <c r="B20" s="10">
        <v>5926.7</v>
      </c>
      <c r="C20" s="9">
        <v>2162.5100000000002</v>
      </c>
      <c r="D20" s="9">
        <v>3995.58</v>
      </c>
      <c r="E20" s="9">
        <v>2172.69</v>
      </c>
      <c r="F20" s="10">
        <v>518.88</v>
      </c>
      <c r="G20" s="10">
        <v>315.77</v>
      </c>
      <c r="H20" s="9">
        <v>3239.93</v>
      </c>
      <c r="I20" s="9">
        <v>2319.5100000000002</v>
      </c>
      <c r="K20" s="11" t="s">
        <v>50</v>
      </c>
      <c r="L20" s="11">
        <f>SUM(D17:D28,F17:F28,H17:H28)/12*8760/SUM(E17:E28,G17:G28,I17:I28)/1000</f>
        <v>1.0742065938025047</v>
      </c>
    </row>
    <row r="21" spans="1:12" x14ac:dyDescent="0.15">
      <c r="A21" s="10" t="s">
        <v>31</v>
      </c>
      <c r="B21" s="10">
        <v>7896.33</v>
      </c>
      <c r="C21" s="9">
        <v>3004.59</v>
      </c>
      <c r="D21" s="9">
        <v>4482.38</v>
      </c>
      <c r="E21" s="9">
        <v>2548.6</v>
      </c>
      <c r="F21" s="10">
        <v>490.05</v>
      </c>
      <c r="G21" s="10">
        <v>328.52</v>
      </c>
      <c r="H21" s="9">
        <v>3128.07</v>
      </c>
      <c r="I21" s="9">
        <v>2359.6799999999998</v>
      </c>
      <c r="K21" s="11"/>
      <c r="L21" s="11"/>
    </row>
    <row r="22" spans="1:12" x14ac:dyDescent="0.15">
      <c r="A22" s="10" t="s">
        <v>32</v>
      </c>
      <c r="B22" s="10">
        <v>8279.27</v>
      </c>
      <c r="C22" s="9">
        <v>3579.74</v>
      </c>
      <c r="D22" s="9">
        <v>4716.3900000000003</v>
      </c>
      <c r="E22" s="9">
        <v>2785.44</v>
      </c>
      <c r="F22" s="10">
        <v>508.09</v>
      </c>
      <c r="G22" s="10">
        <v>347.16</v>
      </c>
      <c r="H22" s="9">
        <v>2836.36</v>
      </c>
      <c r="I22" s="9">
        <v>2197.92</v>
      </c>
      <c r="K22" s="11"/>
      <c r="L22" s="11"/>
    </row>
    <row r="23" spans="1:12" x14ac:dyDescent="0.15">
      <c r="A23" s="10" t="s">
        <v>33</v>
      </c>
      <c r="B23" s="10">
        <v>9545.75</v>
      </c>
      <c r="C23" s="9">
        <v>4245.57</v>
      </c>
      <c r="D23" s="9">
        <v>5366.28</v>
      </c>
      <c r="E23" s="9">
        <v>3104.58</v>
      </c>
      <c r="F23" s="10">
        <v>540.53</v>
      </c>
      <c r="G23" s="10">
        <v>379.32</v>
      </c>
      <c r="H23" s="9">
        <v>2457.5</v>
      </c>
      <c r="I23" s="9">
        <v>2230.71</v>
      </c>
    </row>
    <row r="24" spans="1:12" x14ac:dyDescent="0.15">
      <c r="A24" s="10" t="s">
        <v>34</v>
      </c>
      <c r="B24" s="10">
        <v>9059.35</v>
      </c>
      <c r="C24" s="9">
        <v>4302.47</v>
      </c>
      <c r="D24" s="9">
        <v>5450.3</v>
      </c>
      <c r="E24" s="9">
        <v>3101.71</v>
      </c>
      <c r="F24" s="10">
        <v>548.86</v>
      </c>
      <c r="G24" s="10">
        <v>375.81</v>
      </c>
      <c r="H24" s="9">
        <v>3017.09</v>
      </c>
      <c r="I24" s="9">
        <v>2301.0500000000002</v>
      </c>
      <c r="K24" s="11"/>
      <c r="L24" s="11"/>
    </row>
    <row r="25" spans="1:12" x14ac:dyDescent="0.15">
      <c r="A25" s="10" t="s">
        <v>35</v>
      </c>
      <c r="B25" s="10">
        <v>6931.56</v>
      </c>
      <c r="C25" s="9">
        <v>3217.38</v>
      </c>
      <c r="D25" s="9">
        <v>4095.47</v>
      </c>
      <c r="E25" s="9">
        <v>2791.91</v>
      </c>
      <c r="F25" s="10">
        <v>460.38</v>
      </c>
      <c r="G25" s="10">
        <v>355.12</v>
      </c>
      <c r="H25" s="9">
        <v>3437.68</v>
      </c>
      <c r="I25" s="9">
        <v>2540.23</v>
      </c>
      <c r="K25" s="11"/>
      <c r="L25" s="11"/>
    </row>
    <row r="26" spans="1:12" x14ac:dyDescent="0.15">
      <c r="A26" s="10" t="s">
        <v>36</v>
      </c>
      <c r="B26" s="10">
        <v>7601.06</v>
      </c>
      <c r="C26" s="9">
        <v>2469.91</v>
      </c>
      <c r="D26" s="9">
        <v>3951.73</v>
      </c>
      <c r="E26" s="9">
        <v>2621.61</v>
      </c>
      <c r="F26" s="10">
        <v>487.32</v>
      </c>
      <c r="G26" s="10">
        <v>353.09</v>
      </c>
      <c r="H26" s="9">
        <v>4265.1899999999996</v>
      </c>
      <c r="I26" s="9">
        <v>2930.05</v>
      </c>
      <c r="K26" s="11"/>
      <c r="L26" s="11"/>
    </row>
    <row r="27" spans="1:12" x14ac:dyDescent="0.15">
      <c r="A27" s="10" t="s">
        <v>37</v>
      </c>
      <c r="B27" s="10">
        <v>4472.8100000000004</v>
      </c>
      <c r="C27" s="9">
        <v>1902.54</v>
      </c>
      <c r="D27" s="9">
        <v>4610.8100000000004</v>
      </c>
      <c r="E27" s="9">
        <v>2290.9499999999998</v>
      </c>
      <c r="F27" s="10">
        <v>525.16999999999996</v>
      </c>
      <c r="G27" s="10">
        <v>324.32</v>
      </c>
      <c r="H27" s="9">
        <v>4186.93</v>
      </c>
      <c r="I27" s="9">
        <v>2801.08</v>
      </c>
    </row>
    <row r="28" spans="1:12" x14ac:dyDescent="0.15">
      <c r="A28" s="10" t="s">
        <v>38</v>
      </c>
      <c r="B28" s="10">
        <v>1659.56</v>
      </c>
      <c r="C28" s="9">
        <v>1945.17</v>
      </c>
      <c r="D28" s="9">
        <v>1614.07</v>
      </c>
      <c r="E28" s="9">
        <v>2141.2199999999998</v>
      </c>
      <c r="F28" s="10">
        <v>190.01</v>
      </c>
      <c r="G28" s="10">
        <v>301.75</v>
      </c>
      <c r="H28" s="9">
        <v>1311.95</v>
      </c>
      <c r="I28" s="9">
        <v>2603.4899999999998</v>
      </c>
    </row>
    <row r="29" spans="1:12" x14ac:dyDescent="0.15">
      <c r="A29" s="19">
        <v>2021</v>
      </c>
      <c r="B29" s="19"/>
      <c r="C29" s="19"/>
      <c r="D29" s="19"/>
      <c r="E29" s="19"/>
      <c r="F29" s="19"/>
      <c r="G29" s="19"/>
      <c r="H29" s="19"/>
      <c r="I29" s="19"/>
    </row>
    <row r="30" spans="1:12" x14ac:dyDescent="0.15">
      <c r="B30" s="19" t="s">
        <v>25</v>
      </c>
      <c r="C30" s="19"/>
      <c r="D30" s="19" t="s">
        <v>26</v>
      </c>
      <c r="E30" s="19"/>
      <c r="F30" s="19" t="s">
        <v>39</v>
      </c>
      <c r="G30" s="19"/>
      <c r="H30" s="19" t="s">
        <v>40</v>
      </c>
      <c r="I30" s="19"/>
      <c r="K30" s="11"/>
      <c r="L30" s="11" t="s">
        <v>1</v>
      </c>
    </row>
    <row r="31" spans="1:12" ht="16" x14ac:dyDescent="0.2">
      <c r="A31" s="10" t="s">
        <v>27</v>
      </c>
      <c r="B31" s="12">
        <v>4792.1899999999996</v>
      </c>
      <c r="C31" s="7">
        <v>2067.25</v>
      </c>
      <c r="D31" s="9">
        <v>4531.24</v>
      </c>
      <c r="E31" s="7">
        <v>2322.0300000000002</v>
      </c>
      <c r="F31" s="10">
        <v>498.71</v>
      </c>
      <c r="G31">
        <v>325.89999999999998</v>
      </c>
      <c r="H31" s="9">
        <v>3473.66</v>
      </c>
      <c r="I31" s="7">
        <v>2764.53</v>
      </c>
      <c r="K31" s="11" t="s">
        <v>0</v>
      </c>
      <c r="L31" s="20">
        <f>SUM(B31:B42)/12*8760/SUM(C31:C42)/1000</f>
        <v>1.6723974603133713</v>
      </c>
    </row>
    <row r="32" spans="1:12" ht="16" x14ac:dyDescent="0.2">
      <c r="A32" s="10" t="s">
        <v>28</v>
      </c>
      <c r="B32" s="13">
        <v>6864.01</v>
      </c>
      <c r="C32" s="7">
        <v>2310.86</v>
      </c>
      <c r="D32" s="9">
        <v>3988.21</v>
      </c>
      <c r="E32" s="7">
        <v>2079.02</v>
      </c>
      <c r="F32" s="10">
        <v>480.76</v>
      </c>
      <c r="G32">
        <v>249.21</v>
      </c>
      <c r="H32" s="9">
        <v>2874.06</v>
      </c>
      <c r="I32" s="7">
        <v>1731.62</v>
      </c>
      <c r="K32" s="11" t="s">
        <v>2</v>
      </c>
      <c r="L32" s="20">
        <f>SUM(D31:D42,F31:F42)/12*8760/SUM(E31:E42,G31:G42)/1000</f>
        <v>1.2739170221384826</v>
      </c>
    </row>
    <row r="33" spans="1:12" ht="16" x14ac:dyDescent="0.2">
      <c r="A33" s="10" t="s">
        <v>29</v>
      </c>
      <c r="B33" s="10">
        <v>3957.91</v>
      </c>
      <c r="C33" s="7">
        <v>1742.05</v>
      </c>
      <c r="D33" s="9">
        <v>3219.33</v>
      </c>
      <c r="E33" s="7">
        <v>2316.37</v>
      </c>
      <c r="F33" s="10">
        <v>415.97</v>
      </c>
      <c r="G33">
        <v>317.93</v>
      </c>
      <c r="H33" s="9">
        <v>3683.64</v>
      </c>
      <c r="I33" s="7">
        <v>2566.38</v>
      </c>
      <c r="K33" s="11" t="s">
        <v>3</v>
      </c>
      <c r="L33" s="20">
        <f>SUM(F31:F42,H31:H42)/12*8760/SUM(G31:G42,I31:I42)/1000</f>
        <v>0.98951515690190894</v>
      </c>
    </row>
    <row r="34" spans="1:12" ht="16" x14ac:dyDescent="0.2">
      <c r="A34" s="10" t="s">
        <v>30</v>
      </c>
      <c r="B34" s="10">
        <v>4244.3599999999997</v>
      </c>
      <c r="C34" s="7">
        <v>1913.53</v>
      </c>
      <c r="D34" s="9">
        <v>4244.62</v>
      </c>
      <c r="E34" s="7">
        <v>2364.48</v>
      </c>
      <c r="F34" s="10">
        <v>511.62</v>
      </c>
      <c r="G34">
        <v>323.58999999999997</v>
      </c>
      <c r="H34" s="9">
        <v>4035.17</v>
      </c>
      <c r="I34" s="7">
        <v>2833.68</v>
      </c>
      <c r="K34" s="11" t="s">
        <v>50</v>
      </c>
      <c r="L34" s="11">
        <f>SUM(D31:D42,F31:F42,H31:H42)/12*8760/SUM(E31:E42,G31:G42,I31:I42)/1000</f>
        <v>1.1309309550803932</v>
      </c>
    </row>
    <row r="35" spans="1:12" ht="16" x14ac:dyDescent="0.2">
      <c r="A35" s="10" t="s">
        <v>31</v>
      </c>
      <c r="B35" s="10">
        <v>6449.78</v>
      </c>
      <c r="C35" s="7">
        <v>2634.44</v>
      </c>
      <c r="D35" s="9">
        <v>5013.72</v>
      </c>
      <c r="E35" s="7">
        <v>2652.79</v>
      </c>
      <c r="F35" s="10">
        <v>575.41</v>
      </c>
      <c r="G35">
        <v>361.16</v>
      </c>
      <c r="H35" s="9">
        <v>4054.4</v>
      </c>
      <c r="I35" s="7">
        <v>2951.87</v>
      </c>
    </row>
    <row r="36" spans="1:12" ht="16" x14ac:dyDescent="0.2">
      <c r="A36" s="10" t="s">
        <v>32</v>
      </c>
      <c r="B36" s="10">
        <v>8080.81</v>
      </c>
      <c r="C36" s="7">
        <v>3595.13</v>
      </c>
      <c r="D36" s="9">
        <v>5398.52</v>
      </c>
      <c r="E36" s="7">
        <v>2953.91</v>
      </c>
      <c r="F36" s="10">
        <v>584.79999999999995</v>
      </c>
      <c r="G36">
        <v>376.5</v>
      </c>
      <c r="H36" s="9">
        <v>3685.46</v>
      </c>
      <c r="I36" s="7">
        <v>2791.27</v>
      </c>
    </row>
    <row r="37" spans="1:12" ht="16" x14ac:dyDescent="0.2">
      <c r="A37" s="10" t="s">
        <v>33</v>
      </c>
      <c r="B37" s="10">
        <v>7865.92</v>
      </c>
      <c r="C37" s="7">
        <v>3647.84</v>
      </c>
      <c r="D37" s="9">
        <v>4867.5200000000004</v>
      </c>
      <c r="E37" s="7">
        <v>3130.31</v>
      </c>
      <c r="F37" s="10">
        <v>494.67</v>
      </c>
      <c r="G37">
        <v>385.58</v>
      </c>
      <c r="H37" s="9">
        <v>3326.05</v>
      </c>
      <c r="I37" s="7">
        <v>2903.61</v>
      </c>
    </row>
    <row r="38" spans="1:12" ht="16" x14ac:dyDescent="0.2">
      <c r="A38" s="10" t="s">
        <v>34</v>
      </c>
      <c r="B38" s="10">
        <v>7991.06</v>
      </c>
      <c r="C38" s="7">
        <v>3815.07</v>
      </c>
      <c r="D38" s="9">
        <v>5195.37</v>
      </c>
      <c r="E38" s="7">
        <v>3019.22</v>
      </c>
      <c r="F38" s="10">
        <v>532.23</v>
      </c>
      <c r="G38">
        <v>375.1</v>
      </c>
      <c r="H38" s="9">
        <v>3321.06</v>
      </c>
      <c r="I38" s="7">
        <v>2693.73</v>
      </c>
    </row>
    <row r="39" spans="1:12" ht="16" x14ac:dyDescent="0.2">
      <c r="A39" s="10" t="s">
        <v>35</v>
      </c>
      <c r="B39" s="10">
        <v>7460.48</v>
      </c>
      <c r="C39" s="7">
        <v>3030.04</v>
      </c>
      <c r="D39" s="9">
        <v>5024.22</v>
      </c>
      <c r="E39" s="7">
        <v>2755.17</v>
      </c>
      <c r="F39" s="10">
        <v>495.09</v>
      </c>
      <c r="G39">
        <v>353.57</v>
      </c>
      <c r="H39" s="9">
        <v>3378.2</v>
      </c>
      <c r="I39" s="7">
        <v>2635.59</v>
      </c>
    </row>
    <row r="40" spans="1:12" ht="16" x14ac:dyDescent="0.2">
      <c r="A40" s="10" t="s">
        <v>36</v>
      </c>
      <c r="B40" s="10">
        <v>6045.42</v>
      </c>
      <c r="C40" s="7">
        <v>2567.2199999999998</v>
      </c>
      <c r="D40" s="9">
        <v>4710.66</v>
      </c>
      <c r="E40" s="7">
        <v>2727.26</v>
      </c>
      <c r="F40" s="10">
        <v>533.67999999999995</v>
      </c>
      <c r="G40">
        <v>372.97</v>
      </c>
      <c r="H40" s="9">
        <v>3895.63</v>
      </c>
      <c r="I40" s="7">
        <v>2878.46</v>
      </c>
    </row>
    <row r="41" spans="1:12" ht="16" x14ac:dyDescent="0.2">
      <c r="A41" s="10" t="s">
        <v>37</v>
      </c>
      <c r="B41" s="10">
        <v>3485.52</v>
      </c>
      <c r="C41" s="7">
        <v>1592.91</v>
      </c>
      <c r="D41" s="9">
        <v>4254.3999999999996</v>
      </c>
      <c r="E41" s="7">
        <v>2186.36</v>
      </c>
      <c r="F41" s="10">
        <v>512.27</v>
      </c>
      <c r="G41">
        <v>313.86</v>
      </c>
      <c r="H41" s="9">
        <v>3567.24</v>
      </c>
      <c r="I41" s="7">
        <v>2600.08</v>
      </c>
    </row>
    <row r="42" spans="1:12" ht="16" x14ac:dyDescent="0.2">
      <c r="A42" s="10" t="s">
        <v>38</v>
      </c>
      <c r="B42" s="10">
        <v>3917.21</v>
      </c>
      <c r="C42" s="7">
        <v>2142.61</v>
      </c>
      <c r="D42" s="9">
        <v>4631.66</v>
      </c>
      <c r="E42" s="7">
        <v>2487.88</v>
      </c>
      <c r="F42" s="10">
        <v>544.29</v>
      </c>
      <c r="G42">
        <v>353.41</v>
      </c>
      <c r="H42" s="9">
        <v>3938.02</v>
      </c>
      <c r="I42" s="7">
        <v>2993.43</v>
      </c>
    </row>
    <row r="43" spans="1:12" x14ac:dyDescent="0.15">
      <c r="A43" s="19">
        <v>2022</v>
      </c>
      <c r="B43" s="19"/>
      <c r="C43" s="19"/>
      <c r="D43" s="19"/>
      <c r="E43" s="19"/>
      <c r="F43" s="19"/>
      <c r="G43" s="19"/>
      <c r="H43" s="19"/>
      <c r="I43" s="19"/>
    </row>
    <row r="44" spans="1:12" x14ac:dyDescent="0.15">
      <c r="B44" s="19" t="s">
        <v>25</v>
      </c>
      <c r="C44" s="19"/>
      <c r="D44" s="19" t="s">
        <v>26</v>
      </c>
      <c r="E44" s="19"/>
      <c r="F44" s="19" t="s">
        <v>39</v>
      </c>
      <c r="G44" s="19"/>
      <c r="H44" s="19" t="s">
        <v>40</v>
      </c>
      <c r="I44" s="19"/>
      <c r="K44" s="11"/>
      <c r="L44" s="11" t="s">
        <v>1</v>
      </c>
    </row>
    <row r="45" spans="1:12" x14ac:dyDescent="0.15">
      <c r="A45" s="10" t="s">
        <v>27</v>
      </c>
      <c r="B45" s="12">
        <v>4666.4822535837702</v>
      </c>
      <c r="C45" s="9">
        <v>2253.2650455698599</v>
      </c>
      <c r="D45" s="9">
        <v>4602.6276101244894</v>
      </c>
      <c r="E45" s="9">
        <v>2463.2794886002698</v>
      </c>
      <c r="F45" s="10">
        <v>534.73994295702244</v>
      </c>
      <c r="G45" s="10">
        <v>335.21746016702679</v>
      </c>
      <c r="H45" s="9">
        <v>3752.8882582614601</v>
      </c>
      <c r="I45" s="9">
        <v>2826.54518464682</v>
      </c>
      <c r="K45" s="11" t="s">
        <v>0</v>
      </c>
      <c r="L45" s="20">
        <f>SUM(B45:B56)/12*8760/SUM(C45:C56)/1000</f>
        <v>1.7532153632710601</v>
      </c>
    </row>
    <row r="46" spans="1:12" x14ac:dyDescent="0.15">
      <c r="A46" s="10" t="s">
        <v>28</v>
      </c>
      <c r="B46" s="13">
        <v>6522.4960015479301</v>
      </c>
      <c r="C46" s="9">
        <v>2141.8000694284401</v>
      </c>
      <c r="D46" s="9">
        <v>4976.2126701749603</v>
      </c>
      <c r="E46" s="9">
        <v>2385.2740518826099</v>
      </c>
      <c r="F46" s="10">
        <v>526.1618773838062</v>
      </c>
      <c r="G46" s="10">
        <v>315.05123374404417</v>
      </c>
      <c r="H46" s="9">
        <v>3381.03209844509</v>
      </c>
      <c r="I46" s="9">
        <v>2502.2926015394801</v>
      </c>
      <c r="K46" s="11" t="s">
        <v>2</v>
      </c>
      <c r="L46" s="20">
        <f>SUM(D45:D56,F45:F56)/12*8760/SUM(E45:E56,G45:G56)/1000</f>
        <v>1.2751153413650693</v>
      </c>
    </row>
    <row r="47" spans="1:12" x14ac:dyDescent="0.15">
      <c r="A47" s="10" t="s">
        <v>29</v>
      </c>
      <c r="B47" s="10">
        <v>4383.3301858504701</v>
      </c>
      <c r="C47" s="9">
        <v>1915.3940023493999</v>
      </c>
      <c r="D47" s="9">
        <v>3517.4683273270803</v>
      </c>
      <c r="E47" s="9">
        <v>2475.5125753935899</v>
      </c>
      <c r="F47" s="10">
        <v>454.43572540513583</v>
      </c>
      <c r="G47" s="10">
        <v>350.68403797227944</v>
      </c>
      <c r="H47" s="9">
        <v>3856.1084375038399</v>
      </c>
      <c r="I47" s="9">
        <v>2877.01176256807</v>
      </c>
      <c r="K47" s="11" t="s">
        <v>3</v>
      </c>
      <c r="L47" s="20">
        <f>SUM(F45:F56,H45:H56)/12*8760/SUM(G45:G56,I45:I56)/1000</f>
        <v>0.95350519921825116</v>
      </c>
    </row>
    <row r="48" spans="1:12" x14ac:dyDescent="0.15">
      <c r="A48" s="10" t="s">
        <v>30</v>
      </c>
      <c r="B48" s="10">
        <v>6008.2277836652902</v>
      </c>
      <c r="C48" s="9">
        <v>2285.6669265549999</v>
      </c>
      <c r="D48" s="9">
        <v>4458.7995418072796</v>
      </c>
      <c r="E48" s="9">
        <v>2587.6469273200801</v>
      </c>
      <c r="F48" s="10">
        <v>551.23837046684548</v>
      </c>
      <c r="G48" s="10">
        <v>351.23823948547567</v>
      </c>
      <c r="H48" s="9">
        <v>3470.7960871455002</v>
      </c>
      <c r="I48" s="9">
        <v>2692.3103962957198</v>
      </c>
      <c r="K48" s="11" t="s">
        <v>50</v>
      </c>
      <c r="L48" s="11">
        <f>SUM(D45:D56,F45:F56,H45:H56)/12*8760/SUM(E45:E56,G45:G56,I45:I56)/1000</f>
        <v>1.124988805659197</v>
      </c>
    </row>
    <row r="49" spans="1:9" x14ac:dyDescent="0.15">
      <c r="A49" s="10" t="s">
        <v>31</v>
      </c>
      <c r="B49" s="10">
        <v>7946.44917942551</v>
      </c>
      <c r="C49" s="9">
        <v>3619.2547296892499</v>
      </c>
      <c r="D49" s="9">
        <v>5191.9315533502704</v>
      </c>
      <c r="E49" s="9">
        <v>3114.8043261746802</v>
      </c>
      <c r="F49" s="10">
        <v>581.38346190702805</v>
      </c>
      <c r="G49" s="10">
        <v>399.75622127219179</v>
      </c>
      <c r="H49" s="9">
        <v>4046.7058462752998</v>
      </c>
      <c r="I49" s="9">
        <v>3094.2431045467997</v>
      </c>
    </row>
    <row r="50" spans="1:9" x14ac:dyDescent="0.15">
      <c r="A50" s="10" t="s">
        <v>32</v>
      </c>
      <c r="B50" s="10">
        <v>9562.7630666617497</v>
      </c>
      <c r="C50" s="9">
        <v>4336.2094745124195</v>
      </c>
      <c r="D50" s="9">
        <v>5648.7483679738498</v>
      </c>
      <c r="E50" s="9">
        <v>3282.5603319556499</v>
      </c>
      <c r="F50" s="10">
        <v>589.88014489082946</v>
      </c>
      <c r="G50" s="10">
        <v>404.35910259272612</v>
      </c>
      <c r="H50" s="9">
        <v>3004.73558845143</v>
      </c>
      <c r="I50" s="9">
        <v>2494.2820255204501</v>
      </c>
    </row>
    <row r="51" spans="1:9" x14ac:dyDescent="0.15">
      <c r="A51" s="10" t="s">
        <v>33</v>
      </c>
      <c r="B51" s="10">
        <v>9558.9810952022708</v>
      </c>
      <c r="C51" s="9">
        <v>4667.9773029685102</v>
      </c>
      <c r="D51" s="9">
        <v>6083.5364778261401</v>
      </c>
      <c r="E51" s="9">
        <v>3418.52099288723</v>
      </c>
      <c r="F51" s="10">
        <v>598.8879433861772</v>
      </c>
      <c r="G51" s="10">
        <v>415.03947838358965</v>
      </c>
      <c r="H51" s="9">
        <v>2842.32640860621</v>
      </c>
      <c r="I51" s="9">
        <v>2331.1367635930401</v>
      </c>
    </row>
    <row r="52" spans="1:9" x14ac:dyDescent="0.15">
      <c r="A52" s="10" t="s">
        <v>34</v>
      </c>
      <c r="B52" s="10">
        <v>9406.0212123603396</v>
      </c>
      <c r="C52" s="9">
        <v>4118.60230359872</v>
      </c>
      <c r="D52" s="9">
        <v>5694.9716281382598</v>
      </c>
      <c r="E52" s="9">
        <v>3381.3596427717198</v>
      </c>
      <c r="F52" s="10">
        <v>617.47597024585684</v>
      </c>
      <c r="G52" s="10">
        <v>420.39048877301798</v>
      </c>
      <c r="H52" s="9">
        <v>3058.7182558713398</v>
      </c>
      <c r="I52" s="9">
        <v>2405.2957146026397</v>
      </c>
    </row>
    <row r="53" spans="1:9" x14ac:dyDescent="0.15">
      <c r="A53" s="10" t="s">
        <v>35</v>
      </c>
      <c r="B53" s="10">
        <v>8275.3632725485095</v>
      </c>
      <c r="C53" s="9">
        <v>3444.5221515553699</v>
      </c>
      <c r="D53" s="9">
        <v>5392.6749337328802</v>
      </c>
      <c r="E53" s="9">
        <v>3038.5141633639105</v>
      </c>
      <c r="F53" s="10">
        <v>588.46201064088064</v>
      </c>
      <c r="G53" s="10">
        <v>385.00217551823312</v>
      </c>
      <c r="H53" s="9">
        <v>2921.6465128711602</v>
      </c>
      <c r="I53" s="9">
        <v>2246.9477702926602</v>
      </c>
    </row>
    <row r="54" spans="1:9" x14ac:dyDescent="0.15">
      <c r="A54" s="10" t="s">
        <v>36</v>
      </c>
      <c r="B54" s="10">
        <v>7345.9858690503397</v>
      </c>
      <c r="C54" s="9">
        <v>2389.9455519306398</v>
      </c>
      <c r="D54" s="9">
        <v>5307.55897841567</v>
      </c>
      <c r="E54" s="9">
        <v>2706.9286486855499</v>
      </c>
      <c r="F54" s="10">
        <v>574.05476345865816</v>
      </c>
      <c r="G54" s="10">
        <v>358.21323126124707</v>
      </c>
      <c r="H54" s="9">
        <v>2958.47743264569</v>
      </c>
      <c r="I54" s="9">
        <v>2270.6084366499103</v>
      </c>
    </row>
    <row r="55" spans="1:9" x14ac:dyDescent="0.15">
      <c r="A55" s="10" t="s">
        <v>37</v>
      </c>
      <c r="B55" s="10">
        <v>4772.5392187322004</v>
      </c>
      <c r="C55" s="9">
        <v>2076.4323347887398</v>
      </c>
      <c r="D55" s="9">
        <v>4826.8424959691001</v>
      </c>
      <c r="E55" s="9">
        <v>2462.2062487745602</v>
      </c>
      <c r="F55" s="10">
        <v>539.62574924461296</v>
      </c>
      <c r="G55" s="10">
        <v>340.36416613996835</v>
      </c>
      <c r="H55" s="9">
        <v>3068.6589723777402</v>
      </c>
      <c r="I55" s="9">
        <v>2223.5152867540096</v>
      </c>
    </row>
    <row r="56" spans="1:9" x14ac:dyDescent="0.15">
      <c r="A56" s="10" t="s">
        <v>38</v>
      </c>
      <c r="B56" s="10">
        <v>7319.5839752984402</v>
      </c>
      <c r="C56" s="9">
        <v>2462.9163152685596</v>
      </c>
      <c r="D56" s="9">
        <v>4673.8378920956902</v>
      </c>
      <c r="E56" s="9">
        <v>2605.5715893782499</v>
      </c>
      <c r="F56" s="10">
        <v>441.0311802964095</v>
      </c>
      <c r="G56" s="10">
        <v>344.12602901728997</v>
      </c>
      <c r="H56" s="9">
        <v>2070.2941788947301</v>
      </c>
      <c r="I56" s="9">
        <v>2090.9882473447801</v>
      </c>
    </row>
  </sheetData>
  <mergeCells count="20">
    <mergeCell ref="B16:C16"/>
    <mergeCell ref="D16:E16"/>
    <mergeCell ref="F16:G16"/>
    <mergeCell ref="H16:I16"/>
    <mergeCell ref="A15:I15"/>
    <mergeCell ref="B2:C2"/>
    <mergeCell ref="D2:E2"/>
    <mergeCell ref="F2:G2"/>
    <mergeCell ref="H2:I2"/>
    <mergeCell ref="A1:I1"/>
    <mergeCell ref="B44:C44"/>
    <mergeCell ref="D44:E44"/>
    <mergeCell ref="F44:G44"/>
    <mergeCell ref="H44:I44"/>
    <mergeCell ref="A29:I29"/>
    <mergeCell ref="B30:C30"/>
    <mergeCell ref="D30:E30"/>
    <mergeCell ref="F30:G30"/>
    <mergeCell ref="H30:I30"/>
    <mergeCell ref="A43:I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9E7D-BEB5-3541-8E5A-7931F7835630}">
  <dimension ref="A1:U28"/>
  <sheetViews>
    <sheetView workbookViewId="0">
      <selection activeCell="T6" sqref="T6"/>
    </sheetView>
  </sheetViews>
  <sheetFormatPr baseColWidth="10" defaultRowHeight="16" x14ac:dyDescent="0.2"/>
  <cols>
    <col min="1" max="1" width="8.5" style="1" customWidth="1"/>
    <col min="2" max="2" width="11.33203125" style="1" customWidth="1"/>
    <col min="3" max="3" width="14.33203125" style="1" bestFit="1" customWidth="1"/>
    <col min="4" max="4" width="11.1640625" style="1" bestFit="1" customWidth="1"/>
    <col min="5" max="5" width="14" style="1" bestFit="1" customWidth="1"/>
    <col min="6" max="6" width="11.1640625" style="1" bestFit="1" customWidth="1"/>
    <col min="7" max="7" width="12.83203125" style="1" bestFit="1" customWidth="1"/>
    <col min="8" max="10" width="11.1640625" style="1" bestFit="1" customWidth="1"/>
    <col min="11" max="11" width="12.83203125" style="1" bestFit="1" customWidth="1"/>
    <col min="12" max="12" width="11.1640625" style="1" bestFit="1" customWidth="1"/>
    <col min="13" max="13" width="14" style="1" bestFit="1" customWidth="1"/>
    <col min="14" max="14" width="11.1640625" style="1" bestFit="1" customWidth="1"/>
    <col min="15" max="15" width="12.83203125" style="1" bestFit="1" customWidth="1"/>
    <col min="16" max="17" width="10.83203125" style="1"/>
    <col min="18" max="18" width="11" style="1" bestFit="1" customWidth="1"/>
    <col min="19" max="19" width="10.83203125" style="1"/>
    <col min="20" max="20" width="11" style="1" bestFit="1" customWidth="1"/>
    <col min="21" max="16384" width="10.83203125" style="1"/>
  </cols>
  <sheetData>
    <row r="1" spans="1:21" x14ac:dyDescent="0.2">
      <c r="A1" s="18">
        <v>2022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1" x14ac:dyDescent="0.2">
      <c r="B2" s="18" t="s">
        <v>25</v>
      </c>
      <c r="C2" s="18"/>
      <c r="D2" s="18" t="s">
        <v>41</v>
      </c>
      <c r="E2" s="18"/>
      <c r="F2" s="18" t="s">
        <v>42</v>
      </c>
      <c r="G2" s="18"/>
      <c r="H2" s="18" t="s">
        <v>43</v>
      </c>
      <c r="I2" s="18"/>
      <c r="J2" s="18" t="s">
        <v>44</v>
      </c>
      <c r="K2" s="18"/>
      <c r="L2" s="18" t="s">
        <v>45</v>
      </c>
      <c r="M2" s="18"/>
      <c r="N2" s="18" t="s">
        <v>46</v>
      </c>
      <c r="O2" s="18"/>
      <c r="Q2" s="8"/>
      <c r="R2" s="8" t="s">
        <v>1</v>
      </c>
      <c r="T2" s="1" t="s">
        <v>4</v>
      </c>
    </row>
    <row r="3" spans="1:21" x14ac:dyDescent="0.2">
      <c r="A3" s="14" t="s">
        <v>27</v>
      </c>
      <c r="B3" s="15">
        <v>9413484.4283755682</v>
      </c>
      <c r="C3" s="15">
        <v>4036335266.8924761</v>
      </c>
      <c r="D3" s="1">
        <v>286480.15944173298</v>
      </c>
      <c r="E3" s="1">
        <v>164905534.62752059</v>
      </c>
      <c r="F3" s="1">
        <v>6349542.1674316684</v>
      </c>
      <c r="G3" s="1">
        <v>3475490196.8962131</v>
      </c>
      <c r="H3" s="1">
        <v>2893.1577537939443</v>
      </c>
      <c r="I3" s="1">
        <v>2260081.8843377214</v>
      </c>
      <c r="J3" s="1">
        <v>1862369.677842289</v>
      </c>
      <c r="K3" s="1">
        <v>1358653743.2115145</v>
      </c>
      <c r="L3" s="1">
        <v>610925.91551149997</v>
      </c>
      <c r="M3" s="1">
        <v>457994976.45086002</v>
      </c>
      <c r="N3" s="1">
        <v>2198613.59</v>
      </c>
      <c r="O3" s="1">
        <v>1633074126</v>
      </c>
      <c r="Q3" s="8" t="s">
        <v>0</v>
      </c>
      <c r="R3" s="21">
        <f>SUM(B3:B14)/12*8760/SUM(C3:C14)</f>
        <v>1.7109316241988726</v>
      </c>
      <c r="T3" s="21">
        <f>(R3+R17)/2</f>
        <v>1.6709190389658612</v>
      </c>
      <c r="U3" s="21"/>
    </row>
    <row r="4" spans="1:21" x14ac:dyDescent="0.2">
      <c r="A4" s="14" t="s">
        <v>28</v>
      </c>
      <c r="B4" s="15">
        <v>15295621.576330507</v>
      </c>
      <c r="C4" s="1">
        <v>3977683061.0965281</v>
      </c>
      <c r="D4" s="1">
        <v>360537.3634922746</v>
      </c>
      <c r="E4" s="1">
        <v>160682275.1532535</v>
      </c>
      <c r="F4" s="1">
        <v>6062766.5936450269</v>
      </c>
      <c r="G4" s="1">
        <v>3426704297.9209528</v>
      </c>
      <c r="H4" s="1">
        <v>1145.9470705835881</v>
      </c>
      <c r="I4" s="1">
        <v>2083356.3343219121</v>
      </c>
      <c r="J4" s="1">
        <v>1108551.9874384752</v>
      </c>
      <c r="K4" s="1">
        <v>1306312026.0542521</v>
      </c>
      <c r="L4" s="1">
        <v>316109.40133610001</v>
      </c>
      <c r="M4" s="1">
        <v>443013245.10788006</v>
      </c>
      <c r="N4" s="1">
        <v>1338019.49</v>
      </c>
      <c r="O4" s="1">
        <v>1535968217</v>
      </c>
      <c r="Q4" s="8" t="s">
        <v>2</v>
      </c>
      <c r="R4" s="21">
        <f>SUM(D3:D14,F3:F14,H3:H14)/12*8760/SUM(E3:E14,G3:G14,I3:I14)</f>
        <v>1.3283516119760099</v>
      </c>
      <c r="T4" s="21">
        <f t="shared" ref="T4:T6" si="0">(R4+R18)/2</f>
        <v>1.3274238731223784</v>
      </c>
    </row>
    <row r="5" spans="1:21" x14ac:dyDescent="0.2">
      <c r="A5" s="14" t="s">
        <v>29</v>
      </c>
      <c r="B5" s="15">
        <v>4853393.7121027214</v>
      </c>
      <c r="C5" s="1">
        <v>4457639451.5375032</v>
      </c>
      <c r="D5" s="1">
        <v>170360.46043361246</v>
      </c>
      <c r="E5" s="1">
        <v>168345280.28300774</v>
      </c>
      <c r="F5" s="1">
        <v>4850135.0664905235</v>
      </c>
      <c r="G5" s="1">
        <v>3672376950.7742171</v>
      </c>
      <c r="H5" s="1">
        <v>2998.4543806203897</v>
      </c>
      <c r="I5" s="1">
        <v>1864431.5614850873</v>
      </c>
      <c r="J5" s="1">
        <v>1883298.4138437419</v>
      </c>
      <c r="K5" s="1">
        <v>1156810421.5871813</v>
      </c>
      <c r="L5" s="1">
        <v>666862.43578170007</v>
      </c>
      <c r="M5" s="1">
        <v>372827778.77614003</v>
      </c>
      <c r="N5" s="1">
        <v>2412347.19</v>
      </c>
      <c r="O5" s="1">
        <v>1422348554</v>
      </c>
      <c r="Q5" s="8" t="s">
        <v>3</v>
      </c>
      <c r="R5" s="21">
        <f>SUM(J3:J14,L3:L14,N3:N14)/12*8760/SUM(K3:K14,M3:M14,O3:O14)</f>
        <v>0.98561984648811118</v>
      </c>
      <c r="T5" s="21">
        <f t="shared" si="0"/>
        <v>0.97393197160629619</v>
      </c>
    </row>
    <row r="6" spans="1:21" x14ac:dyDescent="0.2">
      <c r="A6" s="14" t="s">
        <v>30</v>
      </c>
      <c r="B6" s="15">
        <v>5914306.4287584163</v>
      </c>
      <c r="C6" s="1">
        <v>2555291060.746273</v>
      </c>
      <c r="D6" s="1">
        <v>219561.92900920767</v>
      </c>
      <c r="E6" s="1">
        <v>137680158.14019966</v>
      </c>
      <c r="F6" s="1">
        <v>6338138.9750910159</v>
      </c>
      <c r="G6" s="1">
        <v>3264617904.5703588</v>
      </c>
      <c r="H6" s="1">
        <v>3805.1931199626492</v>
      </c>
      <c r="I6" s="1">
        <v>2737890.4083283581</v>
      </c>
      <c r="J6" s="1">
        <v>2030853.3441994034</v>
      </c>
      <c r="K6" s="1">
        <v>1347628676.7909267</v>
      </c>
      <c r="L6" s="1">
        <v>690674.52870859997</v>
      </c>
      <c r="M6" s="1">
        <v>478731839.71548003</v>
      </c>
      <c r="N6" s="1">
        <v>2337975.23</v>
      </c>
      <c r="O6" s="1">
        <v>1650233866</v>
      </c>
      <c r="Q6" s="1" t="s">
        <v>50</v>
      </c>
      <c r="R6" s="21">
        <f>SUM(D3:D14,J3:J14,L3:L14,N3:N14,F3:F14,H3:H14)/12*8760/SUM(K3:K14,M3:M14,O3:O14,E3:E14,G3:G14,I3:I14)</f>
        <v>1.1656533760226944</v>
      </c>
      <c r="T6" s="21">
        <f t="shared" si="0"/>
        <v>1.1419697524038668</v>
      </c>
    </row>
    <row r="7" spans="1:21" x14ac:dyDescent="0.2">
      <c r="A7" s="14" t="s">
        <v>31</v>
      </c>
      <c r="B7" s="15">
        <v>8794566.6263445932</v>
      </c>
      <c r="C7" s="1">
        <v>2721303420.1782756</v>
      </c>
      <c r="D7" s="1">
        <v>268232.4728672512</v>
      </c>
      <c r="E7" s="1">
        <v>139266775.98280749</v>
      </c>
      <c r="F7" s="1">
        <v>7416688.4791412251</v>
      </c>
      <c r="G7" s="1">
        <v>3563241334.1994991</v>
      </c>
      <c r="H7" s="1">
        <v>3092.2676641189423</v>
      </c>
      <c r="I7" s="1">
        <v>2384579.3870196915</v>
      </c>
      <c r="J7" s="1">
        <v>2124742.6609790102</v>
      </c>
      <c r="K7" s="1">
        <v>1436448914.3958447</v>
      </c>
      <c r="L7" s="1">
        <v>745367.98075480002</v>
      </c>
      <c r="M7" s="1">
        <v>504582089.30532002</v>
      </c>
      <c r="N7" s="1">
        <v>2486143.0099999998</v>
      </c>
      <c r="O7" s="1">
        <v>1740191984</v>
      </c>
    </row>
    <row r="8" spans="1:21" x14ac:dyDescent="0.2">
      <c r="A8" s="14" t="s">
        <v>32</v>
      </c>
      <c r="B8" s="15">
        <v>10604321.131863203</v>
      </c>
      <c r="C8" s="1">
        <v>3421701737.6421423</v>
      </c>
      <c r="D8" s="1">
        <v>312995.66627693776</v>
      </c>
      <c r="E8" s="1">
        <v>148333607.86307758</v>
      </c>
      <c r="F8" s="1">
        <v>8138709.1661406169</v>
      </c>
      <c r="G8" s="1">
        <v>3882809967.3935947</v>
      </c>
      <c r="H8" s="1">
        <v>3368.7779201795993</v>
      </c>
      <c r="I8" s="1">
        <v>2424995.1437810883</v>
      </c>
      <c r="J8" s="1">
        <v>2108470.4655857091</v>
      </c>
      <c r="K8" s="1">
        <v>1482426205.5289254</v>
      </c>
      <c r="L8" s="1">
        <v>706629.61932559998</v>
      </c>
      <c r="M8" s="1">
        <v>497199024.37860006</v>
      </c>
      <c r="N8" s="1">
        <v>2151578.7200000002</v>
      </c>
      <c r="O8" s="1">
        <v>1739215540</v>
      </c>
    </row>
    <row r="9" spans="1:21" x14ac:dyDescent="0.2">
      <c r="A9" s="14" t="s">
        <v>33</v>
      </c>
      <c r="B9" s="15">
        <v>12242893.354784872</v>
      </c>
      <c r="C9" s="1">
        <v>5050115118.8455973</v>
      </c>
      <c r="D9" s="1">
        <v>330716.18044289644</v>
      </c>
      <c r="E9" s="1">
        <v>179357692.92447162</v>
      </c>
      <c r="F9" s="1">
        <v>8479979.7774259169</v>
      </c>
      <c r="G9" s="1">
        <v>4635430716.3129005</v>
      </c>
      <c r="H9" s="1">
        <v>3219.1149434381396</v>
      </c>
      <c r="I9" s="1">
        <v>2262868.2328486224</v>
      </c>
      <c r="J9" s="1">
        <v>2111173.8747616564</v>
      </c>
      <c r="K9" s="1">
        <v>1548128901.2882016</v>
      </c>
      <c r="L9" s="1">
        <v>660050.79024560004</v>
      </c>
      <c r="M9" s="1">
        <v>531422667.94114006</v>
      </c>
      <c r="N9" s="1">
        <v>2069336.16</v>
      </c>
      <c r="O9" s="1">
        <v>1777198436</v>
      </c>
    </row>
    <row r="10" spans="1:21" x14ac:dyDescent="0.2">
      <c r="A10" s="14" t="s">
        <v>34</v>
      </c>
      <c r="B10" s="15">
        <v>11811515.143541981</v>
      </c>
      <c r="C10" s="1">
        <v>5208420080.9217625</v>
      </c>
      <c r="D10" s="1">
        <v>326156.04457425384</v>
      </c>
      <c r="E10" s="1">
        <v>179569603.80674386</v>
      </c>
      <c r="F10" s="1">
        <v>8584121.9107122663</v>
      </c>
      <c r="G10" s="1">
        <v>4678725379.584734</v>
      </c>
      <c r="H10" s="1">
        <v>3248.1824112862491</v>
      </c>
      <c r="I10" s="1">
        <v>2323482.7324218298</v>
      </c>
      <c r="J10" s="1">
        <v>2152715.1916327258</v>
      </c>
      <c r="K10" s="1">
        <v>1386394795.4564114</v>
      </c>
      <c r="L10" s="1">
        <v>698350.24352670007</v>
      </c>
      <c r="M10" s="1">
        <v>631760094.76112008</v>
      </c>
      <c r="N10" s="1">
        <v>2123270</v>
      </c>
      <c r="O10" s="1">
        <v>1793854071</v>
      </c>
    </row>
    <row r="11" spans="1:21" x14ac:dyDescent="0.2">
      <c r="A11" s="14" t="s">
        <v>35</v>
      </c>
      <c r="B11" s="15">
        <v>12050483.167148694</v>
      </c>
      <c r="C11" s="1">
        <v>5219922129.414032</v>
      </c>
      <c r="D11" s="1">
        <v>335732.024477901</v>
      </c>
      <c r="E11" s="1">
        <v>180448277.60661966</v>
      </c>
      <c r="F11" s="1">
        <v>8753100.8731839675</v>
      </c>
      <c r="G11" s="1">
        <v>4722932137.6209326</v>
      </c>
      <c r="H11" s="1">
        <v>3667.7937336152841</v>
      </c>
      <c r="I11" s="1">
        <v>2476656.7858438594</v>
      </c>
      <c r="J11" s="1">
        <v>2164466.4429111588</v>
      </c>
      <c r="K11" s="1">
        <v>1499929318.059021</v>
      </c>
      <c r="L11" s="1">
        <v>730931.2408116</v>
      </c>
      <c r="M11" s="1">
        <v>564507431.64248002</v>
      </c>
      <c r="N11" s="1">
        <v>2144658.59</v>
      </c>
      <c r="O11" s="1">
        <v>1815185444</v>
      </c>
    </row>
    <row r="12" spans="1:21" x14ac:dyDescent="0.2">
      <c r="A12" s="14" t="s">
        <v>36</v>
      </c>
      <c r="B12" s="15">
        <v>8653751.5812567417</v>
      </c>
      <c r="C12" s="1">
        <v>4019321623.9433441</v>
      </c>
      <c r="D12" s="1">
        <v>278910.45980783005</v>
      </c>
      <c r="E12" s="1">
        <v>161881951.18213707</v>
      </c>
      <c r="F12" s="1">
        <v>7499398.2294008844</v>
      </c>
      <c r="G12" s="1">
        <v>4154433965.4638796</v>
      </c>
      <c r="H12" s="1">
        <v>3079.4050137388722</v>
      </c>
      <c r="I12" s="1">
        <v>2302007.0400920911</v>
      </c>
      <c r="J12" s="1">
        <v>2172589.0148290391</v>
      </c>
      <c r="K12" s="1">
        <v>1539247183.4677613</v>
      </c>
      <c r="L12" s="1">
        <v>747829.62215700001</v>
      </c>
      <c r="M12" s="1">
        <v>545535110.04140007</v>
      </c>
      <c r="N12" s="1">
        <v>2707700.73</v>
      </c>
      <c r="O12" s="1">
        <v>1846716296</v>
      </c>
    </row>
    <row r="13" spans="1:21" x14ac:dyDescent="0.2">
      <c r="A13" s="14" t="s">
        <v>37</v>
      </c>
      <c r="B13" s="15">
        <v>4169789.8962838221</v>
      </c>
      <c r="C13" s="1">
        <v>2901506472.7673974</v>
      </c>
      <c r="D13" s="1">
        <v>214849.3945429803</v>
      </c>
      <c r="E13" s="1">
        <v>140611571.78667462</v>
      </c>
      <c r="F13" s="1">
        <v>6662309.1132284896</v>
      </c>
      <c r="G13" s="1">
        <v>3660818935.1570745</v>
      </c>
      <c r="H13" s="1">
        <v>3297.3477703532189</v>
      </c>
      <c r="I13" s="1">
        <v>2299807.3981164545</v>
      </c>
      <c r="J13" s="1">
        <v>2144254.5711441501</v>
      </c>
      <c r="K13" s="1">
        <v>1435794510.2499292</v>
      </c>
      <c r="L13" s="1">
        <v>756692.48121819994</v>
      </c>
      <c r="M13" s="1">
        <v>545935708.35228002</v>
      </c>
      <c r="N13" s="1">
        <v>2644715.61</v>
      </c>
      <c r="O13" s="1">
        <v>1877484630</v>
      </c>
    </row>
    <row r="14" spans="1:21" x14ac:dyDescent="0.2">
      <c r="A14" s="14" t="s">
        <v>38</v>
      </c>
      <c r="B14" s="15">
        <v>5035636.1769616175</v>
      </c>
      <c r="C14" s="1">
        <v>2869219033.1389408</v>
      </c>
      <c r="D14" s="1">
        <v>234624.69474090834</v>
      </c>
      <c r="E14" s="1">
        <v>143104439.89949989</v>
      </c>
      <c r="F14" s="1">
        <v>5802105.2041535471</v>
      </c>
      <c r="G14" s="1">
        <v>3463081348.4297509</v>
      </c>
      <c r="H14" s="1">
        <v>3078.7561681137354</v>
      </c>
      <c r="I14" s="1">
        <v>2455051.1654232666</v>
      </c>
      <c r="J14" s="1">
        <v>2097075.5856255</v>
      </c>
      <c r="K14" s="1">
        <v>1527672206.5532641</v>
      </c>
      <c r="L14" s="1">
        <v>790196.25941089995</v>
      </c>
      <c r="M14" s="1">
        <v>553304663.75253999</v>
      </c>
      <c r="N14" s="1">
        <v>2522047.27</v>
      </c>
      <c r="O14" s="1">
        <v>1875813062</v>
      </c>
    </row>
    <row r="15" spans="1:21" x14ac:dyDescent="0.2">
      <c r="A15" s="18">
        <v>2025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21" x14ac:dyDescent="0.2">
      <c r="B16" s="18" t="s">
        <v>25</v>
      </c>
      <c r="C16" s="18"/>
      <c r="D16" s="18" t="s">
        <v>41</v>
      </c>
      <c r="E16" s="18"/>
      <c r="F16" s="18" t="s">
        <v>42</v>
      </c>
      <c r="G16" s="18"/>
      <c r="H16" s="18" t="s">
        <v>43</v>
      </c>
      <c r="I16" s="18"/>
      <c r="J16" s="18" t="s">
        <v>44</v>
      </c>
      <c r="K16" s="18"/>
      <c r="L16" s="18" t="s">
        <v>45</v>
      </c>
      <c r="M16" s="18"/>
      <c r="N16" s="18" t="s">
        <v>46</v>
      </c>
      <c r="O16" s="18"/>
    </row>
    <row r="17" spans="1:20" x14ac:dyDescent="0.2">
      <c r="A17" s="14" t="s">
        <v>27</v>
      </c>
      <c r="B17" s="15">
        <v>115034.17009680411</v>
      </c>
      <c r="C17" s="15">
        <v>41875819.022757262</v>
      </c>
      <c r="D17" s="1">
        <v>282020.41194330342</v>
      </c>
      <c r="E17" s="1">
        <v>144733578.68922311</v>
      </c>
      <c r="F17" s="1">
        <v>7731199.0317406254</v>
      </c>
      <c r="G17" s="1">
        <v>3797017921.7660713</v>
      </c>
      <c r="H17" s="1">
        <v>1740.9014786402238</v>
      </c>
      <c r="I17" s="1">
        <v>2604799.6398912864</v>
      </c>
      <c r="J17" s="1">
        <v>2125730.1302913604</v>
      </c>
      <c r="K17" s="1">
        <v>1964465341.120935</v>
      </c>
      <c r="L17" s="1">
        <v>729341.09979401319</v>
      </c>
      <c r="M17" s="1">
        <v>826004477.16110671</v>
      </c>
      <c r="N17" s="1">
        <v>2514537.6802507839</v>
      </c>
      <c r="O17" s="1">
        <v>2883682340.6269593</v>
      </c>
      <c r="Q17" s="8" t="s">
        <v>0</v>
      </c>
      <c r="R17" s="21">
        <f>SUM(B17:B28)/12*8760/SUM(C17:C28)</f>
        <v>1.6309064537328501</v>
      </c>
      <c r="T17" s="16"/>
    </row>
    <row r="18" spans="1:20" x14ac:dyDescent="0.2">
      <c r="A18" s="14" t="s">
        <v>28</v>
      </c>
      <c r="B18" s="15">
        <v>69321.850885734777</v>
      </c>
      <c r="C18" s="1">
        <v>26685571.743520178</v>
      </c>
      <c r="D18" s="1">
        <v>203695.93546558169</v>
      </c>
      <c r="E18" s="1">
        <v>148763188.62933394</v>
      </c>
      <c r="F18" s="1">
        <v>6151997.6192861041</v>
      </c>
      <c r="G18" s="1">
        <v>3822161178.4685321</v>
      </c>
      <c r="H18" s="1">
        <v>3079.1845609955553</v>
      </c>
      <c r="I18" s="1">
        <v>2060686.2808606082</v>
      </c>
      <c r="J18" s="1">
        <v>2668553.8195428411</v>
      </c>
      <c r="K18" s="1">
        <v>1904901192.2568691</v>
      </c>
      <c r="L18" s="1">
        <v>1199641.241461159</v>
      </c>
      <c r="M18" s="1">
        <v>746283214.03756917</v>
      </c>
      <c r="N18" s="1">
        <v>3871810.5625</v>
      </c>
      <c r="O18" s="1">
        <v>2730361843.1875</v>
      </c>
      <c r="Q18" s="8" t="s">
        <v>2</v>
      </c>
      <c r="R18" s="21">
        <f>SUM(D17:D28,F17:F28,H17:H28)/12*8760/SUM(E17:E28,G17:G28,I17:I28)</f>
        <v>1.3264961342687471</v>
      </c>
      <c r="T18" s="16"/>
    </row>
    <row r="19" spans="1:20" x14ac:dyDescent="0.2">
      <c r="A19" s="14" t="s">
        <v>29</v>
      </c>
      <c r="B19" s="15">
        <v>38669.337552571356</v>
      </c>
      <c r="C19" s="1">
        <v>25408000.23243304</v>
      </c>
      <c r="D19" s="1">
        <v>181184.90498424077</v>
      </c>
      <c r="E19" s="1">
        <v>132708413.78222078</v>
      </c>
      <c r="F19" s="1">
        <v>6514173.9141244888</v>
      </c>
      <c r="G19" s="1">
        <v>3690710477.6719146</v>
      </c>
      <c r="H19" s="1">
        <v>2746.0969435775337</v>
      </c>
      <c r="I19" s="1">
        <v>2094574.0910429198</v>
      </c>
      <c r="J19" s="1">
        <v>2701323.3943187762</v>
      </c>
      <c r="K19" s="1">
        <v>1529852668.3586085</v>
      </c>
      <c r="L19" s="1">
        <v>1172109.7377464087</v>
      </c>
      <c r="M19" s="1">
        <v>1257315628.980324</v>
      </c>
      <c r="N19" s="1">
        <v>3753841.801242236</v>
      </c>
      <c r="O19" s="1">
        <v>2813057486.8322983</v>
      </c>
      <c r="Q19" s="8" t="s">
        <v>3</v>
      </c>
      <c r="R19" s="21">
        <f>SUM(J17:J28,L17:L28,N17:N28)/12*8760/SUM(K17:K28,M17:M28,O17:O28)</f>
        <v>0.96224409672448119</v>
      </c>
      <c r="T19" s="16"/>
    </row>
    <row r="20" spans="1:20" x14ac:dyDescent="0.2">
      <c r="A20" s="14" t="s">
        <v>30</v>
      </c>
      <c r="B20" s="15">
        <v>52573.105326151846</v>
      </c>
      <c r="C20" s="1">
        <v>24661937.326223042</v>
      </c>
      <c r="D20" s="1">
        <v>196608.15802016249</v>
      </c>
      <c r="E20" s="1">
        <v>121896380.77776177</v>
      </c>
      <c r="F20" s="1">
        <v>7280328.0083958665</v>
      </c>
      <c r="G20" s="1">
        <v>3682331670.99334</v>
      </c>
      <c r="H20" s="1">
        <v>2834.2897749483468</v>
      </c>
      <c r="I20" s="1">
        <v>2125818.2211542563</v>
      </c>
      <c r="J20" s="1">
        <v>2786480.6575780869</v>
      </c>
      <c r="K20" s="1">
        <v>1952813302.6561909</v>
      </c>
      <c r="L20" s="1">
        <v>1162139.3467438619</v>
      </c>
      <c r="M20" s="1">
        <v>842369202.21399188</v>
      </c>
      <c r="N20" s="1">
        <v>4272896.149068323</v>
      </c>
      <c r="O20" s="1">
        <v>2938892357.9503107</v>
      </c>
      <c r="Q20" s="1" t="s">
        <v>50</v>
      </c>
      <c r="R20" s="21">
        <f>SUM(D17:D28,J17:J28,L17:L28,N17:N28,F17:F28,H17:H28)/12*8760/SUM(K17:K28,M17:M28,O17:O28,E17:E28,G17:G28,I17:I28)</f>
        <v>1.1182861287850394</v>
      </c>
    </row>
    <row r="21" spans="1:20" x14ac:dyDescent="0.2">
      <c r="A21" s="14" t="s">
        <v>31</v>
      </c>
      <c r="B21" s="15">
        <v>73341.375925247747</v>
      </c>
      <c r="C21" s="1">
        <v>30108189.330395166</v>
      </c>
      <c r="D21" s="1">
        <v>206177.16529923145</v>
      </c>
      <c r="E21" s="1">
        <v>118147825.05310014</v>
      </c>
      <c r="F21" s="1">
        <v>7046308.7612736924</v>
      </c>
      <c r="G21" s="1">
        <v>3717601442.6915975</v>
      </c>
      <c r="H21" s="1">
        <v>2727.5074927497762</v>
      </c>
      <c r="I21" s="1">
        <v>2359924.2656195401</v>
      </c>
      <c r="J21" s="1">
        <v>2620604.4383006813</v>
      </c>
      <c r="K21" s="1">
        <v>1640790260.2355278</v>
      </c>
      <c r="L21" s="1">
        <v>1060532.6375265834</v>
      </c>
      <c r="M21" s="1">
        <v>938194255.1815567</v>
      </c>
      <c r="N21" s="1">
        <v>3959671.4814814813</v>
      </c>
      <c r="O21" s="1">
        <v>2879778435.185185</v>
      </c>
    </row>
    <row r="22" spans="1:20" x14ac:dyDescent="0.2">
      <c r="A22" s="14" t="s">
        <v>32</v>
      </c>
      <c r="B22" s="15">
        <v>83320.966567744879</v>
      </c>
      <c r="C22" s="1">
        <v>36061407.44930467</v>
      </c>
      <c r="D22" s="1">
        <v>220910.69574816979</v>
      </c>
      <c r="E22" s="1">
        <v>133243378.64262763</v>
      </c>
      <c r="F22" s="1">
        <v>7464701.4442463228</v>
      </c>
      <c r="G22" s="1">
        <v>4304994218.8006277</v>
      </c>
      <c r="H22" s="1">
        <v>2763.6548713984107</v>
      </c>
      <c r="I22" s="1">
        <v>2011213.1374300274</v>
      </c>
      <c r="J22" s="1">
        <v>2696673.269211411</v>
      </c>
      <c r="K22" s="1">
        <v>1896023395.7731514</v>
      </c>
      <c r="L22" s="1">
        <v>1219731.2344592647</v>
      </c>
      <c r="M22" s="1">
        <v>843417878.58000779</v>
      </c>
      <c r="N22" s="1">
        <v>4080575.7055214723</v>
      </c>
      <c r="O22" s="1">
        <v>3043680780.1226993</v>
      </c>
    </row>
    <row r="23" spans="1:20" x14ac:dyDescent="0.2">
      <c r="A23" s="14" t="s">
        <v>33</v>
      </c>
      <c r="B23" s="15">
        <v>82152.594592135953</v>
      </c>
      <c r="C23" s="1">
        <v>39350365.031217553</v>
      </c>
      <c r="D23" s="1">
        <v>252935.24245932663</v>
      </c>
      <c r="E23" s="1">
        <v>148006734.73445511</v>
      </c>
      <c r="F23" s="1">
        <v>8648670.1088404618</v>
      </c>
      <c r="G23" s="1">
        <v>4795577077.9471369</v>
      </c>
      <c r="H23" s="1">
        <v>2816.7297081985548</v>
      </c>
      <c r="I23" s="1">
        <v>2011984.0096347325</v>
      </c>
      <c r="J23" s="1">
        <v>2780044.2600439987</v>
      </c>
      <c r="K23" s="1">
        <v>1999778963.6381054</v>
      </c>
      <c r="L23" s="1">
        <v>913148.98525399133</v>
      </c>
      <c r="M23" s="1">
        <v>814020388.58075345</v>
      </c>
      <c r="N23" s="1">
        <v>3257736.5137614682</v>
      </c>
      <c r="O23" s="1">
        <v>2808721066.0550461</v>
      </c>
    </row>
    <row r="24" spans="1:20" x14ac:dyDescent="0.2">
      <c r="A24" s="14" t="s">
        <v>34</v>
      </c>
      <c r="B24" s="15">
        <v>86569.922656850031</v>
      </c>
      <c r="C24" s="1">
        <v>44096788.044179916</v>
      </c>
      <c r="D24" s="1">
        <v>277470.18666783557</v>
      </c>
      <c r="E24" s="1">
        <v>153285507.93295336</v>
      </c>
      <c r="F24" s="1">
        <v>9607332.8660669923</v>
      </c>
      <c r="G24" s="1">
        <v>4960824125.8564901</v>
      </c>
      <c r="H24" s="1">
        <v>2685.6418023985543</v>
      </c>
      <c r="I24" s="1">
        <v>1979226.9411992473</v>
      </c>
      <c r="J24" s="1">
        <v>2858700.2721353024</v>
      </c>
      <c r="K24" s="1">
        <v>1989869664.7353249</v>
      </c>
      <c r="L24" s="1">
        <v>945147.57139744691</v>
      </c>
      <c r="M24" s="1">
        <v>812117601.25935078</v>
      </c>
      <c r="N24" s="1">
        <v>3203729.333333333</v>
      </c>
      <c r="O24" s="1">
        <v>3032895311.2727275</v>
      </c>
    </row>
    <row r="25" spans="1:20" x14ac:dyDescent="0.2">
      <c r="A25" s="14" t="s">
        <v>35</v>
      </c>
      <c r="B25" s="15">
        <v>76331.195684044811</v>
      </c>
      <c r="C25" s="1">
        <v>32295662.58732393</v>
      </c>
      <c r="D25" s="1">
        <v>252786.12639432147</v>
      </c>
      <c r="E25" s="1">
        <v>151866678.66547868</v>
      </c>
      <c r="F25" s="1">
        <v>8807182.8515916076</v>
      </c>
      <c r="G25" s="1">
        <v>4943093666.0511026</v>
      </c>
      <c r="H25" s="1">
        <v>2836.3081690412073</v>
      </c>
      <c r="I25" s="1">
        <v>1981272.4028374297</v>
      </c>
      <c r="J25" s="1">
        <v>2733187.4679508628</v>
      </c>
      <c r="K25" s="1">
        <v>1969255059.7239683</v>
      </c>
      <c r="L25" s="1">
        <v>958290.21449846006</v>
      </c>
      <c r="M25" s="1">
        <v>794529358.44060552</v>
      </c>
      <c r="N25" s="1">
        <v>3311565.1807228909</v>
      </c>
      <c r="O25" s="1">
        <v>2863733449.5180721</v>
      </c>
    </row>
    <row r="26" spans="1:20" x14ac:dyDescent="0.2">
      <c r="A26" s="14" t="s">
        <v>36</v>
      </c>
      <c r="B26" s="15">
        <v>69318.859202337742</v>
      </c>
      <c r="C26" s="1">
        <v>29789990.658813644</v>
      </c>
      <c r="D26" s="1">
        <v>230070.05883950376</v>
      </c>
      <c r="E26" s="1">
        <v>136275312.2063393</v>
      </c>
      <c r="F26" s="1">
        <v>7991905.3368532946</v>
      </c>
      <c r="G26" s="1">
        <v>4336672147.0979252</v>
      </c>
      <c r="H26" s="1">
        <v>2696.7028272707207</v>
      </c>
      <c r="I26" s="1">
        <v>1977571.8165951953</v>
      </c>
      <c r="J26" s="1">
        <v>2795807.9443313866</v>
      </c>
      <c r="K26" s="1">
        <v>1943718982.4165566</v>
      </c>
      <c r="L26" s="1">
        <v>1140887.905896056</v>
      </c>
      <c r="M26" s="1">
        <v>783730640.49379635</v>
      </c>
      <c r="N26" s="1">
        <v>4087029.3975903611</v>
      </c>
      <c r="O26" s="1">
        <v>3147017789.3975902</v>
      </c>
    </row>
    <row r="27" spans="1:20" x14ac:dyDescent="0.2">
      <c r="A27" s="14" t="s">
        <v>37</v>
      </c>
      <c r="B27" s="15">
        <v>52123.189506399001</v>
      </c>
      <c r="C27" s="1">
        <v>26207870.037651882</v>
      </c>
      <c r="D27" s="1">
        <v>178719.71958490097</v>
      </c>
      <c r="E27" s="1">
        <v>127790924.22096886</v>
      </c>
      <c r="F27" s="1">
        <v>6712899.4372612042</v>
      </c>
      <c r="G27" s="1">
        <v>3857296230.1174331</v>
      </c>
      <c r="H27" s="1">
        <v>2734.7477103775122</v>
      </c>
      <c r="I27" s="1">
        <v>2019223.0529330338</v>
      </c>
      <c r="J27" s="1">
        <v>2707520.5412738165</v>
      </c>
      <c r="K27" s="1">
        <v>1842726010.82513</v>
      </c>
      <c r="L27" s="1">
        <v>1151638.0094214866</v>
      </c>
      <c r="M27" s="1">
        <v>844264229.63356698</v>
      </c>
      <c r="N27" s="1">
        <v>4572399.4011976048</v>
      </c>
      <c r="O27" s="1">
        <v>3104211436.8263474</v>
      </c>
    </row>
    <row r="28" spans="1:20" x14ac:dyDescent="0.2">
      <c r="A28" s="14" t="s">
        <v>38</v>
      </c>
      <c r="B28" s="15">
        <v>66119.089924701009</v>
      </c>
      <c r="C28" s="1">
        <v>30580068.719690718</v>
      </c>
      <c r="D28" s="1">
        <v>199750.49625411356</v>
      </c>
      <c r="E28" s="1">
        <v>126031215.31942366</v>
      </c>
      <c r="F28" s="1">
        <v>6329211.6166833518</v>
      </c>
      <c r="G28" s="1">
        <v>3603989733.5669079</v>
      </c>
      <c r="H28" s="1">
        <v>3162.2845348729802</v>
      </c>
      <c r="I28" s="1">
        <v>2285907.6267189854</v>
      </c>
      <c r="J28" s="1">
        <v>2603822.7470061844</v>
      </c>
      <c r="K28" s="1">
        <v>1871612101.715795</v>
      </c>
      <c r="L28" s="1">
        <v>1137933.6984922464</v>
      </c>
      <c r="M28" s="1">
        <v>846773128.17909014</v>
      </c>
      <c r="N28" s="1">
        <v>4262765</v>
      </c>
      <c r="O28" s="1">
        <v>3190347604</v>
      </c>
    </row>
  </sheetData>
  <mergeCells count="16">
    <mergeCell ref="N2:O2"/>
    <mergeCell ref="A1:O1"/>
    <mergeCell ref="A15:O15"/>
    <mergeCell ref="B16:C16"/>
    <mergeCell ref="D16:E16"/>
    <mergeCell ref="F16:G16"/>
    <mergeCell ref="H16:I16"/>
    <mergeCell ref="J16:K16"/>
    <mergeCell ref="L16:M16"/>
    <mergeCell ref="N16:O16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5094-3573-A145-A913-A8A208D7D82B}">
  <dimension ref="A1:F5"/>
  <sheetViews>
    <sheetView workbookViewId="0">
      <selection activeCell="A5" sqref="A5:D5"/>
    </sheetView>
  </sheetViews>
  <sheetFormatPr baseColWidth="10" defaultRowHeight="16" x14ac:dyDescent="0.2"/>
  <sheetData>
    <row r="1" spans="1:6" x14ac:dyDescent="0.2">
      <c r="B1" t="s">
        <v>47</v>
      </c>
      <c r="C1" t="s">
        <v>48</v>
      </c>
      <c r="D1" t="s">
        <v>49</v>
      </c>
      <c r="F1" t="s">
        <v>4</v>
      </c>
    </row>
    <row r="2" spans="1:6" x14ac:dyDescent="0.2">
      <c r="A2" t="s">
        <v>0</v>
      </c>
      <c r="B2">
        <v>1.7177173452815639</v>
      </c>
      <c r="C2">
        <v>1.8096066404131788</v>
      </c>
      <c r="D2">
        <v>1.6709190389658612</v>
      </c>
      <c r="F2">
        <f>B2</f>
        <v>1.7177173452815639</v>
      </c>
    </row>
    <row r="3" spans="1:6" x14ac:dyDescent="0.2">
      <c r="A3" t="s">
        <v>2</v>
      </c>
      <c r="B3">
        <v>1.2630113822294993</v>
      </c>
      <c r="C3">
        <v>1.3751453524312673</v>
      </c>
      <c r="D3">
        <v>1.3274238731223784</v>
      </c>
      <c r="F3">
        <f>B3</f>
        <v>1.2630113822294993</v>
      </c>
    </row>
    <row r="4" spans="1:6" x14ac:dyDescent="0.2">
      <c r="A4" t="s">
        <v>3</v>
      </c>
      <c r="B4">
        <v>1.0151557269503895</v>
      </c>
      <c r="C4">
        <v>0.94132783110836504</v>
      </c>
      <c r="D4">
        <v>0.97393197160629619</v>
      </c>
      <c r="F4">
        <f>B4</f>
        <v>1.0151557269503895</v>
      </c>
    </row>
    <row r="5" spans="1:6" x14ac:dyDescent="0.2">
      <c r="A5" t="s">
        <v>50</v>
      </c>
      <c r="B5">
        <v>1.0333304156458412</v>
      </c>
      <c r="C5">
        <v>1.1236834624147412</v>
      </c>
      <c r="D5">
        <v>1.1419697524038668</v>
      </c>
      <c r="F5">
        <f>B5</f>
        <v>1.0333304156458412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E0AB-5F45-FB49-9AC3-4B053F60F1E7}">
  <dimension ref="A1:F5"/>
  <sheetViews>
    <sheetView workbookViewId="0">
      <selection activeCell="F4" sqref="F4:F5"/>
    </sheetView>
  </sheetViews>
  <sheetFormatPr baseColWidth="10" defaultRowHeight="16" x14ac:dyDescent="0.2"/>
  <sheetData>
    <row r="1" spans="1:6" x14ac:dyDescent="0.2">
      <c r="B1" t="s">
        <v>47</v>
      </c>
      <c r="C1" t="s">
        <v>48</v>
      </c>
      <c r="D1" t="s">
        <v>49</v>
      </c>
      <c r="F1" t="s">
        <v>4</v>
      </c>
    </row>
    <row r="2" spans="1:6" x14ac:dyDescent="0.2">
      <c r="A2" t="s">
        <v>0</v>
      </c>
      <c r="B2">
        <v>1.7177173452815639</v>
      </c>
      <c r="C2">
        <v>1.8096066404131788</v>
      </c>
      <c r="D2">
        <v>1.6709190389658612</v>
      </c>
      <c r="F2">
        <f>D2</f>
        <v>1.6709190389658612</v>
      </c>
    </row>
    <row r="3" spans="1:6" x14ac:dyDescent="0.2">
      <c r="A3" t="s">
        <v>2</v>
      </c>
      <c r="B3">
        <v>1.2630113822294993</v>
      </c>
      <c r="C3">
        <v>1.3751453524312673</v>
      </c>
      <c r="D3">
        <v>1.3274238731223784</v>
      </c>
      <c r="F3">
        <f t="shared" ref="F3:F4" si="0">D3</f>
        <v>1.3274238731223784</v>
      </c>
    </row>
    <row r="4" spans="1:6" x14ac:dyDescent="0.2">
      <c r="A4" t="s">
        <v>3</v>
      </c>
      <c r="B4">
        <v>1.0151557269503895</v>
      </c>
      <c r="C4">
        <v>0.94132783110836504</v>
      </c>
      <c r="D4">
        <v>0.97393197160629619</v>
      </c>
      <c r="F4">
        <f>D4</f>
        <v>0.97393197160629619</v>
      </c>
    </row>
    <row r="5" spans="1:6" x14ac:dyDescent="0.2">
      <c r="A5" t="s">
        <v>50</v>
      </c>
      <c r="B5">
        <v>1.0333304156458412</v>
      </c>
      <c r="C5">
        <v>1.1236834624147412</v>
      </c>
      <c r="D5">
        <v>1.1419697524038668</v>
      </c>
      <c r="F5">
        <f>D5</f>
        <v>1.1419697524038668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3791-5B34-1945-8ED8-284E71D38755}">
  <dimension ref="A1:F5"/>
  <sheetViews>
    <sheetView workbookViewId="0">
      <selection activeCell="G13" sqref="G13"/>
    </sheetView>
  </sheetViews>
  <sheetFormatPr baseColWidth="10" defaultRowHeight="16" x14ac:dyDescent="0.2"/>
  <sheetData>
    <row r="1" spans="1:6" x14ac:dyDescent="0.2">
      <c r="A1" s="17"/>
      <c r="B1" s="17" t="s">
        <v>47</v>
      </c>
      <c r="C1" s="17" t="s">
        <v>48</v>
      </c>
      <c r="D1" s="17" t="s">
        <v>49</v>
      </c>
      <c r="E1" s="17"/>
      <c r="F1" s="17" t="s">
        <v>4</v>
      </c>
    </row>
    <row r="2" spans="1:6" x14ac:dyDescent="0.2">
      <c r="A2" s="17" t="s">
        <v>0</v>
      </c>
      <c r="B2" s="17">
        <v>1.71771735</v>
      </c>
      <c r="C2" s="17">
        <v>1.8096066399999999</v>
      </c>
      <c r="D2" s="17">
        <v>1.67091904</v>
      </c>
      <c r="E2" s="17"/>
      <c r="F2" s="17">
        <f>C2</f>
        <v>1.8096066399999999</v>
      </c>
    </row>
    <row r="3" spans="1:6" x14ac:dyDescent="0.2">
      <c r="A3" s="17" t="s">
        <v>2</v>
      </c>
      <c r="B3" s="17">
        <v>1.26301138</v>
      </c>
      <c r="C3" s="17">
        <v>1.3751453499999999</v>
      </c>
      <c r="D3" s="17">
        <v>1.3274238700000001</v>
      </c>
      <c r="E3" s="17"/>
      <c r="F3" s="17">
        <f t="shared" ref="F3:F4" si="0">C3</f>
        <v>1.3751453499999999</v>
      </c>
    </row>
    <row r="4" spans="1:6" x14ac:dyDescent="0.2">
      <c r="A4" s="17" t="s">
        <v>3</v>
      </c>
      <c r="B4" s="17">
        <v>1.01515573</v>
      </c>
      <c r="C4" s="17">
        <v>0.94132782999999998</v>
      </c>
      <c r="D4" s="17">
        <v>0.97393196999999998</v>
      </c>
      <c r="E4" s="17"/>
      <c r="F4" s="17">
        <f>C4</f>
        <v>0.94132782999999998</v>
      </c>
    </row>
    <row r="5" spans="1:6" x14ac:dyDescent="0.2">
      <c r="A5" t="s">
        <v>50</v>
      </c>
      <c r="B5">
        <v>1.0333304156458412</v>
      </c>
      <c r="C5">
        <v>1.1236834624147412</v>
      </c>
      <c r="D5">
        <v>1.1419697524038668</v>
      </c>
      <c r="F5" s="17">
        <f>C5</f>
        <v>1.1236834624147412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D7BE-AFE7-0641-A373-2191B849E442}">
  <dimension ref="A1:F5"/>
  <sheetViews>
    <sheetView tabSelected="1" workbookViewId="0">
      <selection activeCell="F5" sqref="F5"/>
    </sheetView>
  </sheetViews>
  <sheetFormatPr baseColWidth="10" defaultRowHeight="16" x14ac:dyDescent="0.2"/>
  <sheetData>
    <row r="1" spans="1:6" x14ac:dyDescent="0.2">
      <c r="A1" s="17"/>
      <c r="B1" s="17" t="s">
        <v>47</v>
      </c>
      <c r="C1" s="17" t="s">
        <v>48</v>
      </c>
      <c r="D1" s="17" t="s">
        <v>49</v>
      </c>
      <c r="E1" s="17"/>
      <c r="F1" s="17" t="s">
        <v>4</v>
      </c>
    </row>
    <row r="2" spans="1:6" x14ac:dyDescent="0.2">
      <c r="A2" s="17" t="s">
        <v>0</v>
      </c>
      <c r="B2" s="17">
        <v>1.71771735</v>
      </c>
      <c r="C2" s="17">
        <v>1.8096066399999999</v>
      </c>
      <c r="D2" s="17">
        <v>1.67091904</v>
      </c>
      <c r="E2" s="17"/>
      <c r="F2" s="17">
        <f>(C2+D2)/2</f>
        <v>1.74026284</v>
      </c>
    </row>
    <row r="3" spans="1:6" x14ac:dyDescent="0.2">
      <c r="A3" s="17" t="s">
        <v>2</v>
      </c>
      <c r="B3" s="17">
        <v>1.26301138</v>
      </c>
      <c r="C3" s="17">
        <v>1.3751453499999999</v>
      </c>
      <c r="D3" s="17">
        <v>1.3274238700000001</v>
      </c>
      <c r="E3" s="17"/>
      <c r="F3" s="17">
        <f t="shared" ref="F3:F4" si="0">(C3+D3)/2</f>
        <v>1.35128461</v>
      </c>
    </row>
    <row r="4" spans="1:6" x14ac:dyDescent="0.2">
      <c r="A4" s="17" t="s">
        <v>3</v>
      </c>
      <c r="B4" s="17">
        <v>1.01515573</v>
      </c>
      <c r="C4" s="17">
        <v>0.94132782999999998</v>
      </c>
      <c r="D4" s="17">
        <v>0.97393196999999998</v>
      </c>
      <c r="E4" s="17"/>
      <c r="F4" s="17">
        <f>(C4+D4)/2</f>
        <v>0.95762989999999992</v>
      </c>
    </row>
    <row r="5" spans="1:6" x14ac:dyDescent="0.2">
      <c r="A5" t="s">
        <v>50</v>
      </c>
      <c r="B5">
        <v>1.0333304156458412</v>
      </c>
      <c r="C5">
        <v>1.1236834624147412</v>
      </c>
      <c r="D5">
        <v>1.1419697524038668</v>
      </c>
      <c r="F5" s="17">
        <f>(C5+D5)/2</f>
        <v>1.1328266074093039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AEP</vt:lpstr>
      <vt:lpstr>CP</vt:lpstr>
      <vt:lpstr>ONCOR</vt:lpstr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2026-04-11T18:13:34Z</dcterms:created>
  <dcterms:modified xsi:type="dcterms:W3CDTF">2026-04-20T20:50:25Z</dcterms:modified>
</cp:coreProperties>
</file>