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load_and_costs/CAISO/"/>
    </mc:Choice>
  </mc:AlternateContent>
  <xr:revisionPtr revIDLastSave="0" documentId="13_ncr:1_{786CFAF0-8791-BD4F-B6D8-2EE0AFD296D4}" xr6:coauthVersionLast="47" xr6:coauthVersionMax="47" xr10:uidLastSave="{00000000-0000-0000-0000-000000000000}"/>
  <bookViews>
    <workbookView xWindow="5840" yWindow="600" windowWidth="32560" windowHeight="21000" activeTab="2" xr2:uid="{2B962C4C-ABC3-FA4E-AA37-CA9B9A85C265}"/>
  </bookViews>
  <sheets>
    <sheet name="PGE" sheetId="1" r:id="rId1"/>
    <sheet name="SCE" sheetId="2" r:id="rId2"/>
    <sheet name="SD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3" l="1"/>
  <c r="M15" i="3"/>
  <c r="M10" i="3"/>
  <c r="M9" i="3"/>
  <c r="M5" i="3"/>
  <c r="M4" i="3"/>
  <c r="M3" i="3"/>
  <c r="K128" i="3"/>
  <c r="K126" i="3"/>
  <c r="K120" i="3"/>
  <c r="K121" i="3" s="1"/>
  <c r="K115" i="3"/>
  <c r="K114" i="3"/>
  <c r="O9" i="2"/>
  <c r="K105" i="3"/>
  <c r="K103" i="3"/>
  <c r="K97" i="3"/>
  <c r="K98" i="3" s="1"/>
  <c r="K92" i="3"/>
  <c r="K91" i="3"/>
  <c r="K83" i="3"/>
  <c r="K81" i="3"/>
  <c r="K75" i="3"/>
  <c r="K76" i="3" s="1"/>
  <c r="K70" i="3"/>
  <c r="K69" i="3"/>
  <c r="K61" i="3"/>
  <c r="K59" i="3"/>
  <c r="K53" i="3"/>
  <c r="K54" i="3" s="1"/>
  <c r="K48" i="3"/>
  <c r="K47" i="3"/>
  <c r="K26" i="3"/>
  <c r="K4" i="3"/>
  <c r="K39" i="3"/>
  <c r="K37" i="3"/>
  <c r="K31" i="3"/>
  <c r="K32" i="3" s="1"/>
  <c r="K25" i="3"/>
  <c r="K17" i="3"/>
  <c r="K15" i="3"/>
  <c r="K9" i="3"/>
  <c r="K10" i="3" s="1"/>
  <c r="K3" i="3"/>
  <c r="Q16" i="2"/>
  <c r="O96" i="2"/>
  <c r="O94" i="2"/>
  <c r="O89" i="2"/>
  <c r="O90" i="2" s="1"/>
  <c r="O85" i="2"/>
  <c r="O84" i="2"/>
  <c r="O83" i="2"/>
  <c r="O80" i="2"/>
  <c r="O78" i="2"/>
  <c r="O73" i="2"/>
  <c r="O74" i="2" s="1"/>
  <c r="O69" i="2"/>
  <c r="O68" i="2"/>
  <c r="O67" i="2"/>
  <c r="O64" i="2"/>
  <c r="O62" i="2"/>
  <c r="O57" i="2"/>
  <c r="O58" i="2" s="1"/>
  <c r="O53" i="2"/>
  <c r="O52" i="2"/>
  <c r="O51" i="2"/>
  <c r="O48" i="2"/>
  <c r="O46" i="2"/>
  <c r="O41" i="2"/>
  <c r="O42" i="2" s="1"/>
  <c r="O37" i="2"/>
  <c r="O36" i="2"/>
  <c r="O35" i="2"/>
  <c r="Q3" i="2" s="1"/>
  <c r="O32" i="2"/>
  <c r="O30" i="2"/>
  <c r="O25" i="2"/>
  <c r="O26" i="2" s="1"/>
  <c r="O21" i="2"/>
  <c r="O20" i="2"/>
  <c r="O19" i="2"/>
  <c r="O16" i="2"/>
  <c r="O5" i="2"/>
  <c r="Q5" i="2" s="1"/>
  <c r="O14" i="2"/>
  <c r="Q14" i="2" s="1"/>
  <c r="O10" i="2"/>
  <c r="Q10" i="2" s="1"/>
  <c r="O4" i="2"/>
  <c r="Q4" i="2" s="1"/>
  <c r="O3" i="2"/>
  <c r="K128" i="1"/>
  <c r="K126" i="1"/>
  <c r="K127" i="1" s="1"/>
  <c r="K123" i="1"/>
  <c r="K122" i="1"/>
  <c r="K116" i="1"/>
  <c r="K115" i="1"/>
  <c r="K106" i="1"/>
  <c r="K104" i="1"/>
  <c r="K105" i="1" s="1"/>
  <c r="K101" i="1"/>
  <c r="K100" i="1"/>
  <c r="K94" i="1"/>
  <c r="K93" i="1"/>
  <c r="K83" i="1"/>
  <c r="K81" i="1"/>
  <c r="K82" i="1" s="1"/>
  <c r="K78" i="1"/>
  <c r="K77" i="1"/>
  <c r="K71" i="1"/>
  <c r="K70" i="1"/>
  <c r="K61" i="1"/>
  <c r="K59" i="1"/>
  <c r="K60" i="1" s="1"/>
  <c r="K56" i="1"/>
  <c r="K55" i="1"/>
  <c r="K49" i="1"/>
  <c r="K48" i="1"/>
  <c r="K34" i="1"/>
  <c r="K11" i="1"/>
  <c r="M11" i="1" s="1"/>
  <c r="K39" i="1"/>
  <c r="K37" i="1"/>
  <c r="K38" i="1" s="1"/>
  <c r="K33" i="1"/>
  <c r="K27" i="1"/>
  <c r="K26" i="1"/>
  <c r="K10" i="1"/>
  <c r="M10" i="1" s="1"/>
  <c r="K16" i="1"/>
  <c r="M16" i="1" s="1"/>
  <c r="K14" i="1"/>
  <c r="K15" i="1" s="1"/>
  <c r="M15" i="1" s="1"/>
  <c r="K4" i="1"/>
  <c r="M4" i="1" s="1"/>
  <c r="K3" i="1"/>
  <c r="M3" i="1" s="1"/>
  <c r="M14" i="1" l="1"/>
  <c r="Q9" i="2"/>
</calcChain>
</file>

<file path=xl/sharedStrings.xml><?xml version="1.0" encoding="utf-8"?>
<sst xmlns="http://schemas.openxmlformats.org/spreadsheetml/2006/main" count="738" uniqueCount="131">
  <si>
    <t>Code</t>
  </si>
  <si>
    <t>Class Name</t>
  </si>
  <si>
    <t>(A) Note 1 Recorded Avg. 2014 - 2018 (kWh)</t>
  </si>
  <si>
    <t>(C) Note 3 Recorded Avg. 2014 - 2018 (kW)</t>
  </si>
  <si>
    <t>(D) Coincident Demands Scaled to (kW) [(B)/(A)] * (C)</t>
  </si>
  <si>
    <t>(F) Coincident Demands (adjusted for losses) (kW) (D) * (E)</t>
  </si>
  <si>
    <t>(G) Note 5 Percent of Coin. Peak (w/losses) (F) / Σ(F)</t>
  </si>
  <si>
    <t>(H) Adjusted Cost Alloc. Factors (w/standby) scale to 100%</t>
  </si>
  <si>
    <t>RES-</t>
  </si>
  <si>
    <t>Residential</t>
  </si>
  <si>
    <t>A1-</t>
  </si>
  <si>
    <t>Small L&amp;P</t>
  </si>
  <si>
    <t>A10-</t>
  </si>
  <si>
    <t>Medium L&amp;P</t>
  </si>
  <si>
    <t>E19-</t>
  </si>
  <si>
    <t>At Transmission</t>
  </si>
  <si>
    <t>At Primary</t>
  </si>
  <si>
    <t>At Secondary</t>
  </si>
  <si>
    <t>Medium Light and Power</t>
  </si>
  <si>
    <t>STL-</t>
  </si>
  <si>
    <t>Streetlights</t>
  </si>
  <si>
    <t>AGA-</t>
  </si>
  <si>
    <t>AG: A Schedules</t>
  </si>
  <si>
    <t>AGB-</t>
  </si>
  <si>
    <t>AG: B Schedules</t>
  </si>
  <si>
    <t>Agriculture</t>
  </si>
  <si>
    <t>E20-</t>
  </si>
  <si>
    <t>Schedule E-20</t>
  </si>
  <si>
    <t>Total - Full Requirements</t>
  </si>
  <si>
    <t>STB-</t>
  </si>
  <si>
    <t>Standby</t>
  </si>
  <si>
    <t>Totals - Retail</t>
  </si>
  <si>
    <t>Load Factor</t>
  </si>
  <si>
    <t>Commercial</t>
  </si>
  <si>
    <t>Industrial</t>
  </si>
  <si>
    <t>Mining</t>
  </si>
  <si>
    <t>AGWP</t>
  </si>
  <si>
    <t>TCU</t>
  </si>
  <si>
    <t>STL</t>
  </si>
  <si>
    <t>Col 1Note 1 Recorded Avg. 5-Year Historical (kWh)</t>
  </si>
  <si>
    <t>Col 3Note 3 Recorded Avg. 5-Year Historical (kW)</t>
  </si>
  <si>
    <t>Col 4= (col 2/col 1) * col 3 Coincident Demands Scaled to (kW)</t>
  </si>
  <si>
    <t>Col 6= col 4 * col 5 Coincident Demands (adjusted for losses) (kW)</t>
  </si>
  <si>
    <t>Col 7= col 6/ sum col 6 Percent of Coin. Peak (w/losses)</t>
  </si>
  <si>
    <t>Col 8Adjusted Cost Alloc. Factors (w/standby) scale to 100%</t>
  </si>
  <si>
    <t>n/a</t>
  </si>
  <si>
    <t>0.88% (Note 6)</t>
  </si>
  <si>
    <t>Note 1 Recorded Avg. 5-Year Historical (kWh)</t>
  </si>
  <si>
    <t>Note 3 Recorded Avg. 5-Year Historical (kW)</t>
  </si>
  <si>
    <t>= (col 2/col 1) * col 3 Coincident Demands Scaled to (kW)</t>
  </si>
  <si>
    <t>= col 4 * col 5 Coincident Demands (adjusted for losses) (kW)</t>
  </si>
  <si>
    <t>= col 6/ sum col 6 Percent of Coin. Peak (w/losses)</t>
  </si>
  <si>
    <t>Adjusted Cost Alloc. Factors (w/standby) scale to 100%</t>
  </si>
  <si>
    <t>A1/B1-</t>
  </si>
  <si>
    <t>A10/B10-</t>
  </si>
  <si>
    <t>E19/B19-</t>
  </si>
  <si>
    <t>AGB/C-</t>
  </si>
  <si>
    <t>E20/B20-</t>
  </si>
  <si>
    <t>Schedule E-20/B-20</t>
  </si>
  <si>
    <t>STB/SB-</t>
  </si>
  <si>
    <t>All year</t>
  </si>
  <si>
    <t>CPUC Rate Group</t>
  </si>
  <si>
    <t>12-CP MW 2015</t>
  </si>
  <si>
    <t>12-CP MW 2016</t>
  </si>
  <si>
    <t>12-CP MW 2017</t>
  </si>
  <si>
    <t>Col 43-Year Average</t>
  </si>
  <si>
    <t>Col 5Line losses</t>
  </si>
  <si>
    <t>Col 6Recorded GWh (Average)</t>
  </si>
  <si>
    <t>Col 7Standby Adjusted Sales Forecast - GWh</t>
  </si>
  <si>
    <t>Col 8Backup GWh</t>
  </si>
  <si>
    <t>Col 9Total Sales Forecast - GWh</t>
  </si>
  <si>
    <t>Col 10MW Loss Adjusted Average 12-CP</t>
  </si>
  <si>
    <t>Col 1112-CP Allocation factors</t>
  </si>
  <si>
    <t>Domestic</t>
  </si>
  <si>
    <t>TOU-GS-1</t>
  </si>
  <si>
    <t>TC-1</t>
  </si>
  <si>
    <t>TOU-GS-2</t>
  </si>
  <si>
    <t>TOU-GS-3</t>
  </si>
  <si>
    <t>TOU-8-SEC</t>
  </si>
  <si>
    <t>TOU-8-PRI</t>
  </si>
  <si>
    <t>TOU-8-SUB</t>
  </si>
  <si>
    <t>TOU-8-Standby-SEC</t>
  </si>
  <si>
    <t>TOU-8-Standby-PRI</t>
  </si>
  <si>
    <t>TOU-8-Standby-SUB</t>
  </si>
  <si>
    <t>TOU-PA-2</t>
  </si>
  <si>
    <t>TOU-PA-3</t>
  </si>
  <si>
    <t>Street Lighting</t>
  </si>
  <si>
    <t>3-Year Average</t>
  </si>
  <si>
    <t>Line losses</t>
  </si>
  <si>
    <t>Recorded GWh (Average)</t>
  </si>
  <si>
    <t>Standby Adjusted Sales Forecast - GWh</t>
  </si>
  <si>
    <t>Backup GWh</t>
  </si>
  <si>
    <t>Total Sales Forecast - GWh</t>
  </si>
  <si>
    <t>Loss Adjusted Average 12-CP</t>
  </si>
  <si>
    <t>12-CP Allocation factors</t>
  </si>
  <si>
    <t>Adjusted Sales Forecast - GWh</t>
  </si>
  <si>
    <t>Customer Class</t>
  </si>
  <si>
    <t>(a)5-Year Average Of 12-CPS Kilowatts @ Meter Level ¹</t>
  </si>
  <si>
    <t>(b)Transmission Loss Factors</t>
  </si>
  <si>
    <t>(c) = (a) x (b)5-Year Average Of 12-CPS Kilowatts @ Transmission Level</t>
  </si>
  <si>
    <t>12-CP Allocation Percentages @ Transmission Level</t>
  </si>
  <si>
    <t>Residential Customers</t>
  </si>
  <si>
    <t>Small Commercial Customers</t>
  </si>
  <si>
    <t>Medium-Large Commercial Customers</t>
  </si>
  <si>
    <t>Secondary</t>
  </si>
  <si>
    <t>Primary</t>
  </si>
  <si>
    <t>Transmission</t>
  </si>
  <si>
    <t>Total Medium-Large Commercial</t>
  </si>
  <si>
    <t>Agricultural</t>
  </si>
  <si>
    <t>-</t>
  </si>
  <si>
    <t>Total Agricultural</t>
  </si>
  <si>
    <t>Standby Customers</t>
  </si>
  <si>
    <t>Total Standby Customers</t>
  </si>
  <si>
    <t>Customer Classes</t>
  </si>
  <si>
    <t>(M) 12 Months to Date Billing Determinants⁵Energy (kWh)</t>
  </si>
  <si>
    <t>Small Commercial</t>
  </si>
  <si>
    <t>Medium and Large Commercial/Industrial</t>
  </si>
  <si>
    <t>Schedules PA and TOU-PA</t>
  </si>
  <si>
    <t>(M) 12 Months to Date Billing DeterminantsEnergy (kWh)</t>
  </si>
  <si>
    <t>Small Commercial Customers²</t>
  </si>
  <si>
    <t>12 Months to Date Billing DeterminantsEnergy (kWh)</t>
  </si>
  <si>
    <t>(c) = (a) x (b)5-Year Average Of 12-CPS; Kilowatts @ Transmission Level</t>
  </si>
  <si>
    <t>Energy (kWh)</t>
  </si>
  <si>
    <t>(B)5-year Average Of 12 CPs Kilowatt @ Meter Level</t>
  </si>
  <si>
    <t>(C)Transmission Loss Factors</t>
  </si>
  <si>
    <t>(D) = (B) x (C)5-year Average Of 12 CPs Kilowatt @ Transmission Level</t>
  </si>
  <si>
    <t>(E)Ratio</t>
  </si>
  <si>
    <t>Five-year Average - 12-CP Allocation Factors:</t>
  </si>
  <si>
    <t>Medium &amp; Large Commercial/Industrial</t>
  </si>
  <si>
    <t>Total Med. &amp; Large Comm./Ind.</t>
  </si>
  <si>
    <t>Total Standby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</si>
</sst>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3462-A6E0-FA4E-8CEF-14A0065ABD74}">
  <dimension ref="A1:M134"/>
  <sheetViews>
    <sheetView workbookViewId="0">
      <selection activeCell="K14" sqref="K14"/>
    </sheetView>
  </sheetViews>
  <sheetFormatPr baseColWidth="10" defaultRowHeight="16" x14ac:dyDescent="0.2"/>
  <cols>
    <col min="1" max="1" width="10.83203125" style="5"/>
    <col min="2" max="2" width="24.33203125" style="5" bestFit="1" customWidth="1"/>
    <col min="3" max="3" width="16.83203125" style="5" customWidth="1"/>
    <col min="4" max="4" width="14.1640625" style="5" customWidth="1"/>
    <col min="5" max="5" width="14.33203125" style="5" customWidth="1"/>
    <col min="6" max="6" width="14" style="5" customWidth="1"/>
    <col min="7" max="7" width="13" style="5" customWidth="1"/>
    <col min="8" max="8" width="11.83203125" style="5" customWidth="1"/>
    <col min="9" max="16384" width="10.83203125" style="5"/>
  </cols>
  <sheetData>
    <row r="1" spans="1:13" x14ac:dyDescent="0.2">
      <c r="A1" s="10">
        <v>2020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K2" s="1" t="s">
        <v>32</v>
      </c>
      <c r="M2" s="8" t="s">
        <v>60</v>
      </c>
    </row>
    <row r="3" spans="1:13" x14ac:dyDescent="0.2">
      <c r="A3" s="5" t="s">
        <v>8</v>
      </c>
      <c r="B3" s="5" t="s">
        <v>9</v>
      </c>
      <c r="C3" s="6">
        <v>28856275281</v>
      </c>
      <c r="D3" s="6">
        <v>69284866</v>
      </c>
      <c r="E3" s="6">
        <v>66735042</v>
      </c>
      <c r="F3" s="6">
        <v>75976472</v>
      </c>
      <c r="G3" s="7">
        <v>0.44869999999999999</v>
      </c>
      <c r="H3" s="7">
        <v>0.44409999999999999</v>
      </c>
      <c r="J3" s="5" t="s">
        <v>9</v>
      </c>
      <c r="K3" s="5">
        <f>E3/12*8760/C3</f>
        <v>1.6882490961013508</v>
      </c>
      <c r="M3" s="5">
        <f>(K3+K26+K48+K70+K93+K115)/6</f>
        <v>1.7930602690768349</v>
      </c>
    </row>
    <row r="4" spans="1:13" x14ac:dyDescent="0.2">
      <c r="A4" s="2" t="s">
        <v>10</v>
      </c>
      <c r="B4" s="2" t="s">
        <v>11</v>
      </c>
      <c r="C4" s="3">
        <v>8311237836</v>
      </c>
      <c r="D4" s="3">
        <v>15352157</v>
      </c>
      <c r="E4" s="3">
        <v>14667890</v>
      </c>
      <c r="F4" s="3">
        <v>16699091</v>
      </c>
      <c r="G4" s="4">
        <v>9.8599999999999993E-2</v>
      </c>
      <c r="H4" s="4">
        <v>9.7600000000000006E-2</v>
      </c>
      <c r="J4" s="5" t="s">
        <v>33</v>
      </c>
      <c r="K4" s="5">
        <f>SUM(E4:E8)/12*8760/SUM(C4:C8)</f>
        <v>1.217937022638677</v>
      </c>
      <c r="M4" s="5">
        <f>(K4+K27+K49+K71+K94+K116)/6</f>
        <v>1.228371743752396</v>
      </c>
    </row>
    <row r="5" spans="1:13" x14ac:dyDescent="0.2">
      <c r="A5" s="2" t="s">
        <v>12</v>
      </c>
      <c r="B5" s="2" t="s">
        <v>13</v>
      </c>
      <c r="C5" s="3">
        <v>8978047856</v>
      </c>
      <c r="D5" s="3">
        <v>16145526</v>
      </c>
      <c r="E5" s="3">
        <v>14676922</v>
      </c>
      <c r="F5" s="3">
        <v>16709373</v>
      </c>
      <c r="G5" s="2"/>
      <c r="H5" s="2"/>
    </row>
    <row r="6" spans="1:13" x14ac:dyDescent="0.2">
      <c r="A6" s="2" t="s">
        <v>14</v>
      </c>
      <c r="B6" s="2" t="s">
        <v>15</v>
      </c>
      <c r="C6" s="3">
        <v>39544024</v>
      </c>
      <c r="D6" s="3">
        <v>55969</v>
      </c>
      <c r="E6" s="3">
        <v>37046</v>
      </c>
      <c r="F6" s="3">
        <v>38658</v>
      </c>
      <c r="G6" s="2"/>
      <c r="H6" s="2"/>
    </row>
    <row r="7" spans="1:13" x14ac:dyDescent="0.2">
      <c r="A7" s="2" t="s">
        <v>14</v>
      </c>
      <c r="B7" s="2" t="s">
        <v>16</v>
      </c>
      <c r="C7" s="3">
        <v>1032557403</v>
      </c>
      <c r="D7" s="3">
        <v>1616244</v>
      </c>
      <c r="E7" s="3">
        <v>1651517</v>
      </c>
      <c r="F7" s="3">
        <v>1773967</v>
      </c>
      <c r="G7" s="2"/>
      <c r="H7" s="2"/>
    </row>
    <row r="8" spans="1:13" x14ac:dyDescent="0.2">
      <c r="A8" s="2" t="s">
        <v>14</v>
      </c>
      <c r="B8" s="2" t="s">
        <v>17</v>
      </c>
      <c r="C8" s="3">
        <v>12701645293</v>
      </c>
      <c r="D8" s="3">
        <v>20866563</v>
      </c>
      <c r="E8" s="3">
        <v>20792402</v>
      </c>
      <c r="F8" s="3">
        <v>23671721</v>
      </c>
      <c r="G8" s="3"/>
      <c r="H8" s="2"/>
    </row>
    <row r="9" spans="1:13" x14ac:dyDescent="0.2">
      <c r="A9" s="2"/>
      <c r="B9" s="2" t="s">
        <v>18</v>
      </c>
      <c r="C9" s="3">
        <v>22751794577</v>
      </c>
      <c r="D9" s="3">
        <v>38684302</v>
      </c>
      <c r="E9" s="3">
        <v>37157887</v>
      </c>
      <c r="F9" s="3">
        <v>42193720</v>
      </c>
      <c r="G9" s="4">
        <v>0.2492</v>
      </c>
      <c r="H9" s="4">
        <v>0.24660000000000001</v>
      </c>
    </row>
    <row r="10" spans="1:13" x14ac:dyDescent="0.2">
      <c r="A10" s="2" t="s">
        <v>19</v>
      </c>
      <c r="B10" s="2" t="s">
        <v>20</v>
      </c>
      <c r="C10" s="3">
        <v>321651725</v>
      </c>
      <c r="D10" s="3">
        <v>482687</v>
      </c>
      <c r="E10" s="3">
        <v>367524</v>
      </c>
      <c r="F10" s="3">
        <v>418418</v>
      </c>
      <c r="G10" s="4">
        <v>2.5000000000000001E-3</v>
      </c>
      <c r="H10" s="4">
        <v>2.3999999999999998E-3</v>
      </c>
      <c r="J10" s="5" t="s">
        <v>38</v>
      </c>
      <c r="K10" s="5">
        <f>E10/12*8760/C10</f>
        <v>0.83410875536265194</v>
      </c>
      <c r="M10" s="5">
        <f>(K10+K33+K55+K77+K100+K122)/6</f>
        <v>0.97400372815408109</v>
      </c>
    </row>
    <row r="11" spans="1:13" x14ac:dyDescent="0.2">
      <c r="A11" s="2" t="s">
        <v>21</v>
      </c>
      <c r="B11" s="2" t="s">
        <v>22</v>
      </c>
      <c r="C11" s="3">
        <v>560606111</v>
      </c>
      <c r="D11" s="3">
        <v>802322</v>
      </c>
      <c r="E11" s="3">
        <v>611435</v>
      </c>
      <c r="F11" s="3">
        <v>696106</v>
      </c>
      <c r="G11" s="2"/>
      <c r="H11" s="2"/>
      <c r="J11" s="5" t="s">
        <v>36</v>
      </c>
      <c r="K11" s="5">
        <f>SUM(E11:E12)/12*8760/SUM(C11:C12)</f>
        <v>0.96196500905588322</v>
      </c>
      <c r="M11" s="5">
        <f>(K11+K34+K56+K78+K101+K123)/6</f>
        <v>1.0558990138955713</v>
      </c>
    </row>
    <row r="12" spans="1:13" x14ac:dyDescent="0.2">
      <c r="A12" s="2" t="s">
        <v>23</v>
      </c>
      <c r="B12" s="2" t="s">
        <v>24</v>
      </c>
      <c r="C12" s="3">
        <v>5739669505</v>
      </c>
      <c r="D12" s="3">
        <v>8460478</v>
      </c>
      <c r="E12" s="3">
        <v>7690818</v>
      </c>
      <c r="F12" s="3">
        <v>8755838</v>
      </c>
      <c r="G12" s="2"/>
      <c r="H12" s="2"/>
    </row>
    <row r="13" spans="1:13" x14ac:dyDescent="0.2">
      <c r="A13" s="2"/>
      <c r="B13" s="2" t="s">
        <v>25</v>
      </c>
      <c r="C13" s="3">
        <v>6300275616</v>
      </c>
      <c r="D13" s="3">
        <v>9262800</v>
      </c>
      <c r="E13" s="3">
        <v>8302254</v>
      </c>
      <c r="F13" s="3">
        <v>9451945</v>
      </c>
      <c r="G13" s="4">
        <v>5.5800000000000002E-2</v>
      </c>
      <c r="H13" s="4">
        <v>5.5199999999999999E-2</v>
      </c>
    </row>
    <row r="14" spans="1:13" x14ac:dyDescent="0.2">
      <c r="A14" s="2" t="s">
        <v>26</v>
      </c>
      <c r="B14" s="2" t="s">
        <v>15</v>
      </c>
      <c r="C14" s="3">
        <v>5918360675</v>
      </c>
      <c r="D14" s="3">
        <v>8444017</v>
      </c>
      <c r="E14" s="3">
        <v>8627145</v>
      </c>
      <c r="F14" s="3">
        <v>9002507</v>
      </c>
      <c r="G14" s="2"/>
      <c r="H14" s="2"/>
      <c r="J14" s="5" t="s">
        <v>34</v>
      </c>
      <c r="K14" s="5">
        <f>SUM(E14:E17)/12*8760/SUM(C14:C17)</f>
        <v>1.0959064525609585</v>
      </c>
      <c r="M14" s="5">
        <f>(K14+K37+K59+K81+K104+K126)/6</f>
        <v>1.0247469878043631</v>
      </c>
    </row>
    <row r="15" spans="1:13" x14ac:dyDescent="0.2">
      <c r="A15" s="2" t="s">
        <v>26</v>
      </c>
      <c r="B15" s="2" t="s">
        <v>16</v>
      </c>
      <c r="C15" s="3">
        <v>6886204997</v>
      </c>
      <c r="D15" s="3">
        <v>10378918</v>
      </c>
      <c r="E15" s="3">
        <v>10598025</v>
      </c>
      <c r="F15" s="3">
        <v>11383805</v>
      </c>
      <c r="G15" s="2"/>
      <c r="H15" s="2"/>
      <c r="J15" s="5" t="s">
        <v>35</v>
      </c>
      <c r="K15" s="5">
        <f>K14</f>
        <v>1.0959064525609585</v>
      </c>
      <c r="M15" s="5">
        <f>(K15+K38+K60+K82+K105+K127)/6</f>
        <v>1.0247469878043631</v>
      </c>
    </row>
    <row r="16" spans="1:13" x14ac:dyDescent="0.2">
      <c r="A16" s="2" t="s">
        <v>26</v>
      </c>
      <c r="B16" s="2" t="s">
        <v>17</v>
      </c>
      <c r="C16" s="3">
        <v>2469153915</v>
      </c>
      <c r="D16" s="3">
        <v>3843930</v>
      </c>
      <c r="E16" s="3">
        <v>3704375</v>
      </c>
      <c r="F16" s="3">
        <v>4217354</v>
      </c>
      <c r="G16" s="2"/>
      <c r="H16" s="2"/>
      <c r="J16" s="5" t="s">
        <v>37</v>
      </c>
      <c r="K16" s="5">
        <f>(E5+E7+E8+E14+E15+E16)/12*8760/(C5+C7+C8+C14+C15+C16)</f>
        <v>1.1540255947022136</v>
      </c>
      <c r="M16" s="5">
        <f>(K16+K39+K61+K83+K106+K128)/6</f>
        <v>1.1339482751438694</v>
      </c>
    </row>
    <row r="17" spans="1:11" x14ac:dyDescent="0.2">
      <c r="A17" s="2"/>
      <c r="B17" s="2" t="s">
        <v>27</v>
      </c>
      <c r="C17" s="3">
        <v>15273719587</v>
      </c>
      <c r="D17" s="3">
        <v>22666865</v>
      </c>
      <c r="E17" s="3">
        <v>22929545</v>
      </c>
      <c r="F17" s="3">
        <v>24603666</v>
      </c>
      <c r="G17" s="4">
        <v>0.14530000000000001</v>
      </c>
      <c r="H17" s="4">
        <v>0.14380000000000001</v>
      </c>
    </row>
    <row r="18" spans="1:11" x14ac:dyDescent="0.2">
      <c r="A18" s="2"/>
      <c r="B18" s="2" t="s">
        <v>28</v>
      </c>
      <c r="C18" s="3">
        <v>81814954621</v>
      </c>
      <c r="D18" s="3">
        <v>155733676</v>
      </c>
      <c r="E18" s="3">
        <v>150160141</v>
      </c>
      <c r="F18" s="3">
        <v>169343312</v>
      </c>
      <c r="G18" s="4">
        <v>1</v>
      </c>
      <c r="H18" s="4">
        <v>0.9899</v>
      </c>
    </row>
    <row r="19" spans="1:11" x14ac:dyDescent="0.2">
      <c r="A19" s="2" t="s">
        <v>29</v>
      </c>
      <c r="B19" s="2" t="s">
        <v>15</v>
      </c>
      <c r="C19" s="3">
        <v>379206458</v>
      </c>
      <c r="D19" s="3">
        <v>432292</v>
      </c>
      <c r="E19" s="3">
        <v>480619</v>
      </c>
      <c r="F19" s="3">
        <v>501531</v>
      </c>
      <c r="G19" s="2"/>
      <c r="H19" s="2"/>
    </row>
    <row r="20" spans="1:11" x14ac:dyDescent="0.2">
      <c r="A20" s="2" t="s">
        <v>29</v>
      </c>
      <c r="B20" s="2" t="s">
        <v>16</v>
      </c>
      <c r="C20" s="3">
        <v>18945842</v>
      </c>
      <c r="D20" s="3">
        <v>24525</v>
      </c>
      <c r="E20" s="3">
        <v>37280</v>
      </c>
      <c r="F20" s="3">
        <v>40044</v>
      </c>
      <c r="G20" s="2"/>
      <c r="H20" s="2"/>
    </row>
    <row r="21" spans="1:11" x14ac:dyDescent="0.2">
      <c r="A21" s="2" t="s">
        <v>29</v>
      </c>
      <c r="B21" s="2" t="s">
        <v>17</v>
      </c>
      <c r="C21" s="3">
        <v>1786244</v>
      </c>
      <c r="D21" s="3">
        <v>2743</v>
      </c>
      <c r="E21" s="3">
        <v>10438</v>
      </c>
      <c r="F21" s="3">
        <v>11884</v>
      </c>
      <c r="G21" s="2"/>
      <c r="H21" s="2"/>
    </row>
    <row r="22" spans="1:11" x14ac:dyDescent="0.2">
      <c r="A22" s="2"/>
      <c r="B22" s="2" t="s">
        <v>30</v>
      </c>
      <c r="C22" s="3">
        <v>399938544</v>
      </c>
      <c r="D22" s="3">
        <v>459560</v>
      </c>
      <c r="E22" s="3">
        <v>528337</v>
      </c>
      <c r="F22" s="3">
        <v>553458</v>
      </c>
      <c r="G22" s="4">
        <v>1.0200000000000001E-2</v>
      </c>
      <c r="H22" s="4">
        <v>1.01E-2</v>
      </c>
    </row>
    <row r="23" spans="1:11" x14ac:dyDescent="0.2">
      <c r="A23" s="2"/>
      <c r="B23" s="2" t="s">
        <v>31</v>
      </c>
      <c r="C23" s="3">
        <v>82214893165</v>
      </c>
      <c r="D23" s="3">
        <v>156193236</v>
      </c>
      <c r="E23" s="3">
        <v>150688478</v>
      </c>
      <c r="F23" s="2"/>
      <c r="G23" s="2"/>
      <c r="H23" s="4">
        <v>1</v>
      </c>
    </row>
    <row r="24" spans="1:11" x14ac:dyDescent="0.2">
      <c r="A24" s="10">
        <v>2021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" t="s">
        <v>0</v>
      </c>
      <c r="B25" s="1" t="s">
        <v>1</v>
      </c>
      <c r="C25" s="1" t="s">
        <v>39</v>
      </c>
      <c r="D25" s="1" t="s">
        <v>40</v>
      </c>
      <c r="E25" s="1" t="s">
        <v>41</v>
      </c>
      <c r="F25" s="1" t="s">
        <v>42</v>
      </c>
      <c r="G25" s="1" t="s">
        <v>43</v>
      </c>
      <c r="H25" s="1" t="s">
        <v>44</v>
      </c>
    </row>
    <row r="26" spans="1:11" x14ac:dyDescent="0.2">
      <c r="A26" s="2" t="s">
        <v>8</v>
      </c>
      <c r="B26" s="2" t="s">
        <v>9</v>
      </c>
      <c r="C26" s="3">
        <v>28406175617</v>
      </c>
      <c r="D26" s="3">
        <v>69620340</v>
      </c>
      <c r="E26" s="3">
        <v>68652536</v>
      </c>
      <c r="F26" s="3">
        <v>78159199</v>
      </c>
      <c r="G26" s="4">
        <v>0.4728</v>
      </c>
      <c r="H26" s="4">
        <v>0.46860000000000002</v>
      </c>
      <c r="J26" s="5" t="s">
        <v>9</v>
      </c>
      <c r="K26" s="5">
        <f>E26/12*8760/C26</f>
        <v>1.7642766120901998</v>
      </c>
    </row>
    <row r="27" spans="1:11" x14ac:dyDescent="0.2">
      <c r="A27" s="2" t="s">
        <v>10</v>
      </c>
      <c r="B27" s="2" t="s">
        <v>11</v>
      </c>
      <c r="C27" s="3">
        <v>8229268053</v>
      </c>
      <c r="D27" s="3">
        <v>15160410</v>
      </c>
      <c r="E27" s="3">
        <v>13269333</v>
      </c>
      <c r="F27" s="3">
        <v>15106863</v>
      </c>
      <c r="G27" s="4">
        <v>9.1399999999999995E-2</v>
      </c>
      <c r="H27" s="4">
        <v>9.06E-2</v>
      </c>
      <c r="J27" s="5" t="s">
        <v>33</v>
      </c>
      <c r="K27" s="5">
        <f>SUM(E27:E31)/12*8760/SUM(C27:C31)</f>
        <v>1.1352506549130446</v>
      </c>
    </row>
    <row r="28" spans="1:11" x14ac:dyDescent="0.2">
      <c r="A28" s="2" t="s">
        <v>12</v>
      </c>
      <c r="B28" s="2" t="s">
        <v>13</v>
      </c>
      <c r="C28" s="3">
        <v>8764733117</v>
      </c>
      <c r="D28" s="3">
        <v>15458828</v>
      </c>
      <c r="E28" s="3">
        <v>13309180</v>
      </c>
      <c r="F28" s="3">
        <v>15152228</v>
      </c>
      <c r="G28" s="2"/>
      <c r="H28" s="2"/>
    </row>
    <row r="29" spans="1:11" x14ac:dyDescent="0.2">
      <c r="A29" s="2" t="s">
        <v>14</v>
      </c>
      <c r="B29" s="2" t="s">
        <v>15</v>
      </c>
      <c r="C29" s="3">
        <v>37089393</v>
      </c>
      <c r="D29" s="3">
        <v>51357</v>
      </c>
      <c r="E29" s="3">
        <v>40240</v>
      </c>
      <c r="F29" s="3">
        <v>41991</v>
      </c>
      <c r="G29" s="2"/>
      <c r="H29" s="2"/>
    </row>
    <row r="30" spans="1:11" x14ac:dyDescent="0.2">
      <c r="A30" s="2" t="s">
        <v>14</v>
      </c>
      <c r="B30" s="2" t="s">
        <v>16</v>
      </c>
      <c r="C30" s="3">
        <v>1062680891</v>
      </c>
      <c r="D30" s="3">
        <v>1665925</v>
      </c>
      <c r="E30" s="3">
        <v>1827350</v>
      </c>
      <c r="F30" s="3">
        <v>1962837</v>
      </c>
      <c r="G30" s="2"/>
      <c r="H30" s="2"/>
    </row>
    <row r="31" spans="1:11" x14ac:dyDescent="0.2">
      <c r="A31" s="2" t="s">
        <v>14</v>
      </c>
      <c r="B31" s="2" t="s">
        <v>17</v>
      </c>
      <c r="C31" s="3">
        <v>12602127288</v>
      </c>
      <c r="D31" s="3">
        <v>20635022</v>
      </c>
      <c r="E31" s="3">
        <v>19290252</v>
      </c>
      <c r="F31" s="3">
        <v>21961555</v>
      </c>
      <c r="G31" s="2"/>
      <c r="H31" s="2"/>
    </row>
    <row r="32" spans="1:11" x14ac:dyDescent="0.2">
      <c r="A32" s="2"/>
      <c r="B32" s="2" t="s">
        <v>18</v>
      </c>
      <c r="C32" s="3">
        <v>22466630689</v>
      </c>
      <c r="D32" s="3">
        <v>37811132</v>
      </c>
      <c r="E32" s="3">
        <v>34467022</v>
      </c>
      <c r="F32" s="3">
        <v>39118610</v>
      </c>
      <c r="G32" s="4">
        <v>0.2366</v>
      </c>
      <c r="H32" s="4">
        <v>0.23449999999999999</v>
      </c>
    </row>
    <row r="33" spans="1:11" x14ac:dyDescent="0.2">
      <c r="A33" s="2" t="s">
        <v>19</v>
      </c>
      <c r="B33" s="2" t="s">
        <v>20</v>
      </c>
      <c r="C33" s="3">
        <v>301546524</v>
      </c>
      <c r="D33" s="3">
        <v>474254</v>
      </c>
      <c r="E33" s="3">
        <v>359805</v>
      </c>
      <c r="F33" s="3">
        <v>409631</v>
      </c>
      <c r="G33" s="4">
        <v>2.5000000000000001E-3</v>
      </c>
      <c r="H33" s="4">
        <v>2.5000000000000001E-3</v>
      </c>
      <c r="J33" s="5" t="s">
        <v>38</v>
      </c>
      <c r="K33" s="5">
        <f>E33/12*8760/C33</f>
        <v>0.87103524363623575</v>
      </c>
    </row>
    <row r="34" spans="1:11" x14ac:dyDescent="0.2">
      <c r="A34" s="2" t="s">
        <v>21</v>
      </c>
      <c r="B34" s="2" t="s">
        <v>22</v>
      </c>
      <c r="C34" s="3">
        <v>520151406</v>
      </c>
      <c r="D34" s="3">
        <v>757654</v>
      </c>
      <c r="E34" s="3">
        <v>743754</v>
      </c>
      <c r="F34" s="3">
        <v>846749</v>
      </c>
      <c r="G34" s="2"/>
      <c r="H34" s="2"/>
      <c r="J34" s="5" t="s">
        <v>36</v>
      </c>
      <c r="K34" s="5">
        <f>SUM(E34:E35)/12*8760/SUM(C34:C35)</f>
        <v>1.0142739020273193</v>
      </c>
    </row>
    <row r="35" spans="1:11" x14ac:dyDescent="0.2">
      <c r="A35" s="2" t="s">
        <v>23</v>
      </c>
      <c r="B35" s="2" t="s">
        <v>24</v>
      </c>
      <c r="C35" s="3">
        <v>6079673983</v>
      </c>
      <c r="D35" s="3">
        <v>9299718</v>
      </c>
      <c r="E35" s="3">
        <v>8426151</v>
      </c>
      <c r="F35" s="3">
        <v>9592999</v>
      </c>
      <c r="G35" s="2"/>
      <c r="H35" s="2"/>
    </row>
    <row r="36" spans="1:11" x14ac:dyDescent="0.2">
      <c r="A36" s="2"/>
      <c r="B36" s="2" t="s">
        <v>25</v>
      </c>
      <c r="C36" s="3">
        <v>6599825388</v>
      </c>
      <c r="D36" s="3">
        <v>10057372</v>
      </c>
      <c r="E36" s="3">
        <v>9169905</v>
      </c>
      <c r="F36" s="3">
        <v>10439748</v>
      </c>
      <c r="G36" s="4">
        <v>6.3100000000000003E-2</v>
      </c>
      <c r="H36" s="4">
        <v>6.2600000000000003E-2</v>
      </c>
    </row>
    <row r="37" spans="1:11" x14ac:dyDescent="0.2">
      <c r="A37" s="2" t="s">
        <v>26</v>
      </c>
      <c r="B37" s="2" t="s">
        <v>15</v>
      </c>
      <c r="C37" s="3">
        <v>6033117631</v>
      </c>
      <c r="D37" s="3">
        <v>8719701</v>
      </c>
      <c r="E37" s="3">
        <v>7803000</v>
      </c>
      <c r="F37" s="3">
        <v>8142501</v>
      </c>
      <c r="G37" s="2"/>
      <c r="H37" s="2"/>
      <c r="J37" s="5" t="s">
        <v>34</v>
      </c>
      <c r="K37" s="5">
        <f>SUM(E37:E40)/12*8760/SUM(C37:C40)</f>
        <v>0.98777712977854382</v>
      </c>
    </row>
    <row r="38" spans="1:11" x14ac:dyDescent="0.2">
      <c r="A38" s="2" t="s">
        <v>26</v>
      </c>
      <c r="B38" s="2" t="s">
        <v>16</v>
      </c>
      <c r="C38" s="3">
        <v>6772535750</v>
      </c>
      <c r="D38" s="3">
        <v>10232053</v>
      </c>
      <c r="E38" s="3">
        <v>9505365</v>
      </c>
      <c r="F38" s="3">
        <v>10210130</v>
      </c>
      <c r="G38" s="2"/>
      <c r="H38" s="2"/>
      <c r="J38" s="5" t="s">
        <v>35</v>
      </c>
      <c r="K38" s="5">
        <f>K37</f>
        <v>0.98777712977854382</v>
      </c>
    </row>
    <row r="39" spans="1:11" x14ac:dyDescent="0.2">
      <c r="A39" s="2" t="s">
        <v>26</v>
      </c>
      <c r="B39" s="2" t="s">
        <v>17</v>
      </c>
      <c r="C39" s="3">
        <v>2412294992</v>
      </c>
      <c r="D39" s="3">
        <v>3717486</v>
      </c>
      <c r="E39" s="3">
        <v>3283335</v>
      </c>
      <c r="F39" s="3">
        <v>3738010</v>
      </c>
      <c r="G39" s="2"/>
      <c r="H39" s="2"/>
      <c r="J39" s="5" t="s">
        <v>37</v>
      </c>
      <c r="K39" s="5">
        <f>(E28+E30+E31+E37+E38+E39)/12*8760/(C28+C30+C31+C37+C38+C39)</f>
        <v>1.0668305433674572</v>
      </c>
    </row>
    <row r="40" spans="1:11" x14ac:dyDescent="0.2">
      <c r="A40" s="2"/>
      <c r="B40" s="2" t="s">
        <v>27</v>
      </c>
      <c r="C40" s="3">
        <v>15217948373</v>
      </c>
      <c r="D40" s="3">
        <v>22669240</v>
      </c>
      <c r="E40" s="3">
        <v>20591701</v>
      </c>
      <c r="F40" s="3">
        <v>22090644</v>
      </c>
      <c r="G40" s="4">
        <v>0.1336</v>
      </c>
      <c r="H40" s="4">
        <v>0.13250000000000001</v>
      </c>
    </row>
    <row r="41" spans="1:11" x14ac:dyDescent="0.2">
      <c r="A41" s="2"/>
      <c r="B41" s="2" t="s">
        <v>28</v>
      </c>
      <c r="C41" s="3">
        <v>81221394644</v>
      </c>
      <c r="D41" s="3">
        <v>155792748</v>
      </c>
      <c r="E41" s="3">
        <v>146510302</v>
      </c>
      <c r="F41" s="3">
        <v>165324995</v>
      </c>
      <c r="G41" s="4">
        <v>1</v>
      </c>
      <c r="H41" s="4">
        <v>0.99129999999999996</v>
      </c>
    </row>
    <row r="42" spans="1:11" x14ac:dyDescent="0.2">
      <c r="A42" s="2" t="s">
        <v>29</v>
      </c>
      <c r="B42" s="2" t="s">
        <v>15</v>
      </c>
      <c r="C42" s="3">
        <v>404961986</v>
      </c>
      <c r="D42" s="2" t="s">
        <v>45</v>
      </c>
      <c r="E42" s="2" t="s">
        <v>45</v>
      </c>
      <c r="F42" s="2" t="s">
        <v>45</v>
      </c>
      <c r="G42" s="2"/>
      <c r="H42" s="2"/>
    </row>
    <row r="43" spans="1:11" x14ac:dyDescent="0.2">
      <c r="A43" s="2" t="s">
        <v>29</v>
      </c>
      <c r="B43" s="2" t="s">
        <v>16</v>
      </c>
      <c r="C43" s="3">
        <v>19121310</v>
      </c>
      <c r="D43" s="2" t="s">
        <v>45</v>
      </c>
      <c r="E43" s="2" t="s">
        <v>45</v>
      </c>
      <c r="F43" s="2" t="s">
        <v>45</v>
      </c>
      <c r="G43" s="2"/>
      <c r="H43" s="2"/>
    </row>
    <row r="44" spans="1:11" x14ac:dyDescent="0.2">
      <c r="A44" s="2" t="s">
        <v>29</v>
      </c>
      <c r="B44" s="2" t="s">
        <v>17</v>
      </c>
      <c r="C44" s="3">
        <v>1938913</v>
      </c>
      <c r="D44" s="2" t="s">
        <v>45</v>
      </c>
      <c r="E44" s="2" t="s">
        <v>45</v>
      </c>
      <c r="F44" s="2" t="s">
        <v>45</v>
      </c>
      <c r="G44" s="2"/>
      <c r="H44" s="2"/>
    </row>
    <row r="45" spans="1:11" x14ac:dyDescent="0.2">
      <c r="A45" s="2"/>
      <c r="B45" s="2" t="s">
        <v>30</v>
      </c>
      <c r="C45" s="3">
        <v>426022209</v>
      </c>
      <c r="D45" s="2" t="s">
        <v>45</v>
      </c>
      <c r="E45" s="2" t="s">
        <v>45</v>
      </c>
      <c r="F45" s="2" t="s">
        <v>45</v>
      </c>
      <c r="G45" s="2" t="s">
        <v>46</v>
      </c>
      <c r="H45" s="4">
        <v>8.6999999999999994E-3</v>
      </c>
    </row>
    <row r="46" spans="1:11" x14ac:dyDescent="0.2">
      <c r="A46" s="10">
        <v>2022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" t="s">
        <v>0</v>
      </c>
      <c r="B47" s="1" t="s">
        <v>1</v>
      </c>
      <c r="C47" s="1" t="s">
        <v>47</v>
      </c>
      <c r="D47" s="1" t="s">
        <v>48</v>
      </c>
      <c r="E47" s="1" t="s">
        <v>49</v>
      </c>
      <c r="F47" s="1" t="s">
        <v>50</v>
      </c>
      <c r="G47" s="1" t="s">
        <v>51</v>
      </c>
      <c r="H47" s="1" t="s">
        <v>52</v>
      </c>
    </row>
    <row r="48" spans="1:11" x14ac:dyDescent="0.2">
      <c r="A48" s="2" t="s">
        <v>8</v>
      </c>
      <c r="B48" s="2" t="s">
        <v>9</v>
      </c>
      <c r="C48" s="3">
        <v>28524303577</v>
      </c>
      <c r="D48" s="3">
        <v>71965057</v>
      </c>
      <c r="E48" s="3">
        <v>70501925</v>
      </c>
      <c r="F48" s="3">
        <v>80264990</v>
      </c>
      <c r="G48" s="4">
        <v>0.47789999999999999</v>
      </c>
      <c r="H48" s="4">
        <v>0.47560000000000002</v>
      </c>
      <c r="J48" s="5" t="s">
        <v>9</v>
      </c>
      <c r="K48" s="5">
        <f>E48/12*8760/C48</f>
        <v>1.8043001509596506</v>
      </c>
    </row>
    <row r="49" spans="1:11" x14ac:dyDescent="0.2">
      <c r="A49" s="2" t="s">
        <v>10</v>
      </c>
      <c r="B49" s="2" t="s">
        <v>11</v>
      </c>
      <c r="C49" s="3">
        <v>8157393505</v>
      </c>
      <c r="D49" s="3">
        <v>14784950</v>
      </c>
      <c r="E49" s="3">
        <v>13612261</v>
      </c>
      <c r="F49" s="3">
        <v>15497279</v>
      </c>
      <c r="G49" s="4">
        <v>9.2299999999999993E-2</v>
      </c>
      <c r="H49" s="4">
        <v>9.1800000000000007E-2</v>
      </c>
      <c r="J49" s="5" t="s">
        <v>33</v>
      </c>
      <c r="K49" s="5">
        <f>SUM(E49:E53)/12*8760/SUM(C49:C53)</f>
        <v>1.1777322737825304</v>
      </c>
    </row>
    <row r="50" spans="1:11" x14ac:dyDescent="0.2">
      <c r="A50" s="2" t="s">
        <v>12</v>
      </c>
      <c r="B50" s="2" t="s">
        <v>13</v>
      </c>
      <c r="C50" s="3">
        <v>8408239885</v>
      </c>
      <c r="D50" s="3">
        <v>14573383</v>
      </c>
      <c r="E50" s="3">
        <v>13065894</v>
      </c>
      <c r="F50" s="3">
        <v>14875251</v>
      </c>
      <c r="G50" s="2"/>
      <c r="H50" s="2"/>
    </row>
    <row r="51" spans="1:11" x14ac:dyDescent="0.2">
      <c r="A51" s="2" t="s">
        <v>14</v>
      </c>
      <c r="B51" s="2" t="s">
        <v>15</v>
      </c>
      <c r="C51" s="3">
        <v>34166412</v>
      </c>
      <c r="D51" s="3">
        <v>47708</v>
      </c>
      <c r="E51" s="3">
        <v>39085</v>
      </c>
      <c r="F51" s="3">
        <v>40786</v>
      </c>
      <c r="G51" s="2"/>
      <c r="H51" s="2"/>
    </row>
    <row r="52" spans="1:11" x14ac:dyDescent="0.2">
      <c r="A52" s="2" t="s">
        <v>14</v>
      </c>
      <c r="B52" s="2" t="s">
        <v>16</v>
      </c>
      <c r="C52" s="3">
        <v>1048513417</v>
      </c>
      <c r="D52" s="3">
        <v>1644000</v>
      </c>
      <c r="E52" s="3">
        <v>1606693</v>
      </c>
      <c r="F52" s="3">
        <v>1725820</v>
      </c>
      <c r="G52" s="2"/>
      <c r="H52" s="2"/>
    </row>
    <row r="53" spans="1:11" x14ac:dyDescent="0.2">
      <c r="A53" s="2" t="s">
        <v>14</v>
      </c>
      <c r="B53" s="2" t="s">
        <v>17</v>
      </c>
      <c r="C53" s="3">
        <v>12179188822</v>
      </c>
      <c r="D53" s="3">
        <v>19875256</v>
      </c>
      <c r="E53" s="3">
        <v>19797727</v>
      </c>
      <c r="F53" s="3">
        <v>22539304</v>
      </c>
      <c r="G53" s="2"/>
      <c r="H53" s="2"/>
    </row>
    <row r="54" spans="1:11" x14ac:dyDescent="0.2">
      <c r="A54" s="2"/>
      <c r="B54" s="2" t="s">
        <v>18</v>
      </c>
      <c r="C54" s="3">
        <v>21670108536</v>
      </c>
      <c r="D54" s="3">
        <v>36140347</v>
      </c>
      <c r="E54" s="3">
        <v>34509399</v>
      </c>
      <c r="F54" s="3">
        <v>39181161</v>
      </c>
      <c r="G54" s="4">
        <v>0.23330000000000001</v>
      </c>
      <c r="H54" s="4">
        <v>0.23219999999999999</v>
      </c>
    </row>
    <row r="55" spans="1:11" x14ac:dyDescent="0.2">
      <c r="A55" s="2" t="s">
        <v>19</v>
      </c>
      <c r="B55" s="2" t="s">
        <v>20</v>
      </c>
      <c r="C55" s="3">
        <v>284956477</v>
      </c>
      <c r="D55" s="3">
        <v>450174</v>
      </c>
      <c r="E55" s="3">
        <v>362104</v>
      </c>
      <c r="F55" s="3">
        <v>412248</v>
      </c>
      <c r="G55" s="4">
        <v>2.5000000000000001E-3</v>
      </c>
      <c r="H55" s="4">
        <v>2.3999999999999998E-3</v>
      </c>
      <c r="J55" s="5" t="s">
        <v>38</v>
      </c>
      <c r="K55" s="5">
        <f>E55/12*8760/C55</f>
        <v>0.92763611756752595</v>
      </c>
    </row>
    <row r="56" spans="1:11" x14ac:dyDescent="0.2">
      <c r="A56" s="2" t="s">
        <v>21</v>
      </c>
      <c r="B56" s="2" t="s">
        <v>22</v>
      </c>
      <c r="C56" s="3">
        <v>499192218</v>
      </c>
      <c r="D56" s="3">
        <v>755615</v>
      </c>
      <c r="E56" s="3">
        <v>740767</v>
      </c>
      <c r="F56" s="3">
        <v>843348</v>
      </c>
      <c r="G56" s="2"/>
      <c r="H56" s="2"/>
      <c r="J56" s="5" t="s">
        <v>36</v>
      </c>
      <c r="K56" s="5">
        <f>SUM(E56:E57)/12*8760/SUM(C56:C57)</f>
        <v>1.1065776228951529</v>
      </c>
    </row>
    <row r="57" spans="1:11" x14ac:dyDescent="0.2">
      <c r="A57" s="2" t="s">
        <v>23</v>
      </c>
      <c r="B57" s="2" t="s">
        <v>24</v>
      </c>
      <c r="C57" s="3">
        <v>5749893790</v>
      </c>
      <c r="D57" s="3">
        <v>9122386</v>
      </c>
      <c r="E57" s="3">
        <v>8731971</v>
      </c>
      <c r="F57" s="3">
        <v>9941169</v>
      </c>
      <c r="G57" s="2"/>
      <c r="H57" s="2"/>
    </row>
    <row r="58" spans="1:11" x14ac:dyDescent="0.2">
      <c r="A58" s="2"/>
      <c r="B58" s="2" t="s">
        <v>25</v>
      </c>
      <c r="C58" s="3">
        <v>6249086008</v>
      </c>
      <c r="D58" s="3">
        <v>9878001</v>
      </c>
      <c r="E58" s="3">
        <v>9472738</v>
      </c>
      <c r="F58" s="3">
        <v>10784517</v>
      </c>
      <c r="G58" s="4">
        <v>6.4199999999999993E-2</v>
      </c>
      <c r="H58" s="4">
        <v>6.3899999999999998E-2</v>
      </c>
    </row>
    <row r="59" spans="1:11" x14ac:dyDescent="0.2">
      <c r="A59" s="2" t="s">
        <v>26</v>
      </c>
      <c r="B59" s="2" t="s">
        <v>15</v>
      </c>
      <c r="C59" s="3">
        <v>5974366660</v>
      </c>
      <c r="D59" s="3">
        <v>8687588</v>
      </c>
      <c r="E59" s="3">
        <v>7730533</v>
      </c>
      <c r="F59" s="3">
        <v>8066883</v>
      </c>
      <c r="G59" s="2"/>
      <c r="H59" s="2"/>
      <c r="J59" s="5" t="s">
        <v>34</v>
      </c>
      <c r="K59" s="5">
        <f>SUM(E59:E62)/12*8760/SUM(C59:C62)</f>
        <v>0.99744660565103904</v>
      </c>
    </row>
    <row r="60" spans="1:11" x14ac:dyDescent="0.2">
      <c r="A60" s="2" t="s">
        <v>26</v>
      </c>
      <c r="B60" s="2" t="s">
        <v>16</v>
      </c>
      <c r="C60" s="3">
        <v>6575849832</v>
      </c>
      <c r="D60" s="3">
        <v>9882745</v>
      </c>
      <c r="E60" s="3">
        <v>9261215</v>
      </c>
      <c r="F60" s="3">
        <v>9947878</v>
      </c>
      <c r="G60" s="2"/>
      <c r="H60" s="2"/>
      <c r="J60" s="5" t="s">
        <v>35</v>
      </c>
      <c r="K60" s="5">
        <f>K59</f>
        <v>0.99744660565103904</v>
      </c>
    </row>
    <row r="61" spans="1:11" x14ac:dyDescent="0.2">
      <c r="A61" s="2" t="s">
        <v>26</v>
      </c>
      <c r="B61" s="2" t="s">
        <v>17</v>
      </c>
      <c r="C61" s="3">
        <v>2330386661</v>
      </c>
      <c r="D61" s="3">
        <v>3535512</v>
      </c>
      <c r="E61" s="3">
        <v>3340591</v>
      </c>
      <c r="F61" s="3">
        <v>3803194</v>
      </c>
      <c r="G61" s="2"/>
      <c r="H61" s="2"/>
      <c r="J61" s="5" t="s">
        <v>37</v>
      </c>
      <c r="K61" s="5">
        <f>(E50+E52+E53+E59+E60+E61)/12*8760/(C50+C52+C53+C59+C60+C61)</f>
        <v>1.0955564494540999</v>
      </c>
    </row>
    <row r="62" spans="1:11" x14ac:dyDescent="0.2">
      <c r="A62" s="2"/>
      <c r="B62" s="2" t="s">
        <v>27</v>
      </c>
      <c r="C62" s="3">
        <v>14880603153</v>
      </c>
      <c r="D62" s="3">
        <v>22105845</v>
      </c>
      <c r="E62" s="3">
        <v>20332338</v>
      </c>
      <c r="F62" s="3">
        <v>21817955</v>
      </c>
      <c r="G62" s="4">
        <v>0.12989999999999999</v>
      </c>
      <c r="H62" s="4">
        <v>0.1293</v>
      </c>
    </row>
    <row r="63" spans="1:11" x14ac:dyDescent="0.2">
      <c r="A63" s="2"/>
      <c r="B63" s="2" t="s">
        <v>28</v>
      </c>
      <c r="C63" s="3">
        <v>79766451257</v>
      </c>
      <c r="D63" s="3">
        <v>155324374</v>
      </c>
      <c r="E63" s="3">
        <v>148790764</v>
      </c>
      <c r="F63" s="3">
        <v>167958150</v>
      </c>
      <c r="G63" s="4">
        <v>1</v>
      </c>
      <c r="H63" s="4">
        <v>0.99529999999999996</v>
      </c>
    </row>
    <row r="64" spans="1:11" x14ac:dyDescent="0.2">
      <c r="A64" s="2" t="s">
        <v>29</v>
      </c>
      <c r="B64" s="2" t="s">
        <v>15</v>
      </c>
      <c r="C64" s="3">
        <v>406707231</v>
      </c>
      <c r="D64" s="3">
        <v>466557</v>
      </c>
      <c r="E64" s="3">
        <v>334596</v>
      </c>
      <c r="F64" s="3">
        <v>349154</v>
      </c>
      <c r="G64" s="2"/>
      <c r="H64" s="2"/>
    </row>
    <row r="65" spans="1:11" x14ac:dyDescent="0.2">
      <c r="A65" s="2" t="s">
        <v>29</v>
      </c>
      <c r="B65" s="2" t="s">
        <v>16</v>
      </c>
      <c r="C65" s="3">
        <v>18479397</v>
      </c>
      <c r="D65" s="3">
        <v>24471</v>
      </c>
      <c r="E65" s="3">
        <v>18878</v>
      </c>
      <c r="F65" s="3">
        <v>20278</v>
      </c>
      <c r="G65" s="2"/>
      <c r="H65" s="2"/>
    </row>
    <row r="66" spans="1:11" x14ac:dyDescent="0.2">
      <c r="A66" s="2" t="s">
        <v>29</v>
      </c>
      <c r="B66" s="2" t="s">
        <v>17</v>
      </c>
      <c r="C66" s="3">
        <v>1759691</v>
      </c>
      <c r="D66" s="3">
        <v>2844</v>
      </c>
      <c r="E66" s="3">
        <v>10241</v>
      </c>
      <c r="F66" s="3">
        <v>11659</v>
      </c>
      <c r="G66" s="2"/>
      <c r="H66" s="2"/>
    </row>
    <row r="67" spans="1:11" x14ac:dyDescent="0.2">
      <c r="A67" s="2"/>
      <c r="B67" s="2" t="s">
        <v>30</v>
      </c>
      <c r="C67" s="3">
        <v>426946319</v>
      </c>
      <c r="D67" s="3">
        <v>493872</v>
      </c>
      <c r="E67" s="3">
        <v>363716</v>
      </c>
      <c r="F67" s="3">
        <v>381092</v>
      </c>
      <c r="G67" s="2"/>
      <c r="H67" s="4">
        <v>4.7000000000000002E-3</v>
      </c>
    </row>
    <row r="68" spans="1:11" x14ac:dyDescent="0.2">
      <c r="A68" s="10">
        <v>2023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">
      <c r="A69" s="1" t="s">
        <v>0</v>
      </c>
      <c r="B69" s="1" t="s">
        <v>1</v>
      </c>
      <c r="C69" s="1" t="s">
        <v>47</v>
      </c>
      <c r="D69" s="1" t="s">
        <v>48</v>
      </c>
      <c r="E69" s="1" t="s">
        <v>49</v>
      </c>
      <c r="F69" s="1" t="s">
        <v>50</v>
      </c>
      <c r="G69" s="1" t="s">
        <v>51</v>
      </c>
      <c r="H69" s="1" t="s">
        <v>52</v>
      </c>
    </row>
    <row r="70" spans="1:11" x14ac:dyDescent="0.2">
      <c r="A70" s="2" t="s">
        <v>8</v>
      </c>
      <c r="B70" s="2" t="s">
        <v>9</v>
      </c>
      <c r="C70" s="3">
        <v>28324881434</v>
      </c>
      <c r="D70" s="3">
        <v>72804376</v>
      </c>
      <c r="E70" s="3">
        <v>71112689</v>
      </c>
      <c r="F70" s="3">
        <v>80960333</v>
      </c>
      <c r="G70" s="4">
        <v>0.47160000000000002</v>
      </c>
      <c r="H70" s="4">
        <v>0.46829999999999999</v>
      </c>
      <c r="J70" s="5" t="s">
        <v>9</v>
      </c>
      <c r="K70" s="5">
        <f>E70/12*8760/C70</f>
        <v>1.8327442284608011</v>
      </c>
    </row>
    <row r="71" spans="1:11" x14ac:dyDescent="0.2">
      <c r="A71" s="2" t="s">
        <v>53</v>
      </c>
      <c r="B71" s="2" t="s">
        <v>11</v>
      </c>
      <c r="C71" s="3">
        <v>7894149035</v>
      </c>
      <c r="D71" s="3">
        <v>14189533</v>
      </c>
      <c r="E71" s="3">
        <v>14514452</v>
      </c>
      <c r="F71" s="3">
        <v>16524405</v>
      </c>
      <c r="G71" s="4">
        <v>9.6299999999999997E-2</v>
      </c>
      <c r="H71" s="4">
        <v>9.5600000000000004E-2</v>
      </c>
      <c r="J71" s="5" t="s">
        <v>33</v>
      </c>
      <c r="K71" s="5">
        <f>SUM(E71:E75)/12*8760/SUM(C71:C75)</f>
        <v>1.2817820556105421</v>
      </c>
    </row>
    <row r="72" spans="1:11" x14ac:dyDescent="0.2">
      <c r="A72" s="2" t="s">
        <v>54</v>
      </c>
      <c r="B72" s="2" t="s">
        <v>13</v>
      </c>
      <c r="C72" s="3">
        <v>7966618509</v>
      </c>
      <c r="D72" s="3">
        <v>13725150</v>
      </c>
      <c r="E72" s="3">
        <v>13702279</v>
      </c>
      <c r="F72" s="3">
        <v>15599763</v>
      </c>
      <c r="G72" s="2"/>
      <c r="H72" s="2"/>
    </row>
    <row r="73" spans="1:11" x14ac:dyDescent="0.2">
      <c r="A73" s="2" t="s">
        <v>55</v>
      </c>
      <c r="B73" s="2" t="s">
        <v>15</v>
      </c>
      <c r="C73" s="3">
        <v>34870989</v>
      </c>
      <c r="D73" s="3">
        <v>53041</v>
      </c>
      <c r="E73" s="3">
        <v>78314</v>
      </c>
      <c r="F73" s="3">
        <v>81722</v>
      </c>
      <c r="G73" s="2"/>
      <c r="H73" s="2"/>
    </row>
    <row r="74" spans="1:11" x14ac:dyDescent="0.2">
      <c r="A74" s="2" t="s">
        <v>55</v>
      </c>
      <c r="B74" s="2" t="s">
        <v>16</v>
      </c>
      <c r="C74" s="3">
        <v>1093932619</v>
      </c>
      <c r="D74" s="3">
        <v>1728428</v>
      </c>
      <c r="E74" s="3">
        <v>2075009</v>
      </c>
      <c r="F74" s="3">
        <v>2228858</v>
      </c>
      <c r="G74" s="2"/>
      <c r="H74" s="2"/>
    </row>
    <row r="75" spans="1:11" x14ac:dyDescent="0.2">
      <c r="A75" s="2" t="s">
        <v>55</v>
      </c>
      <c r="B75" s="2" t="s">
        <v>17</v>
      </c>
      <c r="C75" s="3">
        <v>11986113745</v>
      </c>
      <c r="D75" s="3">
        <v>19320823</v>
      </c>
      <c r="E75" s="3">
        <v>20507361</v>
      </c>
      <c r="F75" s="3">
        <v>23347208</v>
      </c>
      <c r="G75" s="2"/>
      <c r="H75" s="2"/>
    </row>
    <row r="76" spans="1:11" x14ac:dyDescent="0.2">
      <c r="A76" s="2"/>
      <c r="B76" s="2" t="s">
        <v>18</v>
      </c>
      <c r="C76" s="3">
        <v>21081535862</v>
      </c>
      <c r="D76" s="3">
        <v>34827442</v>
      </c>
      <c r="E76" s="3">
        <v>36362963</v>
      </c>
      <c r="F76" s="3">
        <v>41257551</v>
      </c>
      <c r="G76" s="4">
        <v>0.24030000000000001</v>
      </c>
      <c r="H76" s="4">
        <v>0.2387</v>
      </c>
    </row>
    <row r="77" spans="1:11" x14ac:dyDescent="0.2">
      <c r="A77" s="2" t="s">
        <v>19</v>
      </c>
      <c r="B77" s="2" t="s">
        <v>20</v>
      </c>
      <c r="C77" s="3">
        <v>263068245</v>
      </c>
      <c r="D77" s="3">
        <v>395529</v>
      </c>
      <c r="E77" s="3">
        <v>381037</v>
      </c>
      <c r="F77" s="3">
        <v>433803</v>
      </c>
      <c r="G77" s="4">
        <v>2.5000000000000001E-3</v>
      </c>
      <c r="H77" s="4">
        <v>2.5000000000000001E-3</v>
      </c>
      <c r="J77" s="5" t="s">
        <v>38</v>
      </c>
      <c r="K77" s="5">
        <f>E77/12*8760/C77</f>
        <v>1.0573568466996084</v>
      </c>
    </row>
    <row r="78" spans="1:11" x14ac:dyDescent="0.2">
      <c r="A78" s="2" t="s">
        <v>21</v>
      </c>
      <c r="B78" s="2" t="s">
        <v>22</v>
      </c>
      <c r="C78" s="3">
        <v>506813498</v>
      </c>
      <c r="D78" s="3">
        <v>790422</v>
      </c>
      <c r="E78" s="3">
        <v>180840</v>
      </c>
      <c r="F78" s="3">
        <v>205882</v>
      </c>
      <c r="G78" s="2"/>
      <c r="H78" s="2"/>
      <c r="J78" s="5" t="s">
        <v>36</v>
      </c>
      <c r="K78" s="5">
        <f>SUM(E78:E79)/12*8760/SUM(C78:C79)</f>
        <v>1.0640064293096725</v>
      </c>
    </row>
    <row r="79" spans="1:11" x14ac:dyDescent="0.2">
      <c r="A79" s="2" t="s">
        <v>56</v>
      </c>
      <c r="B79" s="2" t="s">
        <v>24</v>
      </c>
      <c r="C79" s="3">
        <v>5899743053</v>
      </c>
      <c r="D79" s="3">
        <v>10011680</v>
      </c>
      <c r="E79" s="3">
        <v>9156992</v>
      </c>
      <c r="F79" s="3">
        <v>10425046</v>
      </c>
      <c r="G79" s="2"/>
      <c r="H79" s="2"/>
    </row>
    <row r="80" spans="1:11" x14ac:dyDescent="0.2">
      <c r="A80" s="2"/>
      <c r="B80" s="2" t="s">
        <v>25</v>
      </c>
      <c r="C80" s="3">
        <v>6406556550</v>
      </c>
      <c r="D80" s="3">
        <v>10802103</v>
      </c>
      <c r="E80" s="3">
        <v>9337831</v>
      </c>
      <c r="F80" s="3">
        <v>10630929</v>
      </c>
      <c r="G80" s="4">
        <v>6.1899999999999997E-2</v>
      </c>
      <c r="H80" s="4">
        <v>6.1499999999999999E-2</v>
      </c>
    </row>
    <row r="81" spans="1:11" x14ac:dyDescent="0.2">
      <c r="A81" s="2" t="s">
        <v>57</v>
      </c>
      <c r="B81" s="2" t="s">
        <v>15</v>
      </c>
      <c r="C81" s="3">
        <v>5923307582</v>
      </c>
      <c r="D81" s="3">
        <v>8550471</v>
      </c>
      <c r="E81" s="3">
        <v>8391678</v>
      </c>
      <c r="F81" s="3">
        <v>8756795</v>
      </c>
      <c r="G81" s="2"/>
      <c r="H81" s="2"/>
      <c r="J81" s="5" t="s">
        <v>34</v>
      </c>
      <c r="K81" s="5">
        <f>SUM(E81:E84)/12*8760/SUM(C81:C84)</f>
        <v>1.0245378638486122</v>
      </c>
    </row>
    <row r="82" spans="1:11" x14ac:dyDescent="0.2">
      <c r="A82" s="2" t="s">
        <v>57</v>
      </c>
      <c r="B82" s="2" t="s">
        <v>16</v>
      </c>
      <c r="C82" s="3">
        <v>6422710754</v>
      </c>
      <c r="D82" s="3">
        <v>9540144</v>
      </c>
      <c r="E82" s="3">
        <v>9457041</v>
      </c>
      <c r="F82" s="3">
        <v>10158223</v>
      </c>
      <c r="G82" s="2"/>
      <c r="H82" s="2"/>
      <c r="J82" s="5" t="s">
        <v>35</v>
      </c>
      <c r="K82" s="5">
        <f>K81</f>
        <v>1.0245378638486122</v>
      </c>
    </row>
    <row r="83" spans="1:11" x14ac:dyDescent="0.2">
      <c r="A83" s="2" t="s">
        <v>57</v>
      </c>
      <c r="B83" s="2" t="s">
        <v>17</v>
      </c>
      <c r="C83" s="3">
        <v>2223333288</v>
      </c>
      <c r="D83" s="3">
        <v>3206289</v>
      </c>
      <c r="E83" s="3">
        <v>2599024</v>
      </c>
      <c r="F83" s="3">
        <v>2958936</v>
      </c>
      <c r="G83" s="2"/>
      <c r="H83" s="2"/>
      <c r="J83" s="5" t="s">
        <v>37</v>
      </c>
      <c r="K83" s="5">
        <f>(E72+E74+E75+E81+E82+E83)/12*8760/(C72+C74+C75+C81+C82+C83)</f>
        <v>1.1628096073992</v>
      </c>
    </row>
    <row r="84" spans="1:11" x14ac:dyDescent="0.2">
      <c r="A84" s="2"/>
      <c r="B84" s="2" t="s">
        <v>58</v>
      </c>
      <c r="C84" s="3">
        <v>14569351623</v>
      </c>
      <c r="D84" s="3">
        <v>21296903</v>
      </c>
      <c r="E84" s="3">
        <v>20447743</v>
      </c>
      <c r="F84" s="3">
        <v>21873953</v>
      </c>
      <c r="G84" s="4">
        <v>0.12740000000000001</v>
      </c>
      <c r="H84" s="4">
        <v>0.1265</v>
      </c>
    </row>
    <row r="85" spans="1:11" x14ac:dyDescent="0.2">
      <c r="A85" s="2"/>
      <c r="B85" s="2" t="s">
        <v>28</v>
      </c>
      <c r="C85" s="3">
        <v>78539542749</v>
      </c>
      <c r="D85" s="3">
        <v>154315886</v>
      </c>
      <c r="E85" s="3">
        <v>152156716</v>
      </c>
      <c r="F85" s="3">
        <v>171680974</v>
      </c>
      <c r="G85" s="4">
        <v>1</v>
      </c>
      <c r="H85" s="4">
        <v>0.99309999999999998</v>
      </c>
    </row>
    <row r="86" spans="1:11" x14ac:dyDescent="0.2">
      <c r="A86" s="2" t="s">
        <v>59</v>
      </c>
      <c r="B86" s="2" t="s">
        <v>15</v>
      </c>
      <c r="C86" s="3">
        <v>495356256</v>
      </c>
      <c r="D86" s="3">
        <v>598446</v>
      </c>
      <c r="E86" s="3">
        <v>615635</v>
      </c>
      <c r="F86" s="3">
        <v>642421</v>
      </c>
      <c r="G86" s="2"/>
      <c r="H86" s="2"/>
    </row>
    <row r="87" spans="1:11" x14ac:dyDescent="0.2">
      <c r="A87" s="2" t="s">
        <v>59</v>
      </c>
      <c r="B87" s="2" t="s">
        <v>16</v>
      </c>
      <c r="C87" s="3">
        <v>21356210</v>
      </c>
      <c r="D87" s="3">
        <v>29301</v>
      </c>
      <c r="E87" s="3">
        <v>24226</v>
      </c>
      <c r="F87" s="3">
        <v>26022</v>
      </c>
      <c r="G87" s="2"/>
      <c r="H87" s="2"/>
    </row>
    <row r="88" spans="1:11" x14ac:dyDescent="0.2">
      <c r="A88" s="2" t="s">
        <v>59</v>
      </c>
      <c r="B88" s="2" t="s">
        <v>17</v>
      </c>
      <c r="C88" s="3">
        <v>2431135</v>
      </c>
      <c r="D88" s="3">
        <v>3686</v>
      </c>
      <c r="E88" s="3">
        <v>19248</v>
      </c>
      <c r="F88" s="3">
        <v>21914</v>
      </c>
      <c r="G88" s="2"/>
      <c r="H88" s="2"/>
    </row>
    <row r="89" spans="1:11" x14ac:dyDescent="0.2">
      <c r="A89" s="2"/>
      <c r="B89" s="2" t="s">
        <v>30</v>
      </c>
      <c r="C89" s="3">
        <v>519143600</v>
      </c>
      <c r="D89" s="3">
        <v>631433</v>
      </c>
      <c r="E89" s="3">
        <v>659109</v>
      </c>
      <c r="F89" s="3">
        <v>690357</v>
      </c>
      <c r="G89" s="2"/>
      <c r="H89" s="4">
        <v>6.8999999999999999E-3</v>
      </c>
    </row>
    <row r="90" spans="1:11" x14ac:dyDescent="0.2">
      <c r="A90" s="2"/>
      <c r="B90" s="2" t="s">
        <v>31</v>
      </c>
      <c r="C90" s="3">
        <v>79058686350</v>
      </c>
      <c r="D90" s="3">
        <v>154947320</v>
      </c>
      <c r="E90" s="3">
        <v>152815825</v>
      </c>
      <c r="F90" s="3">
        <v>172371331</v>
      </c>
      <c r="G90" s="2"/>
      <c r="H90" s="4">
        <v>1</v>
      </c>
    </row>
    <row r="91" spans="1:11" x14ac:dyDescent="0.2">
      <c r="A91" s="10">
        <v>2024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">
      <c r="A92" s="1" t="s">
        <v>0</v>
      </c>
      <c r="B92" s="1" t="s">
        <v>1</v>
      </c>
      <c r="C92" s="1" t="s">
        <v>47</v>
      </c>
      <c r="D92" s="1" t="s">
        <v>48</v>
      </c>
      <c r="E92" s="1" t="s">
        <v>49</v>
      </c>
      <c r="F92" s="1" t="s">
        <v>50</v>
      </c>
      <c r="G92" s="1" t="s">
        <v>51</v>
      </c>
      <c r="H92" s="1" t="s">
        <v>52</v>
      </c>
    </row>
    <row r="93" spans="1:11" x14ac:dyDescent="0.2">
      <c r="A93" s="2" t="s">
        <v>8</v>
      </c>
      <c r="B93" s="2" t="s">
        <v>9</v>
      </c>
      <c r="C93" s="3">
        <v>28324881434</v>
      </c>
      <c r="D93" s="3">
        <v>72804376</v>
      </c>
      <c r="E93" s="3">
        <v>71112689</v>
      </c>
      <c r="F93" s="3">
        <v>80960333</v>
      </c>
      <c r="G93" s="4">
        <v>0.47160000000000002</v>
      </c>
      <c r="H93" s="4">
        <v>0.46829999999999999</v>
      </c>
      <c r="J93" s="5" t="s">
        <v>9</v>
      </c>
      <c r="K93" s="5">
        <f>E93/12*8760/C93</f>
        <v>1.8327442284608011</v>
      </c>
    </row>
    <row r="94" spans="1:11" x14ac:dyDescent="0.2">
      <c r="A94" s="2" t="s">
        <v>53</v>
      </c>
      <c r="B94" s="2" t="s">
        <v>11</v>
      </c>
      <c r="C94" s="3">
        <v>7894149035</v>
      </c>
      <c r="D94" s="3">
        <v>14189533</v>
      </c>
      <c r="E94" s="3">
        <v>14514452</v>
      </c>
      <c r="F94" s="3">
        <v>16524405</v>
      </c>
      <c r="G94" s="4">
        <v>9.6299999999999997E-2</v>
      </c>
      <c r="H94" s="4">
        <v>9.5600000000000004E-2</v>
      </c>
      <c r="J94" s="5" t="s">
        <v>33</v>
      </c>
      <c r="K94" s="5">
        <f>SUM(E94:E98)/12*8760/SUM(C94:C98)</f>
        <v>1.2817820556105421</v>
      </c>
    </row>
    <row r="95" spans="1:11" x14ac:dyDescent="0.2">
      <c r="A95" s="2" t="s">
        <v>54</v>
      </c>
      <c r="B95" s="2" t="s">
        <v>13</v>
      </c>
      <c r="C95" s="3">
        <v>7966618509</v>
      </c>
      <c r="D95" s="3">
        <v>13725150</v>
      </c>
      <c r="E95" s="3">
        <v>13702279</v>
      </c>
      <c r="F95" s="3">
        <v>15599763</v>
      </c>
      <c r="G95" s="2"/>
      <c r="H95" s="2"/>
    </row>
    <row r="96" spans="1:11" x14ac:dyDescent="0.2">
      <c r="A96" s="2" t="s">
        <v>55</v>
      </c>
      <c r="B96" s="2" t="s">
        <v>15</v>
      </c>
      <c r="C96" s="3">
        <v>34870989</v>
      </c>
      <c r="D96" s="3">
        <v>53041</v>
      </c>
      <c r="E96" s="3">
        <v>78314</v>
      </c>
      <c r="F96" s="3">
        <v>81722</v>
      </c>
      <c r="G96" s="2"/>
      <c r="H96" s="2"/>
    </row>
    <row r="97" spans="1:11" x14ac:dyDescent="0.2">
      <c r="A97" s="2" t="s">
        <v>55</v>
      </c>
      <c r="B97" s="2" t="s">
        <v>16</v>
      </c>
      <c r="C97" s="3">
        <v>1093932619</v>
      </c>
      <c r="D97" s="3">
        <v>1728428</v>
      </c>
      <c r="E97" s="3">
        <v>2075009</v>
      </c>
      <c r="F97" s="3">
        <v>2228858</v>
      </c>
      <c r="G97" s="2"/>
      <c r="H97" s="2"/>
    </row>
    <row r="98" spans="1:11" x14ac:dyDescent="0.2">
      <c r="A98" s="2" t="s">
        <v>55</v>
      </c>
      <c r="B98" s="2" t="s">
        <v>17</v>
      </c>
      <c r="C98" s="3">
        <v>11986113745</v>
      </c>
      <c r="D98" s="3">
        <v>19320823</v>
      </c>
      <c r="E98" s="3">
        <v>20507361</v>
      </c>
      <c r="F98" s="3">
        <v>23347208</v>
      </c>
      <c r="G98" s="2"/>
      <c r="H98" s="2"/>
    </row>
    <row r="99" spans="1:11" x14ac:dyDescent="0.2">
      <c r="A99" s="2"/>
      <c r="B99" s="2" t="s">
        <v>18</v>
      </c>
      <c r="C99" s="3">
        <v>21081535862</v>
      </c>
      <c r="D99" s="3">
        <v>34827442</v>
      </c>
      <c r="E99" s="3">
        <v>36362963</v>
      </c>
      <c r="F99" s="3">
        <v>41257551</v>
      </c>
      <c r="G99" s="4">
        <v>0.24030000000000001</v>
      </c>
      <c r="H99" s="4">
        <v>0.2387</v>
      </c>
    </row>
    <row r="100" spans="1:11" x14ac:dyDescent="0.2">
      <c r="A100" s="2" t="s">
        <v>19</v>
      </c>
      <c r="B100" s="2" t="s">
        <v>20</v>
      </c>
      <c r="C100" s="3">
        <v>263068245</v>
      </c>
      <c r="D100" s="3">
        <v>395529</v>
      </c>
      <c r="E100" s="3">
        <v>381037</v>
      </c>
      <c r="F100" s="3">
        <v>433803</v>
      </c>
      <c r="G100" s="4">
        <v>2.5000000000000001E-3</v>
      </c>
      <c r="H100" s="4">
        <v>2.5000000000000001E-3</v>
      </c>
      <c r="J100" s="5" t="s">
        <v>38</v>
      </c>
      <c r="K100" s="5">
        <f>E100/12*8760/C100</f>
        <v>1.0573568466996084</v>
      </c>
    </row>
    <row r="101" spans="1:11" x14ac:dyDescent="0.2">
      <c r="A101" s="2" t="s">
        <v>21</v>
      </c>
      <c r="B101" s="2" t="s">
        <v>22</v>
      </c>
      <c r="C101" s="3">
        <v>506813498</v>
      </c>
      <c r="D101" s="3">
        <v>790422</v>
      </c>
      <c r="E101" s="3">
        <v>180840</v>
      </c>
      <c r="F101" s="3">
        <v>205882</v>
      </c>
      <c r="G101" s="2"/>
      <c r="H101" s="2"/>
      <c r="J101" s="5" t="s">
        <v>36</v>
      </c>
      <c r="K101" s="5">
        <f>SUM(E101:E102)/12*8760/SUM(C101:C102)</f>
        <v>1.0640064293096725</v>
      </c>
    </row>
    <row r="102" spans="1:11" x14ac:dyDescent="0.2">
      <c r="A102" s="2" t="s">
        <v>56</v>
      </c>
      <c r="B102" s="2" t="s">
        <v>24</v>
      </c>
      <c r="C102" s="3">
        <v>5899743053</v>
      </c>
      <c r="D102" s="3">
        <v>10011680</v>
      </c>
      <c r="E102" s="3">
        <v>9156992</v>
      </c>
      <c r="F102" s="3">
        <v>10425046</v>
      </c>
      <c r="G102" s="2"/>
      <c r="H102" s="2"/>
    </row>
    <row r="103" spans="1:11" x14ac:dyDescent="0.2">
      <c r="A103" s="2"/>
      <c r="B103" s="2" t="s">
        <v>25</v>
      </c>
      <c r="C103" s="3">
        <v>6406556550</v>
      </c>
      <c r="D103" s="3">
        <v>10802103</v>
      </c>
      <c r="E103" s="3">
        <v>9337831</v>
      </c>
      <c r="F103" s="3">
        <v>10630929</v>
      </c>
      <c r="G103" s="4">
        <v>6.1899999999999997E-2</v>
      </c>
      <c r="H103" s="4">
        <v>6.1499999999999999E-2</v>
      </c>
    </row>
    <row r="104" spans="1:11" x14ac:dyDescent="0.2">
      <c r="A104" s="2" t="s">
        <v>57</v>
      </c>
      <c r="B104" s="2" t="s">
        <v>15</v>
      </c>
      <c r="C104" s="3">
        <v>5923307582</v>
      </c>
      <c r="D104" s="3">
        <v>8550471</v>
      </c>
      <c r="E104" s="3">
        <v>8391678</v>
      </c>
      <c r="F104" s="3">
        <v>8756795</v>
      </c>
      <c r="G104" s="2"/>
      <c r="H104" s="2"/>
      <c r="J104" s="5" t="s">
        <v>34</v>
      </c>
      <c r="K104" s="5">
        <f>SUM(E104:E107)/12*8760/SUM(C104:C107)</f>
        <v>1.0245378638486122</v>
      </c>
    </row>
    <row r="105" spans="1:11" x14ac:dyDescent="0.2">
      <c r="A105" s="2" t="s">
        <v>57</v>
      </c>
      <c r="B105" s="2" t="s">
        <v>16</v>
      </c>
      <c r="C105" s="3">
        <v>6422710754</v>
      </c>
      <c r="D105" s="3">
        <v>9540144</v>
      </c>
      <c r="E105" s="3">
        <v>9457041</v>
      </c>
      <c r="F105" s="3">
        <v>10158223</v>
      </c>
      <c r="G105" s="2"/>
      <c r="H105" s="2"/>
      <c r="J105" s="5" t="s">
        <v>35</v>
      </c>
      <c r="K105" s="5">
        <f>K104</f>
        <v>1.0245378638486122</v>
      </c>
    </row>
    <row r="106" spans="1:11" x14ac:dyDescent="0.2">
      <c r="A106" s="2" t="s">
        <v>57</v>
      </c>
      <c r="B106" s="2" t="s">
        <v>17</v>
      </c>
      <c r="C106" s="3">
        <v>2223333288</v>
      </c>
      <c r="D106" s="3">
        <v>3206289</v>
      </c>
      <c r="E106" s="3">
        <v>2599024</v>
      </c>
      <c r="F106" s="3">
        <v>2958936</v>
      </c>
      <c r="G106" s="2"/>
      <c r="H106" s="2"/>
      <c r="J106" s="5" t="s">
        <v>37</v>
      </c>
      <c r="K106" s="5">
        <f>(E95+E97+E98+E104+E105+E106)/12*8760/(C95+C97+C98+C104+C105+C106)</f>
        <v>1.1628096073992</v>
      </c>
    </row>
    <row r="107" spans="1:11" x14ac:dyDescent="0.2">
      <c r="A107" s="2"/>
      <c r="B107" s="2" t="s">
        <v>58</v>
      </c>
      <c r="C107" s="3">
        <v>14569351623</v>
      </c>
      <c r="D107" s="3">
        <v>21296903</v>
      </c>
      <c r="E107" s="3">
        <v>20447743</v>
      </c>
      <c r="F107" s="3">
        <v>21873953</v>
      </c>
      <c r="G107" s="4">
        <v>0.12740000000000001</v>
      </c>
      <c r="H107" s="4">
        <v>0.1265</v>
      </c>
    </row>
    <row r="108" spans="1:11" x14ac:dyDescent="0.2">
      <c r="A108" s="2"/>
      <c r="B108" s="2" t="s">
        <v>28</v>
      </c>
      <c r="C108" s="3">
        <v>78539542749</v>
      </c>
      <c r="D108" s="3">
        <v>154315886</v>
      </c>
      <c r="E108" s="3">
        <v>152156716</v>
      </c>
      <c r="F108" s="3">
        <v>171680974</v>
      </c>
      <c r="G108" s="4">
        <v>1</v>
      </c>
      <c r="H108" s="4">
        <v>0.99309999999999998</v>
      </c>
    </row>
    <row r="109" spans="1:11" x14ac:dyDescent="0.2">
      <c r="A109" s="2" t="s">
        <v>59</v>
      </c>
      <c r="B109" s="2" t="s">
        <v>15</v>
      </c>
      <c r="C109" s="3">
        <v>495356256</v>
      </c>
      <c r="D109" s="3">
        <v>598446</v>
      </c>
      <c r="E109" s="3">
        <v>615635</v>
      </c>
      <c r="F109" s="3">
        <v>642421</v>
      </c>
      <c r="G109" s="2"/>
      <c r="H109" s="2"/>
    </row>
    <row r="110" spans="1:11" x14ac:dyDescent="0.2">
      <c r="A110" s="2" t="s">
        <v>59</v>
      </c>
      <c r="B110" s="2" t="s">
        <v>16</v>
      </c>
      <c r="C110" s="3">
        <v>21356210</v>
      </c>
      <c r="D110" s="3">
        <v>29301</v>
      </c>
      <c r="E110" s="3">
        <v>24226</v>
      </c>
      <c r="F110" s="3">
        <v>26022</v>
      </c>
      <c r="G110" s="2"/>
      <c r="H110" s="2"/>
    </row>
    <row r="111" spans="1:11" x14ac:dyDescent="0.2">
      <c r="A111" s="2" t="s">
        <v>59</v>
      </c>
      <c r="B111" s="2" t="s">
        <v>17</v>
      </c>
      <c r="C111" s="3">
        <v>2431135</v>
      </c>
      <c r="D111" s="3">
        <v>3686</v>
      </c>
      <c r="E111" s="3">
        <v>19248</v>
      </c>
      <c r="F111" s="3">
        <v>21914</v>
      </c>
      <c r="G111" s="2"/>
      <c r="H111" s="2"/>
    </row>
    <row r="112" spans="1:11" x14ac:dyDescent="0.2">
      <c r="A112" s="2"/>
      <c r="B112" s="2" t="s">
        <v>30</v>
      </c>
      <c r="C112" s="3">
        <v>519143600</v>
      </c>
      <c r="D112" s="3">
        <v>631433</v>
      </c>
      <c r="E112" s="3">
        <v>659109</v>
      </c>
      <c r="F112" s="3">
        <v>690357</v>
      </c>
      <c r="G112" s="2"/>
      <c r="H112" s="4">
        <v>6.8999999999999999E-3</v>
      </c>
    </row>
    <row r="113" spans="1:11" x14ac:dyDescent="0.2">
      <c r="A113" s="10">
        <v>2025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">
      <c r="A114" s="1" t="s">
        <v>0</v>
      </c>
      <c r="B114" s="1" t="s">
        <v>1</v>
      </c>
      <c r="C114" s="1" t="s">
        <v>47</v>
      </c>
      <c r="D114" s="1" t="s">
        <v>48</v>
      </c>
      <c r="E114" s="1" t="s">
        <v>49</v>
      </c>
      <c r="F114" s="1" t="s">
        <v>50</v>
      </c>
      <c r="G114" s="1" t="s">
        <v>51</v>
      </c>
      <c r="H114" s="1" t="s">
        <v>52</v>
      </c>
    </row>
    <row r="115" spans="1:11" x14ac:dyDescent="0.2">
      <c r="A115" s="2" t="s">
        <v>8</v>
      </c>
      <c r="B115" s="2" t="s">
        <v>9</v>
      </c>
      <c r="C115" s="3">
        <v>27669029869</v>
      </c>
      <c r="D115" s="3">
        <v>72762670</v>
      </c>
      <c r="E115" s="3">
        <v>69591298</v>
      </c>
      <c r="F115" s="3">
        <v>79228260</v>
      </c>
      <c r="G115" s="4">
        <v>0.4708</v>
      </c>
      <c r="H115" s="4">
        <v>0.4677</v>
      </c>
      <c r="J115" s="5" t="s">
        <v>9</v>
      </c>
      <c r="K115" s="5">
        <f>E115/12*8760/C115</f>
        <v>1.836047298388205</v>
      </c>
    </row>
    <row r="116" spans="1:11" x14ac:dyDescent="0.2">
      <c r="A116" s="2" t="s">
        <v>53</v>
      </c>
      <c r="B116" s="2" t="s">
        <v>11</v>
      </c>
      <c r="C116" s="3">
        <v>7629683110</v>
      </c>
      <c r="D116" s="3">
        <v>13978483</v>
      </c>
      <c r="E116" s="3">
        <v>13749981</v>
      </c>
      <c r="F116" s="3">
        <v>15654070</v>
      </c>
      <c r="G116" s="4">
        <v>9.2999999999999999E-2</v>
      </c>
      <c r="H116" s="4">
        <v>9.2399999999999996E-2</v>
      </c>
      <c r="J116" s="5" t="s">
        <v>33</v>
      </c>
      <c r="K116" s="5">
        <f>SUM(E116:E120)/12*8760/SUM(C116:C120)</f>
        <v>1.2757463999590393</v>
      </c>
    </row>
    <row r="117" spans="1:11" x14ac:dyDescent="0.2">
      <c r="A117" s="2" t="s">
        <v>54</v>
      </c>
      <c r="B117" s="2" t="s">
        <v>13</v>
      </c>
      <c r="C117" s="3">
        <v>7705064381</v>
      </c>
      <c r="D117" s="3">
        <v>13439848</v>
      </c>
      <c r="E117" s="3">
        <v>12724731</v>
      </c>
      <c r="F117" s="3">
        <v>14486845</v>
      </c>
      <c r="G117" s="2"/>
      <c r="H117" s="2"/>
    </row>
    <row r="118" spans="1:11" x14ac:dyDescent="0.2">
      <c r="A118" s="2" t="s">
        <v>55</v>
      </c>
      <c r="B118" s="2" t="s">
        <v>15</v>
      </c>
      <c r="C118" s="3">
        <v>35869244</v>
      </c>
      <c r="D118" s="3">
        <v>53958</v>
      </c>
      <c r="E118" s="3">
        <v>58910</v>
      </c>
      <c r="F118" s="3">
        <v>61473</v>
      </c>
      <c r="G118" s="2"/>
      <c r="H118" s="2"/>
    </row>
    <row r="119" spans="1:11" x14ac:dyDescent="0.2">
      <c r="A119" s="2" t="s">
        <v>55</v>
      </c>
      <c r="B119" s="2" t="s">
        <v>16</v>
      </c>
      <c r="C119" s="3">
        <v>1133715457</v>
      </c>
      <c r="D119" s="3">
        <v>1795246</v>
      </c>
      <c r="E119" s="3">
        <v>2106339</v>
      </c>
      <c r="F119" s="3">
        <v>2262511</v>
      </c>
      <c r="G119" s="2"/>
      <c r="H119" s="2"/>
    </row>
    <row r="120" spans="1:11" x14ac:dyDescent="0.2">
      <c r="A120" s="2" t="s">
        <v>55</v>
      </c>
      <c r="B120" s="2" t="s">
        <v>17</v>
      </c>
      <c r="C120" s="3">
        <v>11827648295</v>
      </c>
      <c r="D120" s="3">
        <v>18964176</v>
      </c>
      <c r="E120" s="3">
        <v>20872946</v>
      </c>
      <c r="F120" s="3">
        <v>23763420</v>
      </c>
      <c r="G120" s="2"/>
      <c r="H120" s="2"/>
    </row>
    <row r="121" spans="1:11" x14ac:dyDescent="0.2">
      <c r="A121" s="2"/>
      <c r="B121" s="2" t="s">
        <v>18</v>
      </c>
      <c r="C121" s="3">
        <v>20702297377</v>
      </c>
      <c r="D121" s="3">
        <v>34253228</v>
      </c>
      <c r="E121" s="3">
        <v>35762927</v>
      </c>
      <c r="F121" s="3">
        <v>40574249</v>
      </c>
      <c r="G121" s="4">
        <v>0.24110000000000001</v>
      </c>
      <c r="H121" s="4">
        <v>0.23949999999999999</v>
      </c>
    </row>
    <row r="122" spans="1:11" x14ac:dyDescent="0.2">
      <c r="A122" s="2" t="s">
        <v>19</v>
      </c>
      <c r="B122" s="2" t="s">
        <v>20</v>
      </c>
      <c r="C122" s="3">
        <v>250646112</v>
      </c>
      <c r="D122" s="3">
        <v>388932</v>
      </c>
      <c r="E122" s="3">
        <v>376494</v>
      </c>
      <c r="F122" s="3">
        <v>428630</v>
      </c>
      <c r="G122" s="4">
        <v>2.5000000000000001E-3</v>
      </c>
      <c r="H122" s="4">
        <v>2.5000000000000001E-3</v>
      </c>
      <c r="J122" s="5" t="s">
        <v>38</v>
      </c>
      <c r="K122" s="5">
        <f>E122/12*8760/C122</f>
        <v>1.0965285589588558</v>
      </c>
    </row>
    <row r="123" spans="1:11" x14ac:dyDescent="0.2">
      <c r="A123" s="2" t="s">
        <v>21</v>
      </c>
      <c r="B123" s="2" t="s">
        <v>22</v>
      </c>
      <c r="C123" s="3">
        <v>495640360</v>
      </c>
      <c r="D123" s="3">
        <v>764148</v>
      </c>
      <c r="E123" s="3">
        <v>667679</v>
      </c>
      <c r="F123" s="3">
        <v>760139</v>
      </c>
      <c r="G123" s="2"/>
      <c r="H123" s="2"/>
      <c r="J123" s="5" t="s">
        <v>36</v>
      </c>
      <c r="K123" s="5">
        <f>SUM(E123:E124)/12*8760/SUM(C123:C124)</f>
        <v>1.124564690775727</v>
      </c>
    </row>
    <row r="124" spans="1:11" x14ac:dyDescent="0.2">
      <c r="A124" s="2" t="s">
        <v>56</v>
      </c>
      <c r="B124" s="2" t="s">
        <v>24</v>
      </c>
      <c r="C124" s="3">
        <v>5772484051</v>
      </c>
      <c r="D124" s="3">
        <v>9582355</v>
      </c>
      <c r="E124" s="3">
        <v>8988364</v>
      </c>
      <c r="F124" s="3">
        <v>10233067</v>
      </c>
      <c r="G124" s="2"/>
      <c r="H124" s="2"/>
    </row>
    <row r="125" spans="1:11" x14ac:dyDescent="0.2">
      <c r="A125" s="2"/>
      <c r="B125" s="2" t="s">
        <v>25</v>
      </c>
      <c r="C125" s="3">
        <v>6268124412</v>
      </c>
      <c r="D125" s="3">
        <v>10346503</v>
      </c>
      <c r="E125" s="3">
        <v>9656043</v>
      </c>
      <c r="F125" s="3">
        <v>10993206</v>
      </c>
      <c r="G125" s="4">
        <v>6.5299999999999997E-2</v>
      </c>
      <c r="H125" s="4">
        <v>6.4899999999999999E-2</v>
      </c>
    </row>
    <row r="126" spans="1:11" x14ac:dyDescent="0.2">
      <c r="A126" s="2" t="s">
        <v>57</v>
      </c>
      <c r="B126" s="2" t="s">
        <v>15</v>
      </c>
      <c r="C126" s="3">
        <v>5894110827</v>
      </c>
      <c r="D126" s="3">
        <v>8575227</v>
      </c>
      <c r="E126" s="3">
        <v>8081281</v>
      </c>
      <c r="F126" s="3">
        <v>8432892</v>
      </c>
      <c r="G126" s="2"/>
      <c r="H126" s="2"/>
      <c r="J126" s="5" t="s">
        <v>34</v>
      </c>
      <c r="K126" s="5">
        <f>SUM(E126:E129)/12*8760/SUM(C126:C129)</f>
        <v>1.018276011138413</v>
      </c>
    </row>
    <row r="127" spans="1:11" x14ac:dyDescent="0.2">
      <c r="A127" s="2" t="s">
        <v>57</v>
      </c>
      <c r="B127" s="2" t="s">
        <v>16</v>
      </c>
      <c r="C127" s="3">
        <v>6313300140</v>
      </c>
      <c r="D127" s="3">
        <v>9358340</v>
      </c>
      <c r="E127" s="3">
        <v>9347033</v>
      </c>
      <c r="F127" s="3">
        <v>10040058</v>
      </c>
      <c r="G127" s="2"/>
      <c r="H127" s="2"/>
      <c r="J127" s="5" t="s">
        <v>35</v>
      </c>
      <c r="K127" s="5">
        <f>K126</f>
        <v>1.018276011138413</v>
      </c>
    </row>
    <row r="128" spans="1:11" x14ac:dyDescent="0.2">
      <c r="A128" s="2" t="s">
        <v>57</v>
      </c>
      <c r="B128" s="2" t="s">
        <v>17</v>
      </c>
      <c r="C128" s="3">
        <v>2136202145</v>
      </c>
      <c r="D128" s="3">
        <v>3053354</v>
      </c>
      <c r="E128" s="3">
        <v>2579573</v>
      </c>
      <c r="F128" s="3">
        <v>2936790</v>
      </c>
      <c r="G128" s="2"/>
      <c r="H128" s="2"/>
      <c r="J128" s="5" t="s">
        <v>37</v>
      </c>
      <c r="K128" s="5">
        <f>(E117+E119+E120+E126+E127+E128)/12*8760/(C117+C119+C120+C126+C127+C128)</f>
        <v>1.1616578485410465</v>
      </c>
    </row>
    <row r="129" spans="1:8" x14ac:dyDescent="0.2">
      <c r="A129" s="2"/>
      <c r="B129" s="2" t="s">
        <v>58</v>
      </c>
      <c r="C129" s="3">
        <v>14343613112</v>
      </c>
      <c r="D129" s="3">
        <v>20986921</v>
      </c>
      <c r="E129" s="3">
        <v>20007886</v>
      </c>
      <c r="F129" s="3">
        <v>21409741</v>
      </c>
      <c r="G129" s="4">
        <v>0.12720000000000001</v>
      </c>
      <c r="H129" s="4">
        <v>0.12640000000000001</v>
      </c>
    </row>
    <row r="130" spans="1:8" x14ac:dyDescent="0.2">
      <c r="A130" s="2"/>
      <c r="B130" s="2" t="s">
        <v>28</v>
      </c>
      <c r="C130" s="3">
        <v>76863393993</v>
      </c>
      <c r="D130" s="3">
        <v>152716737</v>
      </c>
      <c r="E130" s="3">
        <v>149144628</v>
      </c>
      <c r="F130" s="3">
        <v>168288158</v>
      </c>
      <c r="G130" s="4">
        <v>1</v>
      </c>
      <c r="H130" s="4">
        <v>0.99350000000000005</v>
      </c>
    </row>
    <row r="131" spans="1:8" x14ac:dyDescent="0.2">
      <c r="A131" s="2" t="s">
        <v>59</v>
      </c>
      <c r="B131" s="2" t="s">
        <v>15</v>
      </c>
      <c r="C131" s="3">
        <v>547324867</v>
      </c>
      <c r="D131" s="3">
        <v>639043</v>
      </c>
      <c r="E131" s="3">
        <v>634878</v>
      </c>
      <c r="F131" s="3">
        <v>662501</v>
      </c>
      <c r="G131" s="2"/>
      <c r="H131" s="2"/>
    </row>
    <row r="132" spans="1:8" x14ac:dyDescent="0.2">
      <c r="A132" s="2" t="s">
        <v>59</v>
      </c>
      <c r="B132" s="2" t="s">
        <v>16</v>
      </c>
      <c r="C132" s="3">
        <v>26989497</v>
      </c>
      <c r="D132" s="3">
        <v>36361</v>
      </c>
      <c r="E132" s="3">
        <v>34207</v>
      </c>
      <c r="F132" s="3">
        <v>36744</v>
      </c>
      <c r="G132" s="2"/>
      <c r="H132" s="2"/>
    </row>
    <row r="133" spans="1:8" x14ac:dyDescent="0.2">
      <c r="A133" s="2" t="s">
        <v>59</v>
      </c>
      <c r="B133" s="2" t="s">
        <v>17</v>
      </c>
      <c r="C133" s="3">
        <v>3564292</v>
      </c>
      <c r="D133" s="3">
        <v>4415</v>
      </c>
      <c r="E133" s="3">
        <v>7380</v>
      </c>
      <c r="F133" s="3">
        <v>8402</v>
      </c>
      <c r="G133" s="2"/>
      <c r="H133" s="2"/>
    </row>
    <row r="134" spans="1:8" x14ac:dyDescent="0.2">
      <c r="A134" s="2"/>
      <c r="B134" s="2" t="s">
        <v>30</v>
      </c>
      <c r="C134" s="3">
        <v>577878656</v>
      </c>
      <c r="D134" s="3">
        <v>679819</v>
      </c>
      <c r="E134" s="3">
        <v>676465</v>
      </c>
      <c r="F134" s="3">
        <v>707647</v>
      </c>
      <c r="G134" s="2"/>
      <c r="H134" s="4">
        <v>6.4999999999999997E-3</v>
      </c>
    </row>
  </sheetData>
  <mergeCells count="6">
    <mergeCell ref="A113:K113"/>
    <mergeCell ref="A1:K1"/>
    <mergeCell ref="A24:K24"/>
    <mergeCell ref="A46:K46"/>
    <mergeCell ref="A68:K68"/>
    <mergeCell ref="A91:K9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CA3E-4172-964E-A24B-6AFDD28B19D6}">
  <dimension ref="A1:Q96"/>
  <sheetViews>
    <sheetView zoomScale="86" zoomScaleNormal="86" workbookViewId="0">
      <selection activeCell="O9" sqref="O9"/>
    </sheetView>
  </sheetViews>
  <sheetFormatPr baseColWidth="10" defaultRowHeight="16" x14ac:dyDescent="0.2"/>
  <cols>
    <col min="1" max="1" width="23.6640625" style="5" customWidth="1"/>
    <col min="2" max="16384" width="10.83203125" style="5"/>
  </cols>
  <sheetData>
    <row r="1" spans="1:17" x14ac:dyDescent="0.2">
      <c r="A1" s="10">
        <v>2020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7" x14ac:dyDescent="0.2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72</v>
      </c>
      <c r="O2" s="1" t="s">
        <v>32</v>
      </c>
      <c r="Q2" s="8" t="s">
        <v>60</v>
      </c>
    </row>
    <row r="3" spans="1:17" x14ac:dyDescent="0.2">
      <c r="A3" s="2" t="s">
        <v>73</v>
      </c>
      <c r="B3" s="3">
        <v>70775</v>
      </c>
      <c r="C3" s="3">
        <v>70601</v>
      </c>
      <c r="D3" s="3">
        <v>78359</v>
      </c>
      <c r="E3" s="3">
        <v>73245</v>
      </c>
      <c r="F3" s="2">
        <v>1.0905</v>
      </c>
      <c r="G3" s="3">
        <v>29637</v>
      </c>
      <c r="H3" s="3">
        <v>28631</v>
      </c>
      <c r="I3" s="2">
        <v>0</v>
      </c>
      <c r="J3" s="3">
        <v>28631</v>
      </c>
      <c r="K3" s="3">
        <v>77164</v>
      </c>
      <c r="L3" s="4">
        <v>0.43059999999999998</v>
      </c>
      <c r="N3" s="5" t="s">
        <v>9</v>
      </c>
      <c r="O3" s="5">
        <f>E3/12*8760/1000/G3</f>
        <v>1.8041249114282822</v>
      </c>
      <c r="Q3" s="5">
        <f>(O3+O19+O35+O51+O67+O83)/6</f>
        <v>1.7979592063493197</v>
      </c>
    </row>
    <row r="4" spans="1:17" x14ac:dyDescent="0.2">
      <c r="A4" s="2" t="s">
        <v>74</v>
      </c>
      <c r="B4" s="3">
        <v>12889</v>
      </c>
      <c r="C4" s="3">
        <v>12483</v>
      </c>
      <c r="D4" s="3">
        <v>12202</v>
      </c>
      <c r="E4" s="3">
        <v>12525</v>
      </c>
      <c r="F4" s="2">
        <v>1.0909</v>
      </c>
      <c r="G4" s="3">
        <v>5965</v>
      </c>
      <c r="H4" s="3">
        <v>5811</v>
      </c>
      <c r="I4" s="2">
        <v>0</v>
      </c>
      <c r="J4" s="3">
        <v>5811</v>
      </c>
      <c r="K4" s="3">
        <v>13309</v>
      </c>
      <c r="L4" s="4">
        <v>7.4300000000000005E-2</v>
      </c>
      <c r="N4" s="5" t="s">
        <v>33</v>
      </c>
      <c r="O4" s="5">
        <f>(E4+E6+E7+E8+E9)/12*8760/1000/(G4+G6+G7+G8+G9)</f>
        <v>1.3741608375622913</v>
      </c>
      <c r="Q4" s="5">
        <f>(O4+O20+O36+O52+O68+O84)/6</f>
        <v>1.3245342125181845</v>
      </c>
    </row>
    <row r="5" spans="1:17" x14ac:dyDescent="0.2">
      <c r="A5" s="2" t="s">
        <v>75</v>
      </c>
      <c r="B5" s="2">
        <v>83</v>
      </c>
      <c r="C5" s="2">
        <v>82</v>
      </c>
      <c r="D5" s="2">
        <v>83</v>
      </c>
      <c r="E5" s="2">
        <v>83</v>
      </c>
      <c r="F5" s="2">
        <v>1.0916999999999999</v>
      </c>
      <c r="G5" s="2">
        <v>60</v>
      </c>
      <c r="H5" s="2">
        <v>57</v>
      </c>
      <c r="I5" s="2">
        <v>0</v>
      </c>
      <c r="J5" s="2">
        <v>57</v>
      </c>
      <c r="K5" s="2">
        <v>86</v>
      </c>
      <c r="L5" s="4">
        <v>5.0000000000000001E-4</v>
      </c>
      <c r="N5" s="5" t="s">
        <v>37</v>
      </c>
      <c r="O5" s="5">
        <f>(E5+E11+E12+E13)/12*8760/1000/(G5+G11+G12+G13)</f>
        <v>0.98200445434298445</v>
      </c>
      <c r="Q5" s="5">
        <f>(O5+O21+O37+O53+O69+O85)/6</f>
        <v>0.95056679810031797</v>
      </c>
    </row>
    <row r="6" spans="1:17" x14ac:dyDescent="0.2">
      <c r="A6" s="2" t="s">
        <v>76</v>
      </c>
      <c r="B6" s="3">
        <v>30626</v>
      </c>
      <c r="C6" s="3">
        <v>29452</v>
      </c>
      <c r="D6" s="3">
        <v>28687</v>
      </c>
      <c r="E6" s="3">
        <v>29588</v>
      </c>
      <c r="F6" s="2">
        <v>1.0905</v>
      </c>
      <c r="G6" s="3">
        <v>14648</v>
      </c>
      <c r="H6" s="3">
        <v>13437</v>
      </c>
      <c r="I6" s="2">
        <v>0</v>
      </c>
      <c r="J6" s="3">
        <v>13437</v>
      </c>
      <c r="K6" s="3">
        <v>29601</v>
      </c>
      <c r="L6" s="4">
        <v>0.16520000000000001</v>
      </c>
    </row>
    <row r="7" spans="1:17" x14ac:dyDescent="0.2">
      <c r="A7" s="2" t="s">
        <v>77</v>
      </c>
      <c r="B7" s="3">
        <v>16184</v>
      </c>
      <c r="C7" s="3">
        <v>15947</v>
      </c>
      <c r="D7" s="3">
        <v>15513</v>
      </c>
      <c r="E7" s="3">
        <v>15881</v>
      </c>
      <c r="F7" s="2">
        <v>1.0900000000000001</v>
      </c>
      <c r="G7" s="3">
        <v>8539</v>
      </c>
      <c r="H7" s="3">
        <v>7602</v>
      </c>
      <c r="I7" s="2">
        <v>0</v>
      </c>
      <c r="J7" s="3">
        <v>7602</v>
      </c>
      <c r="K7" s="3">
        <v>15412</v>
      </c>
      <c r="L7" s="4">
        <v>8.5999999999999993E-2</v>
      </c>
    </row>
    <row r="8" spans="1:17" x14ac:dyDescent="0.2">
      <c r="A8" s="2" t="s">
        <v>78</v>
      </c>
      <c r="B8" s="3">
        <v>14907</v>
      </c>
      <c r="C8" s="3">
        <v>14707</v>
      </c>
      <c r="D8" s="3">
        <v>14237</v>
      </c>
      <c r="E8" s="3">
        <v>14617</v>
      </c>
      <c r="F8" s="2">
        <v>1.0909</v>
      </c>
      <c r="G8" s="3">
        <v>8474</v>
      </c>
      <c r="H8" s="3">
        <v>8200</v>
      </c>
      <c r="I8" s="2">
        <v>0</v>
      </c>
      <c r="J8" s="3">
        <v>8200</v>
      </c>
      <c r="K8" s="3">
        <v>15430</v>
      </c>
      <c r="L8" s="4">
        <v>8.6099999999999996E-2</v>
      </c>
    </row>
    <row r="9" spans="1:17" x14ac:dyDescent="0.2">
      <c r="A9" s="2" t="s">
        <v>79</v>
      </c>
      <c r="B9" s="3">
        <v>9882</v>
      </c>
      <c r="C9" s="3">
        <v>9684</v>
      </c>
      <c r="D9" s="3">
        <v>9644</v>
      </c>
      <c r="E9" s="3">
        <v>9737</v>
      </c>
      <c r="F9" s="2">
        <v>1.0644</v>
      </c>
      <c r="G9" s="3">
        <v>6120</v>
      </c>
      <c r="H9" s="3">
        <v>5916</v>
      </c>
      <c r="I9" s="2">
        <v>0</v>
      </c>
      <c r="J9" s="3">
        <v>5916</v>
      </c>
      <c r="K9" s="3">
        <v>10018</v>
      </c>
      <c r="L9" s="4">
        <v>5.5899999999999998E-2</v>
      </c>
      <c r="N9" s="5" t="s">
        <v>34</v>
      </c>
      <c r="O9" s="5">
        <f>(E9+E10)/12*8760/1000/(G9+G10)</f>
        <v>1.0853231584981371</v>
      </c>
      <c r="Q9" s="5">
        <f>(O9+O25+O41+O57+O73+O89)/6</f>
        <v>1.0574413874756752</v>
      </c>
    </row>
    <row r="10" spans="1:17" x14ac:dyDescent="0.2">
      <c r="A10" s="2" t="s">
        <v>80</v>
      </c>
      <c r="B10" s="3">
        <v>10984</v>
      </c>
      <c r="C10" s="3">
        <v>11021</v>
      </c>
      <c r="D10" s="3">
        <v>11029</v>
      </c>
      <c r="E10" s="3">
        <v>11012</v>
      </c>
      <c r="F10" s="2">
        <v>1.0315000000000001</v>
      </c>
      <c r="G10" s="3">
        <v>7836</v>
      </c>
      <c r="H10" s="3">
        <v>7832</v>
      </c>
      <c r="I10" s="2">
        <v>0</v>
      </c>
      <c r="J10" s="3">
        <v>7832</v>
      </c>
      <c r="K10" s="3">
        <v>11354</v>
      </c>
      <c r="L10" s="4">
        <v>6.3399999999999998E-2</v>
      </c>
      <c r="N10" s="5" t="s">
        <v>35</v>
      </c>
      <c r="O10" s="5">
        <f>O9</f>
        <v>1.0853231584981371</v>
      </c>
      <c r="Q10" s="5">
        <f>(O10+O26+O42+O58+O74+O90)/6</f>
        <v>1.0574413874756752</v>
      </c>
    </row>
    <row r="11" spans="1:17" x14ac:dyDescent="0.2">
      <c r="A11" s="2" t="s">
        <v>81</v>
      </c>
      <c r="B11" s="2">
        <v>143</v>
      </c>
      <c r="C11" s="2">
        <v>155</v>
      </c>
      <c r="D11" s="2">
        <v>142</v>
      </c>
      <c r="E11" s="2">
        <v>147</v>
      </c>
      <c r="F11" s="2">
        <v>1.0911</v>
      </c>
      <c r="G11" s="2">
        <v>92</v>
      </c>
      <c r="H11" s="2">
        <v>0</v>
      </c>
      <c r="I11" s="2">
        <v>90</v>
      </c>
      <c r="J11" s="2">
        <v>90</v>
      </c>
      <c r="K11" s="2">
        <v>156</v>
      </c>
      <c r="L11" s="4">
        <v>8.9999999999999998E-4</v>
      </c>
    </row>
    <row r="12" spans="1:17" x14ac:dyDescent="0.2">
      <c r="A12" s="2" t="s">
        <v>82</v>
      </c>
      <c r="B12" s="2">
        <v>311</v>
      </c>
      <c r="C12" s="2">
        <v>373</v>
      </c>
      <c r="D12" s="2">
        <v>301</v>
      </c>
      <c r="E12" s="2">
        <v>329</v>
      </c>
      <c r="F12" s="2">
        <v>1.0645</v>
      </c>
      <c r="G12" s="2">
        <v>237</v>
      </c>
      <c r="H12" s="2">
        <v>0</v>
      </c>
      <c r="I12" s="2">
        <v>226</v>
      </c>
      <c r="J12" s="2">
        <v>226</v>
      </c>
      <c r="K12" s="2">
        <v>334</v>
      </c>
      <c r="L12" s="4">
        <v>1.9E-3</v>
      </c>
    </row>
    <row r="13" spans="1:17" x14ac:dyDescent="0.2">
      <c r="A13" s="2" t="s">
        <v>83</v>
      </c>
      <c r="B13" s="2">
        <v>631</v>
      </c>
      <c r="C13" s="2">
        <v>714</v>
      </c>
      <c r="D13" s="2">
        <v>602</v>
      </c>
      <c r="E13" s="2">
        <v>649</v>
      </c>
      <c r="F13" s="2">
        <v>1.0316000000000001</v>
      </c>
      <c r="G13" s="2">
        <v>509</v>
      </c>
      <c r="H13" s="2">
        <v>0</v>
      </c>
      <c r="I13" s="2">
        <v>528</v>
      </c>
      <c r="J13" s="2">
        <v>528</v>
      </c>
      <c r="K13" s="2">
        <v>694</v>
      </c>
      <c r="L13" s="4">
        <v>3.8999999999999998E-3</v>
      </c>
    </row>
    <row r="14" spans="1:17" x14ac:dyDescent="0.2">
      <c r="A14" s="2" t="s">
        <v>84</v>
      </c>
      <c r="B14" s="3">
        <v>3024</v>
      </c>
      <c r="C14" s="3">
        <v>2748</v>
      </c>
      <c r="D14" s="3">
        <v>2325</v>
      </c>
      <c r="E14" s="3">
        <v>2699</v>
      </c>
      <c r="F14" s="2">
        <v>1.091</v>
      </c>
      <c r="G14" s="3">
        <v>1913</v>
      </c>
      <c r="H14" s="3">
        <v>1828</v>
      </c>
      <c r="I14" s="2">
        <v>0</v>
      </c>
      <c r="J14" s="3">
        <v>1828</v>
      </c>
      <c r="K14" s="3">
        <v>2814</v>
      </c>
      <c r="L14" s="4">
        <v>1.5699999999999999E-2</v>
      </c>
      <c r="N14" s="5" t="s">
        <v>36</v>
      </c>
      <c r="O14" s="5">
        <f>(E14+E15)/12*8760/1000/(G14+G15)</f>
        <v>1.0084216903968495</v>
      </c>
      <c r="Q14" s="5">
        <f>(O14+O30+O46+O62+O78+O94)/6</f>
        <v>1.0081474111695126</v>
      </c>
    </row>
    <row r="15" spans="1:17" x14ac:dyDescent="0.2">
      <c r="A15" s="2" t="s">
        <v>85</v>
      </c>
      <c r="B15" s="3">
        <v>1833</v>
      </c>
      <c r="C15" s="3">
        <v>1891</v>
      </c>
      <c r="D15" s="3">
        <v>1858</v>
      </c>
      <c r="E15" s="3">
        <v>1861</v>
      </c>
      <c r="F15" s="2">
        <v>1.0895999999999999</v>
      </c>
      <c r="G15" s="3">
        <v>1388</v>
      </c>
      <c r="H15" s="3">
        <v>1483</v>
      </c>
      <c r="I15" s="2">
        <v>0</v>
      </c>
      <c r="J15" s="3">
        <v>1483</v>
      </c>
      <c r="K15" s="3">
        <v>2165</v>
      </c>
      <c r="L15" s="4">
        <v>1.21E-2</v>
      </c>
    </row>
    <row r="16" spans="1:17" x14ac:dyDescent="0.2">
      <c r="A16" s="2" t="s">
        <v>86</v>
      </c>
      <c r="B16" s="2">
        <v>660</v>
      </c>
      <c r="C16" s="2">
        <v>685</v>
      </c>
      <c r="D16" s="2">
        <v>960</v>
      </c>
      <c r="E16" s="2">
        <v>768</v>
      </c>
      <c r="F16" s="2">
        <v>1.0938000000000001</v>
      </c>
      <c r="G16" s="2">
        <v>716</v>
      </c>
      <c r="H16" s="2">
        <v>581</v>
      </c>
      <c r="I16" s="2">
        <v>0</v>
      </c>
      <c r="J16" s="2">
        <v>581</v>
      </c>
      <c r="K16" s="2">
        <v>682</v>
      </c>
      <c r="L16" s="4">
        <v>3.8E-3</v>
      </c>
      <c r="N16" s="5" t="s">
        <v>38</v>
      </c>
      <c r="O16" s="5">
        <f>E16/12*8760/1000/G16</f>
        <v>0.78301675977653629</v>
      </c>
      <c r="Q16" s="5">
        <f>(O16+O32+O48+O64+O80+O96)/6</f>
        <v>0.9113902353270591</v>
      </c>
    </row>
    <row r="17" spans="1:15" x14ac:dyDescent="0.2">
      <c r="A17" s="10">
        <v>2021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5" x14ac:dyDescent="0.2">
      <c r="A18" s="1" t="s">
        <v>61</v>
      </c>
      <c r="B18" s="1">
        <v>2016</v>
      </c>
      <c r="C18" s="1">
        <v>2017</v>
      </c>
      <c r="D18" s="1">
        <v>2018</v>
      </c>
      <c r="E18" s="1" t="s">
        <v>87</v>
      </c>
      <c r="F18" s="1" t="s">
        <v>88</v>
      </c>
      <c r="G18" s="1" t="s">
        <v>89</v>
      </c>
      <c r="H18" s="1" t="s">
        <v>90</v>
      </c>
      <c r="I18" s="1" t="s">
        <v>91</v>
      </c>
      <c r="J18" s="1" t="s">
        <v>92</v>
      </c>
      <c r="K18" s="1" t="s">
        <v>93</v>
      </c>
      <c r="L18" s="1" t="s">
        <v>94</v>
      </c>
    </row>
    <row r="19" spans="1:15" x14ac:dyDescent="0.2">
      <c r="A19" s="2" t="s">
        <v>73</v>
      </c>
      <c r="B19" s="3">
        <v>70601</v>
      </c>
      <c r="C19" s="3">
        <v>78359</v>
      </c>
      <c r="D19" s="3">
        <v>66768</v>
      </c>
      <c r="E19" s="3">
        <v>71909</v>
      </c>
      <c r="F19" s="2">
        <v>1.0905</v>
      </c>
      <c r="G19" s="3">
        <v>29575</v>
      </c>
      <c r="H19" s="3">
        <v>28264</v>
      </c>
      <c r="I19" s="2">
        <v>0</v>
      </c>
      <c r="J19" s="3">
        <v>28264</v>
      </c>
      <c r="K19" s="3">
        <v>74942</v>
      </c>
      <c r="L19" s="4">
        <v>0.44</v>
      </c>
      <c r="N19" s="5" t="s">
        <v>9</v>
      </c>
      <c r="O19" s="5">
        <f>E19/12*8760/1000/G19</f>
        <v>1.774930515638208</v>
      </c>
    </row>
    <row r="20" spans="1:15" x14ac:dyDescent="0.2">
      <c r="A20" s="2" t="s">
        <v>74</v>
      </c>
      <c r="B20" s="3">
        <v>12483</v>
      </c>
      <c r="C20" s="3">
        <v>12202</v>
      </c>
      <c r="D20" s="3">
        <v>11735</v>
      </c>
      <c r="E20" s="3">
        <v>12140</v>
      </c>
      <c r="F20" s="2">
        <v>1.0909</v>
      </c>
      <c r="G20" s="3">
        <v>5939</v>
      </c>
      <c r="H20" s="3">
        <v>5540</v>
      </c>
      <c r="I20" s="2">
        <v>0</v>
      </c>
      <c r="J20" s="3">
        <v>5540</v>
      </c>
      <c r="K20" s="3">
        <v>12355</v>
      </c>
      <c r="L20" s="4">
        <v>7.2499999999999995E-2</v>
      </c>
      <c r="N20" s="5" t="s">
        <v>33</v>
      </c>
      <c r="O20" s="5">
        <f>(E20+E22+E23+E24+E25)/12*8760/1000/(G20+G22+G23+G24+G25)</f>
        <v>1.3499983831851252</v>
      </c>
    </row>
    <row r="21" spans="1:15" x14ac:dyDescent="0.2">
      <c r="A21" s="2" t="s">
        <v>75</v>
      </c>
      <c r="B21" s="2">
        <v>82</v>
      </c>
      <c r="C21" s="2">
        <v>83</v>
      </c>
      <c r="D21" s="2">
        <v>76</v>
      </c>
      <c r="E21" s="2">
        <v>80</v>
      </c>
      <c r="F21" s="2">
        <v>1.0916999999999999</v>
      </c>
      <c r="G21" s="2">
        <v>59</v>
      </c>
      <c r="H21" s="2">
        <v>56</v>
      </c>
      <c r="I21" s="2">
        <v>0</v>
      </c>
      <c r="J21" s="2">
        <v>56</v>
      </c>
      <c r="K21" s="2">
        <v>83</v>
      </c>
      <c r="L21" s="4">
        <v>5.0000000000000001E-4</v>
      </c>
      <c r="N21" s="5" t="s">
        <v>37</v>
      </c>
      <c r="O21" s="5">
        <f>(E21+E27+E28+E29)/12*8760/1000/(G21+G27+G28+G29)</f>
        <v>1.011328903654485</v>
      </c>
    </row>
    <row r="22" spans="1:15" x14ac:dyDescent="0.2">
      <c r="A22" s="2" t="s">
        <v>76</v>
      </c>
      <c r="B22" s="3">
        <v>29452</v>
      </c>
      <c r="C22" s="3">
        <v>28687</v>
      </c>
      <c r="D22" s="3">
        <v>27971</v>
      </c>
      <c r="E22" s="3">
        <v>28703</v>
      </c>
      <c r="F22" s="2">
        <v>1.0905</v>
      </c>
      <c r="G22" s="3">
        <v>14515</v>
      </c>
      <c r="H22" s="3">
        <v>12515</v>
      </c>
      <c r="I22" s="2">
        <v>0</v>
      </c>
      <c r="J22" s="3">
        <v>12515</v>
      </c>
      <c r="K22" s="3">
        <v>26988</v>
      </c>
      <c r="L22" s="4">
        <v>0.15840000000000001</v>
      </c>
    </row>
    <row r="23" spans="1:15" x14ac:dyDescent="0.2">
      <c r="A23" s="2" t="s">
        <v>77</v>
      </c>
      <c r="B23" s="3">
        <v>15947</v>
      </c>
      <c r="C23" s="3">
        <v>15513</v>
      </c>
      <c r="D23" s="3">
        <v>14472</v>
      </c>
      <c r="E23" s="3">
        <v>15311</v>
      </c>
      <c r="F23" s="2">
        <v>1.0900000000000001</v>
      </c>
      <c r="G23" s="3">
        <v>8380</v>
      </c>
      <c r="H23" s="3">
        <v>7043</v>
      </c>
      <c r="I23" s="2">
        <v>0</v>
      </c>
      <c r="J23" s="3">
        <v>7043</v>
      </c>
      <c r="K23" s="3">
        <v>14027</v>
      </c>
      <c r="L23" s="4">
        <v>8.2299999999999998E-2</v>
      </c>
    </row>
    <row r="24" spans="1:15" x14ac:dyDescent="0.2">
      <c r="A24" s="2" t="s">
        <v>78</v>
      </c>
      <c r="B24" s="3">
        <v>14707</v>
      </c>
      <c r="C24" s="3">
        <v>14237</v>
      </c>
      <c r="D24" s="3">
        <v>14201</v>
      </c>
      <c r="E24" s="3">
        <v>14382</v>
      </c>
      <c r="F24" s="2">
        <v>1.0909</v>
      </c>
      <c r="G24" s="3">
        <v>8416</v>
      </c>
      <c r="H24" s="3">
        <v>7747</v>
      </c>
      <c r="I24" s="2">
        <v>0</v>
      </c>
      <c r="J24" s="3">
        <v>7747</v>
      </c>
      <c r="K24" s="3">
        <v>14442</v>
      </c>
      <c r="L24" s="4">
        <v>8.48E-2</v>
      </c>
    </row>
    <row r="25" spans="1:15" x14ac:dyDescent="0.2">
      <c r="A25" s="2" t="s">
        <v>79</v>
      </c>
      <c r="B25" s="3">
        <v>9684</v>
      </c>
      <c r="C25" s="3">
        <v>9644</v>
      </c>
      <c r="D25" s="3">
        <v>9263</v>
      </c>
      <c r="E25" s="3">
        <v>9530</v>
      </c>
      <c r="F25" s="2">
        <v>1.0644</v>
      </c>
      <c r="G25" s="3">
        <v>6045</v>
      </c>
      <c r="H25" s="3">
        <v>5571</v>
      </c>
      <c r="I25" s="2">
        <v>0</v>
      </c>
      <c r="J25" s="3">
        <v>5571</v>
      </c>
      <c r="K25" s="3">
        <v>9349</v>
      </c>
      <c r="L25" s="4">
        <v>5.4899999999999997E-2</v>
      </c>
      <c r="N25" s="5" t="s">
        <v>34</v>
      </c>
      <c r="O25" s="5">
        <f>(E25+E26)/12*8760/1000/(G25+G26)</f>
        <v>1.0776834306881322</v>
      </c>
    </row>
    <row r="26" spans="1:15" x14ac:dyDescent="0.2">
      <c r="A26" s="2" t="s">
        <v>80</v>
      </c>
      <c r="B26" s="3">
        <v>11021</v>
      </c>
      <c r="C26" s="3">
        <v>11029</v>
      </c>
      <c r="D26" s="3">
        <v>11532</v>
      </c>
      <c r="E26" s="3">
        <v>11194</v>
      </c>
      <c r="F26" s="2">
        <v>1.0315000000000001</v>
      </c>
      <c r="G26" s="3">
        <v>7993</v>
      </c>
      <c r="H26" s="3">
        <v>7849</v>
      </c>
      <c r="I26" s="2">
        <v>0</v>
      </c>
      <c r="J26" s="3">
        <v>7849</v>
      </c>
      <c r="K26" s="3">
        <v>11339</v>
      </c>
      <c r="L26" s="4">
        <v>6.6600000000000006E-2</v>
      </c>
      <c r="N26" s="5" t="s">
        <v>35</v>
      </c>
      <c r="O26" s="5">
        <f>O25</f>
        <v>1.0776834306881322</v>
      </c>
    </row>
    <row r="27" spans="1:15" x14ac:dyDescent="0.2">
      <c r="A27" s="2" t="s">
        <v>81</v>
      </c>
      <c r="B27" s="2">
        <v>155</v>
      </c>
      <c r="C27" s="2">
        <v>142</v>
      </c>
      <c r="D27" s="2">
        <v>137</v>
      </c>
      <c r="E27" s="2">
        <v>145</v>
      </c>
      <c r="F27" s="2">
        <v>1.0911</v>
      </c>
      <c r="G27" s="2">
        <v>90</v>
      </c>
      <c r="H27" s="2">
        <v>0</v>
      </c>
      <c r="I27" s="2">
        <v>87</v>
      </c>
      <c r="J27" s="2">
        <v>87</v>
      </c>
      <c r="K27" s="2">
        <v>154</v>
      </c>
      <c r="L27" s="4">
        <v>8.9999999999999998E-4</v>
      </c>
    </row>
    <row r="28" spans="1:15" x14ac:dyDescent="0.2">
      <c r="A28" s="2" t="s">
        <v>82</v>
      </c>
      <c r="B28" s="2">
        <v>373</v>
      </c>
      <c r="C28" s="2">
        <v>301</v>
      </c>
      <c r="D28" s="2">
        <v>297</v>
      </c>
      <c r="E28" s="2">
        <v>324</v>
      </c>
      <c r="F28" s="2">
        <v>1.0645</v>
      </c>
      <c r="G28" s="2">
        <v>226</v>
      </c>
      <c r="H28" s="2">
        <v>0</v>
      </c>
      <c r="I28" s="2">
        <v>210</v>
      </c>
      <c r="J28" s="2">
        <v>210</v>
      </c>
      <c r="K28" s="2">
        <v>320</v>
      </c>
      <c r="L28" s="4">
        <v>1.9E-3</v>
      </c>
    </row>
    <row r="29" spans="1:15" x14ac:dyDescent="0.2">
      <c r="A29" s="2" t="s">
        <v>83</v>
      </c>
      <c r="B29" s="2">
        <v>714</v>
      </c>
      <c r="C29" s="2">
        <v>602</v>
      </c>
      <c r="D29" s="2">
        <v>789</v>
      </c>
      <c r="E29" s="2">
        <v>702</v>
      </c>
      <c r="F29" s="2">
        <v>1.0316000000000001</v>
      </c>
      <c r="G29" s="2">
        <v>528</v>
      </c>
      <c r="H29" s="2">
        <v>0</v>
      </c>
      <c r="I29" s="2">
        <v>536</v>
      </c>
      <c r="J29" s="2">
        <v>536</v>
      </c>
      <c r="K29" s="2">
        <v>734</v>
      </c>
      <c r="L29" s="4">
        <v>4.3E-3</v>
      </c>
    </row>
    <row r="30" spans="1:15" x14ac:dyDescent="0.2">
      <c r="A30" s="2" t="s">
        <v>84</v>
      </c>
      <c r="B30" s="3">
        <v>2748</v>
      </c>
      <c r="C30" s="3">
        <v>2325</v>
      </c>
      <c r="D30" s="3">
        <v>2678</v>
      </c>
      <c r="E30" s="3">
        <v>2584</v>
      </c>
      <c r="F30" s="2">
        <v>1.091</v>
      </c>
      <c r="G30" s="3">
        <v>1851</v>
      </c>
      <c r="H30" s="3">
        <v>1804</v>
      </c>
      <c r="I30" s="2">
        <v>0</v>
      </c>
      <c r="J30" s="3">
        <v>1804</v>
      </c>
      <c r="K30" s="3">
        <v>2746</v>
      </c>
      <c r="L30" s="4">
        <v>1.61E-2</v>
      </c>
      <c r="N30" s="5" t="s">
        <v>36</v>
      </c>
      <c r="O30" s="5">
        <f>(E30+E31)/12*8760/1000/(G30+G31)</f>
        <v>0.99992347719620445</v>
      </c>
    </row>
    <row r="31" spans="1:15" x14ac:dyDescent="0.2">
      <c r="A31" s="2" t="s">
        <v>85</v>
      </c>
      <c r="B31" s="3">
        <v>1891</v>
      </c>
      <c r="C31" s="3">
        <v>1858</v>
      </c>
      <c r="D31" s="3">
        <v>1924</v>
      </c>
      <c r="E31" s="3">
        <v>1891</v>
      </c>
      <c r="F31" s="2">
        <v>1.0895999999999999</v>
      </c>
      <c r="G31" s="3">
        <v>1416</v>
      </c>
      <c r="H31" s="3">
        <v>1493</v>
      </c>
      <c r="I31" s="2">
        <v>0</v>
      </c>
      <c r="J31" s="3">
        <v>1493</v>
      </c>
      <c r="K31" s="3">
        <v>2172</v>
      </c>
      <c r="L31" s="4">
        <v>1.2800000000000001E-2</v>
      </c>
    </row>
    <row r="32" spans="1:15" x14ac:dyDescent="0.2">
      <c r="A32" s="2" t="s">
        <v>86</v>
      </c>
      <c r="B32" s="2">
        <v>685</v>
      </c>
      <c r="C32" s="2">
        <v>960</v>
      </c>
      <c r="D32" s="2">
        <v>709</v>
      </c>
      <c r="E32" s="2">
        <v>785</v>
      </c>
      <c r="F32" s="2">
        <v>1.0938000000000001</v>
      </c>
      <c r="G32" s="2">
        <v>693</v>
      </c>
      <c r="H32" s="2">
        <v>553</v>
      </c>
      <c r="I32" s="2">
        <v>0</v>
      </c>
      <c r="J32" s="2">
        <v>553</v>
      </c>
      <c r="K32" s="2">
        <v>685</v>
      </c>
      <c r="L32" s="4">
        <v>4.0000000000000001E-3</v>
      </c>
      <c r="N32" s="5" t="s">
        <v>38</v>
      </c>
      <c r="O32" s="5">
        <f>E32/12*8760/1000/G32</f>
        <v>0.82691197691197682</v>
      </c>
    </row>
    <row r="33" spans="1:15" x14ac:dyDescent="0.2">
      <c r="A33" s="10">
        <v>2022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5" x14ac:dyDescent="0.2">
      <c r="A34" s="1" t="s">
        <v>61</v>
      </c>
      <c r="B34" s="1">
        <v>2017</v>
      </c>
      <c r="C34" s="1">
        <v>2018</v>
      </c>
      <c r="D34" s="1">
        <v>2019</v>
      </c>
      <c r="E34" s="1" t="s">
        <v>87</v>
      </c>
      <c r="F34" s="1" t="s">
        <v>88</v>
      </c>
      <c r="G34" s="1" t="s">
        <v>89</v>
      </c>
      <c r="H34" s="1" t="s">
        <v>95</v>
      </c>
      <c r="I34" s="1" t="s">
        <v>91</v>
      </c>
      <c r="J34" s="1" t="s">
        <v>92</v>
      </c>
      <c r="K34" s="1" t="s">
        <v>93</v>
      </c>
      <c r="L34" s="1" t="s">
        <v>94</v>
      </c>
    </row>
    <row r="35" spans="1:15" x14ac:dyDescent="0.2">
      <c r="A35" s="2" t="s">
        <v>73</v>
      </c>
      <c r="B35" s="3">
        <v>78359</v>
      </c>
      <c r="C35" s="3">
        <v>66768</v>
      </c>
      <c r="D35" s="3">
        <v>68199</v>
      </c>
      <c r="E35" s="3">
        <v>71109</v>
      </c>
      <c r="F35" s="2">
        <v>1.0905</v>
      </c>
      <c r="G35" s="3">
        <v>29389</v>
      </c>
      <c r="H35" s="3">
        <v>27983</v>
      </c>
      <c r="I35" s="2">
        <v>0</v>
      </c>
      <c r="J35" s="3">
        <v>27983</v>
      </c>
      <c r="K35" s="3">
        <v>73833</v>
      </c>
      <c r="L35" s="4">
        <v>0.43780000000000002</v>
      </c>
      <c r="N35" s="5" t="s">
        <v>9</v>
      </c>
      <c r="O35" s="5">
        <f>E35/12*8760/1000/G35</f>
        <v>1.7662924903875599</v>
      </c>
    </row>
    <row r="36" spans="1:15" x14ac:dyDescent="0.2">
      <c r="A36" s="2" t="s">
        <v>74</v>
      </c>
      <c r="B36" s="3">
        <v>12202</v>
      </c>
      <c r="C36" s="3">
        <v>11735</v>
      </c>
      <c r="D36" s="3">
        <v>11549</v>
      </c>
      <c r="E36" s="3">
        <v>11829</v>
      </c>
      <c r="F36" s="2">
        <v>1.0909</v>
      </c>
      <c r="G36" s="3">
        <v>5904</v>
      </c>
      <c r="H36" s="3">
        <v>5924</v>
      </c>
      <c r="I36" s="2">
        <v>0</v>
      </c>
      <c r="J36" s="3">
        <v>5924</v>
      </c>
      <c r="K36" s="3">
        <v>12946</v>
      </c>
      <c r="L36" s="4">
        <v>7.6799999999999993E-2</v>
      </c>
      <c r="N36" s="5" t="s">
        <v>33</v>
      </c>
      <c r="O36" s="5">
        <f>(E36+E38+E39+E40+E41)/12*8760/1000/(G36+G38+G39+G40+G41)</f>
        <v>1.3285468841685248</v>
      </c>
    </row>
    <row r="37" spans="1:15" x14ac:dyDescent="0.2">
      <c r="A37" s="2" t="s">
        <v>75</v>
      </c>
      <c r="B37" s="2">
        <v>83</v>
      </c>
      <c r="C37" s="2">
        <v>76</v>
      </c>
      <c r="D37" s="2">
        <v>84</v>
      </c>
      <c r="E37" s="2">
        <v>81</v>
      </c>
      <c r="F37" s="2">
        <v>1.0916999999999999</v>
      </c>
      <c r="G37" s="2">
        <v>59</v>
      </c>
      <c r="H37" s="2">
        <v>55</v>
      </c>
      <c r="I37" s="2">
        <v>0</v>
      </c>
      <c r="J37" s="2">
        <v>55</v>
      </c>
      <c r="K37" s="2">
        <v>84</v>
      </c>
      <c r="L37" s="4">
        <v>5.0000000000000001E-4</v>
      </c>
      <c r="N37" s="5" t="s">
        <v>37</v>
      </c>
      <c r="O37" s="5">
        <f>(E37+E43+E44+E45)/12*8760/1000/(G37+G43+G44+G45)</f>
        <v>0.84439311594202904</v>
      </c>
    </row>
    <row r="38" spans="1:15" x14ac:dyDescent="0.2">
      <c r="A38" s="2" t="s">
        <v>76</v>
      </c>
      <c r="B38" s="3">
        <v>28687</v>
      </c>
      <c r="C38" s="3">
        <v>27971</v>
      </c>
      <c r="D38" s="3">
        <v>26717</v>
      </c>
      <c r="E38" s="3">
        <v>27792</v>
      </c>
      <c r="F38" s="2">
        <v>1.0905</v>
      </c>
      <c r="G38" s="3">
        <v>14350</v>
      </c>
      <c r="H38" s="3">
        <v>12185</v>
      </c>
      <c r="I38" s="2">
        <v>0</v>
      </c>
      <c r="J38" s="3">
        <v>12185</v>
      </c>
      <c r="K38" s="3">
        <v>25734</v>
      </c>
      <c r="L38" s="4">
        <v>0.15260000000000001</v>
      </c>
    </row>
    <row r="39" spans="1:15" x14ac:dyDescent="0.2">
      <c r="A39" s="2" t="s">
        <v>77</v>
      </c>
      <c r="B39" s="3">
        <v>15513</v>
      </c>
      <c r="C39" s="3">
        <v>14472</v>
      </c>
      <c r="D39" s="3">
        <v>13924</v>
      </c>
      <c r="E39" s="3">
        <v>14637</v>
      </c>
      <c r="F39" s="2">
        <v>1.0900000000000001</v>
      </c>
      <c r="G39" s="3">
        <v>8145</v>
      </c>
      <c r="H39" s="3">
        <v>7403</v>
      </c>
      <c r="I39" s="2">
        <v>0</v>
      </c>
      <c r="J39" s="3">
        <v>7403</v>
      </c>
      <c r="K39" s="3">
        <v>14501</v>
      </c>
      <c r="L39" s="4">
        <v>8.5999999999999993E-2</v>
      </c>
    </row>
    <row r="40" spans="1:15" x14ac:dyDescent="0.2">
      <c r="A40" s="2" t="s">
        <v>78</v>
      </c>
      <c r="B40" s="3">
        <v>14237</v>
      </c>
      <c r="C40" s="3">
        <v>14201</v>
      </c>
      <c r="D40" s="3">
        <v>13320</v>
      </c>
      <c r="E40" s="3">
        <v>13919</v>
      </c>
      <c r="F40" s="2">
        <v>1.0909</v>
      </c>
      <c r="G40" s="3">
        <v>8233</v>
      </c>
      <c r="H40" s="3">
        <v>7625</v>
      </c>
      <c r="I40" s="2">
        <v>0</v>
      </c>
      <c r="J40" s="3">
        <v>7625</v>
      </c>
      <c r="K40" s="3">
        <v>14063</v>
      </c>
      <c r="L40" s="4">
        <v>8.3400000000000002E-2</v>
      </c>
    </row>
    <row r="41" spans="1:15" x14ac:dyDescent="0.2">
      <c r="A41" s="2" t="s">
        <v>79</v>
      </c>
      <c r="B41" s="3">
        <v>9644</v>
      </c>
      <c r="C41" s="3">
        <v>9263</v>
      </c>
      <c r="D41" s="3">
        <v>9174</v>
      </c>
      <c r="E41" s="3">
        <v>9361</v>
      </c>
      <c r="F41" s="2">
        <v>1.0644</v>
      </c>
      <c r="G41" s="3">
        <v>5973</v>
      </c>
      <c r="H41" s="3">
        <v>5996</v>
      </c>
      <c r="I41" s="2">
        <v>0</v>
      </c>
      <c r="J41" s="3">
        <v>5996</v>
      </c>
      <c r="K41" s="3">
        <v>10002</v>
      </c>
      <c r="L41" s="4">
        <v>5.9299999999999999E-2</v>
      </c>
      <c r="N41" s="5" t="s">
        <v>34</v>
      </c>
      <c r="O41" s="5">
        <f>(E41+E42)/12*8760/1000/(G41+G42)</f>
        <v>1.0322562807209175</v>
      </c>
    </row>
    <row r="42" spans="1:15" x14ac:dyDescent="0.2">
      <c r="A42" s="2" t="s">
        <v>80</v>
      </c>
      <c r="B42" s="3">
        <v>11029</v>
      </c>
      <c r="C42" s="3">
        <v>11532</v>
      </c>
      <c r="D42" s="3">
        <v>11496</v>
      </c>
      <c r="E42" s="3">
        <v>11352</v>
      </c>
      <c r="F42" s="2">
        <v>1.0315000000000001</v>
      </c>
      <c r="G42" s="3">
        <v>8675</v>
      </c>
      <c r="H42" s="3">
        <v>7897</v>
      </c>
      <c r="I42" s="2">
        <v>0</v>
      </c>
      <c r="J42" s="3">
        <v>7897</v>
      </c>
      <c r="K42" s="3">
        <v>10661</v>
      </c>
      <c r="L42" s="4">
        <v>6.3200000000000006E-2</v>
      </c>
      <c r="N42" s="5" t="s">
        <v>35</v>
      </c>
      <c r="O42" s="5">
        <f>O41</f>
        <v>1.0322562807209175</v>
      </c>
    </row>
    <row r="43" spans="1:15" x14ac:dyDescent="0.2">
      <c r="A43" s="2" t="s">
        <v>81</v>
      </c>
      <c r="B43" s="2">
        <v>142</v>
      </c>
      <c r="C43" s="2">
        <v>137</v>
      </c>
      <c r="D43" s="2">
        <v>127</v>
      </c>
      <c r="E43" s="2">
        <v>135</v>
      </c>
      <c r="F43" s="2">
        <v>1.0911</v>
      </c>
      <c r="G43" s="2">
        <v>84</v>
      </c>
      <c r="H43" s="2">
        <v>0</v>
      </c>
      <c r="I43" s="2">
        <v>85</v>
      </c>
      <c r="J43" s="2">
        <v>85</v>
      </c>
      <c r="K43" s="2">
        <v>148</v>
      </c>
      <c r="L43" s="4">
        <v>8.9999999999999998E-4</v>
      </c>
    </row>
    <row r="44" spans="1:15" x14ac:dyDescent="0.2">
      <c r="A44" s="2" t="s">
        <v>82</v>
      </c>
      <c r="B44" s="2">
        <v>301</v>
      </c>
      <c r="C44" s="2">
        <v>297</v>
      </c>
      <c r="D44" s="2">
        <v>330</v>
      </c>
      <c r="E44" s="2">
        <v>310</v>
      </c>
      <c r="F44" s="2">
        <v>1.0645</v>
      </c>
      <c r="G44" s="2">
        <v>213</v>
      </c>
      <c r="H44" s="2">
        <v>0</v>
      </c>
      <c r="I44" s="2">
        <v>211</v>
      </c>
      <c r="J44" s="2">
        <v>211</v>
      </c>
      <c r="K44" s="2">
        <v>325</v>
      </c>
      <c r="L44" s="4">
        <v>1.9E-3</v>
      </c>
    </row>
    <row r="45" spans="1:15" x14ac:dyDescent="0.2">
      <c r="A45" s="2" t="s">
        <v>83</v>
      </c>
      <c r="B45" s="2">
        <v>602</v>
      </c>
      <c r="C45" s="2">
        <v>789</v>
      </c>
      <c r="D45" s="2">
        <v>862</v>
      </c>
      <c r="E45" s="2">
        <v>751</v>
      </c>
      <c r="F45" s="2">
        <v>1.0316000000000001</v>
      </c>
      <c r="G45" s="2">
        <v>748</v>
      </c>
      <c r="H45" s="2">
        <v>0</v>
      </c>
      <c r="I45" s="2">
        <v>530</v>
      </c>
      <c r="J45" s="2">
        <v>530</v>
      </c>
      <c r="K45" s="2">
        <v>548</v>
      </c>
      <c r="L45" s="4">
        <v>3.2000000000000002E-3</v>
      </c>
    </row>
    <row r="46" spans="1:15" x14ac:dyDescent="0.2">
      <c r="A46" s="2" t="s">
        <v>84</v>
      </c>
      <c r="B46" s="3">
        <v>2325</v>
      </c>
      <c r="C46" s="3">
        <v>2678</v>
      </c>
      <c r="D46" s="3">
        <v>2347</v>
      </c>
      <c r="E46" s="3">
        <v>2450</v>
      </c>
      <c r="F46" s="2">
        <v>1.091</v>
      </c>
      <c r="G46" s="3">
        <v>1754</v>
      </c>
      <c r="H46" s="3">
        <v>1832</v>
      </c>
      <c r="I46" s="2">
        <v>0</v>
      </c>
      <c r="J46" s="3">
        <v>1832</v>
      </c>
      <c r="K46" s="3">
        <v>2792</v>
      </c>
      <c r="L46" s="4">
        <v>1.66E-2</v>
      </c>
      <c r="N46" s="5" t="s">
        <v>36</v>
      </c>
      <c r="O46" s="5">
        <f>(E46+E47)/12*8760/1000/(G46+G47)</f>
        <v>1.0039804292929293</v>
      </c>
    </row>
    <row r="47" spans="1:15" x14ac:dyDescent="0.2">
      <c r="A47" s="2" t="s">
        <v>85</v>
      </c>
      <c r="B47" s="3">
        <v>1858</v>
      </c>
      <c r="C47" s="3">
        <v>1924</v>
      </c>
      <c r="D47" s="3">
        <v>1937</v>
      </c>
      <c r="E47" s="3">
        <v>1907</v>
      </c>
      <c r="F47" s="2">
        <v>1.0895999999999999</v>
      </c>
      <c r="G47" s="3">
        <v>1414</v>
      </c>
      <c r="H47" s="3">
        <v>1549</v>
      </c>
      <c r="I47" s="2">
        <v>0</v>
      </c>
      <c r="J47" s="3">
        <v>1549</v>
      </c>
      <c r="K47" s="3">
        <v>2275</v>
      </c>
      <c r="L47" s="4">
        <v>1.35E-2</v>
      </c>
    </row>
    <row r="48" spans="1:15" x14ac:dyDescent="0.2">
      <c r="A48" s="2" t="s">
        <v>86</v>
      </c>
      <c r="B48" s="2">
        <v>960</v>
      </c>
      <c r="C48" s="2">
        <v>709</v>
      </c>
      <c r="D48" s="3">
        <v>1072</v>
      </c>
      <c r="E48" s="2">
        <v>913</v>
      </c>
      <c r="F48" s="2">
        <v>1.0938000000000001</v>
      </c>
      <c r="G48" s="2">
        <v>654</v>
      </c>
      <c r="H48" s="2">
        <v>475</v>
      </c>
      <c r="I48" s="2">
        <v>0</v>
      </c>
      <c r="J48" s="2">
        <v>475</v>
      </c>
      <c r="K48" s="2">
        <v>725</v>
      </c>
      <c r="L48" s="4">
        <v>4.3E-3</v>
      </c>
      <c r="N48" s="5" t="s">
        <v>38</v>
      </c>
      <c r="O48" s="5">
        <f>E48/12*8760/1000/G48</f>
        <v>1.0190978593272171</v>
      </c>
    </row>
    <row r="49" spans="1:15" x14ac:dyDescent="0.2">
      <c r="A49" s="10">
        <v>2023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5" x14ac:dyDescent="0.2">
      <c r="A50" s="1" t="s">
        <v>61</v>
      </c>
      <c r="B50" s="1">
        <v>2018</v>
      </c>
      <c r="C50" s="1">
        <v>2019</v>
      </c>
      <c r="D50" s="1">
        <v>2020</v>
      </c>
      <c r="E50" s="1" t="s">
        <v>87</v>
      </c>
      <c r="F50" s="1" t="s">
        <v>88</v>
      </c>
      <c r="G50" s="1" t="s">
        <v>89</v>
      </c>
      <c r="H50" s="1" t="s">
        <v>90</v>
      </c>
      <c r="I50" s="1" t="s">
        <v>91</v>
      </c>
      <c r="J50" s="1" t="s">
        <v>92</v>
      </c>
      <c r="K50" s="1" t="s">
        <v>93</v>
      </c>
      <c r="L50" s="1" t="s">
        <v>94</v>
      </c>
    </row>
    <row r="51" spans="1:15" x14ac:dyDescent="0.2">
      <c r="A51" s="2" t="s">
        <v>73</v>
      </c>
      <c r="B51" s="3">
        <v>66768</v>
      </c>
      <c r="C51" s="3">
        <v>68199</v>
      </c>
      <c r="D51" s="3">
        <v>86529</v>
      </c>
      <c r="E51" s="3">
        <v>73832</v>
      </c>
      <c r="F51" s="2">
        <v>1.0905</v>
      </c>
      <c r="G51" s="3">
        <v>30154</v>
      </c>
      <c r="H51" s="3">
        <v>28358</v>
      </c>
      <c r="I51" s="2">
        <v>0</v>
      </c>
      <c r="J51" s="3">
        <v>28358</v>
      </c>
      <c r="K51" s="3">
        <v>75720</v>
      </c>
      <c r="L51" s="4">
        <v>0.42349999999999999</v>
      </c>
      <c r="N51" s="5" t="s">
        <v>9</v>
      </c>
      <c r="O51" s="5">
        <f>E51/12*8760/1000/G51</f>
        <v>1.787403329574849</v>
      </c>
    </row>
    <row r="52" spans="1:15" x14ac:dyDescent="0.2">
      <c r="A52" s="2" t="s">
        <v>74</v>
      </c>
      <c r="B52" s="3">
        <v>11735</v>
      </c>
      <c r="C52" s="3">
        <v>11549</v>
      </c>
      <c r="D52" s="3">
        <v>10575</v>
      </c>
      <c r="E52" s="3">
        <v>11286</v>
      </c>
      <c r="F52" s="2">
        <v>1.0909</v>
      </c>
      <c r="G52" s="3">
        <v>5794</v>
      </c>
      <c r="H52" s="3">
        <v>6556</v>
      </c>
      <c r="I52" s="2">
        <v>0</v>
      </c>
      <c r="J52" s="3">
        <v>6556</v>
      </c>
      <c r="K52" s="3">
        <v>13931</v>
      </c>
      <c r="L52" s="4">
        <v>7.7899999999999997E-2</v>
      </c>
      <c r="N52" s="5" t="s">
        <v>33</v>
      </c>
      <c r="O52" s="5">
        <f>(E52+E54+E55+E56+E57)/12*8760/1000/(G52+G54+G55+G56+G57)</f>
        <v>1.3076773753562121</v>
      </c>
    </row>
    <row r="53" spans="1:15" x14ac:dyDescent="0.2">
      <c r="A53" s="2" t="s">
        <v>75</v>
      </c>
      <c r="B53" s="2">
        <v>76</v>
      </c>
      <c r="C53" s="2">
        <v>84</v>
      </c>
      <c r="D53" s="2">
        <v>75</v>
      </c>
      <c r="E53" s="2">
        <v>78</v>
      </c>
      <c r="F53" s="2">
        <v>1.0916999999999999</v>
      </c>
      <c r="G53" s="2">
        <v>58</v>
      </c>
      <c r="H53" s="2">
        <v>55</v>
      </c>
      <c r="I53" s="2">
        <v>0</v>
      </c>
      <c r="J53" s="2">
        <v>55</v>
      </c>
      <c r="K53" s="2">
        <v>81</v>
      </c>
      <c r="L53" s="4">
        <v>5.0000000000000001E-4</v>
      </c>
      <c r="N53" s="5" t="s">
        <v>37</v>
      </c>
      <c r="O53" s="5">
        <f>(E53+E59+E60+E61)/12*8760/1000/(G53+G59+G60+G61)</f>
        <v>0.84512059369202219</v>
      </c>
    </row>
    <row r="54" spans="1:15" x14ac:dyDescent="0.2">
      <c r="A54" s="2" t="s">
        <v>76</v>
      </c>
      <c r="B54" s="3">
        <v>27971</v>
      </c>
      <c r="C54" s="3">
        <v>26717</v>
      </c>
      <c r="D54" s="3">
        <v>24814</v>
      </c>
      <c r="E54" s="3">
        <v>26500</v>
      </c>
      <c r="F54" s="2">
        <v>1.0905</v>
      </c>
      <c r="G54" s="3">
        <v>13853</v>
      </c>
      <c r="H54" s="3">
        <v>13042</v>
      </c>
      <c r="I54" s="2">
        <v>0</v>
      </c>
      <c r="J54" s="3">
        <v>13042</v>
      </c>
      <c r="K54" s="3">
        <v>27207</v>
      </c>
      <c r="L54" s="4">
        <v>0.1522</v>
      </c>
    </row>
    <row r="55" spans="1:15" x14ac:dyDescent="0.2">
      <c r="A55" s="2" t="s">
        <v>77</v>
      </c>
      <c r="B55" s="3">
        <v>14472</v>
      </c>
      <c r="C55" s="3">
        <v>13924</v>
      </c>
      <c r="D55" s="3">
        <v>12741</v>
      </c>
      <c r="E55" s="3">
        <v>13712</v>
      </c>
      <c r="F55" s="2">
        <v>1.0900000000000001</v>
      </c>
      <c r="G55" s="3">
        <v>7714</v>
      </c>
      <c r="H55" s="3">
        <v>8137</v>
      </c>
      <c r="I55" s="2">
        <v>0</v>
      </c>
      <c r="J55" s="3">
        <v>8137</v>
      </c>
      <c r="K55" s="3">
        <v>15765</v>
      </c>
      <c r="L55" s="4">
        <v>8.8200000000000001E-2</v>
      </c>
    </row>
    <row r="56" spans="1:15" x14ac:dyDescent="0.2">
      <c r="A56" s="2" t="s">
        <v>78</v>
      </c>
      <c r="B56" s="3">
        <v>14201</v>
      </c>
      <c r="C56" s="3">
        <v>13320</v>
      </c>
      <c r="D56" s="3">
        <v>11784</v>
      </c>
      <c r="E56" s="3">
        <v>13101</v>
      </c>
      <c r="F56" s="2">
        <v>1.0909</v>
      </c>
      <c r="G56" s="3">
        <v>7882</v>
      </c>
      <c r="H56" s="3">
        <v>9170</v>
      </c>
      <c r="I56" s="2">
        <v>0</v>
      </c>
      <c r="J56" s="3">
        <v>9170</v>
      </c>
      <c r="K56" s="3">
        <v>16626</v>
      </c>
      <c r="L56" s="4">
        <v>9.2999999999999999E-2</v>
      </c>
    </row>
    <row r="57" spans="1:15" x14ac:dyDescent="0.2">
      <c r="A57" s="2" t="s">
        <v>79</v>
      </c>
      <c r="B57" s="3">
        <v>9263</v>
      </c>
      <c r="C57" s="3">
        <v>9174</v>
      </c>
      <c r="D57" s="3">
        <v>8405</v>
      </c>
      <c r="E57" s="3">
        <v>8948</v>
      </c>
      <c r="F57" s="2">
        <v>1.0644</v>
      </c>
      <c r="G57" s="3">
        <v>5814</v>
      </c>
      <c r="H57" s="3">
        <v>6496</v>
      </c>
      <c r="I57" s="2">
        <v>0</v>
      </c>
      <c r="J57" s="3">
        <v>6496</v>
      </c>
      <c r="K57" s="3">
        <v>10641</v>
      </c>
      <c r="L57" s="4">
        <v>5.9499999999999997E-2</v>
      </c>
      <c r="N57" s="5" t="s">
        <v>34</v>
      </c>
      <c r="O57" s="5">
        <f>(E57+E58)/12*8760/1000/(G57+G58)</f>
        <v>1.0244401114206128</v>
      </c>
    </row>
    <row r="58" spans="1:15" x14ac:dyDescent="0.2">
      <c r="A58" s="2" t="s">
        <v>80</v>
      </c>
      <c r="B58" s="3">
        <v>11532</v>
      </c>
      <c r="C58" s="3">
        <v>11496</v>
      </c>
      <c r="D58" s="3">
        <v>10583</v>
      </c>
      <c r="E58" s="3">
        <v>11204</v>
      </c>
      <c r="F58" s="2">
        <v>1.0315000000000001</v>
      </c>
      <c r="G58" s="3">
        <v>8546</v>
      </c>
      <c r="H58" s="3">
        <v>8432</v>
      </c>
      <c r="I58" s="2">
        <v>0</v>
      </c>
      <c r="J58" s="3">
        <v>8432</v>
      </c>
      <c r="K58" s="3">
        <v>11403</v>
      </c>
      <c r="L58" s="4">
        <v>6.3799999999999996E-2</v>
      </c>
      <c r="N58" s="5" t="s">
        <v>35</v>
      </c>
      <c r="O58" s="5">
        <f>O57</f>
        <v>1.0244401114206128</v>
      </c>
    </row>
    <row r="59" spans="1:15" x14ac:dyDescent="0.2">
      <c r="A59" s="2" t="s">
        <v>81</v>
      </c>
      <c r="B59" s="2">
        <v>137</v>
      </c>
      <c r="C59" s="2">
        <v>127</v>
      </c>
      <c r="D59" s="2">
        <v>112</v>
      </c>
      <c r="E59" s="2">
        <v>125</v>
      </c>
      <c r="F59" s="2">
        <v>1.0911</v>
      </c>
      <c r="G59" s="2">
        <v>78</v>
      </c>
      <c r="H59" s="2">
        <v>0</v>
      </c>
      <c r="I59" s="2">
        <v>78</v>
      </c>
      <c r="J59" s="2">
        <v>78</v>
      </c>
      <c r="K59" s="2">
        <v>137</v>
      </c>
      <c r="L59" s="4">
        <v>8.0000000000000004E-4</v>
      </c>
    </row>
    <row r="60" spans="1:15" x14ac:dyDescent="0.2">
      <c r="A60" s="2" t="s">
        <v>82</v>
      </c>
      <c r="B60" s="2">
        <v>297</v>
      </c>
      <c r="C60" s="2">
        <v>330</v>
      </c>
      <c r="D60" s="2">
        <v>257</v>
      </c>
      <c r="E60" s="2">
        <v>295</v>
      </c>
      <c r="F60" s="2">
        <v>1.0645</v>
      </c>
      <c r="G60" s="2">
        <v>196</v>
      </c>
      <c r="H60" s="2">
        <v>0</v>
      </c>
      <c r="I60" s="2">
        <v>196</v>
      </c>
      <c r="J60" s="2">
        <v>196</v>
      </c>
      <c r="K60" s="2">
        <v>314</v>
      </c>
      <c r="L60" s="4">
        <v>1.8E-3</v>
      </c>
    </row>
    <row r="61" spans="1:15" x14ac:dyDescent="0.2">
      <c r="A61" s="2" t="s">
        <v>83</v>
      </c>
      <c r="B61" s="2">
        <v>789</v>
      </c>
      <c r="C61" s="2">
        <v>862</v>
      </c>
      <c r="D61" s="2">
        <v>600</v>
      </c>
      <c r="E61" s="2">
        <v>750</v>
      </c>
      <c r="F61" s="2">
        <v>1.0316000000000001</v>
      </c>
      <c r="G61" s="2">
        <v>746</v>
      </c>
      <c r="H61" s="2">
        <v>0</v>
      </c>
      <c r="I61" s="2">
        <v>550</v>
      </c>
      <c r="J61" s="2">
        <v>550</v>
      </c>
      <c r="K61" s="2">
        <v>571</v>
      </c>
      <c r="L61" s="4">
        <v>3.2000000000000002E-3</v>
      </c>
    </row>
    <row r="62" spans="1:15" x14ac:dyDescent="0.2">
      <c r="A62" s="2" t="s">
        <v>84</v>
      </c>
      <c r="B62" s="3">
        <v>2678</v>
      </c>
      <c r="C62" s="3">
        <v>2347</v>
      </c>
      <c r="D62" s="3">
        <v>2729</v>
      </c>
      <c r="E62" s="3">
        <v>2584</v>
      </c>
      <c r="F62" s="2">
        <v>1.091</v>
      </c>
      <c r="G62" s="3">
        <v>1841</v>
      </c>
      <c r="H62" s="3">
        <v>2043</v>
      </c>
      <c r="I62" s="2">
        <v>0</v>
      </c>
      <c r="J62" s="3">
        <v>2043</v>
      </c>
      <c r="K62" s="3">
        <v>3129</v>
      </c>
      <c r="L62" s="4">
        <v>1.7500000000000002E-2</v>
      </c>
      <c r="N62" s="5" t="s">
        <v>36</v>
      </c>
      <c r="O62" s="5">
        <f>(E62+E63)/12*8760/1000/(G62+G63)</f>
        <v>1.0070335651648019</v>
      </c>
    </row>
    <row r="63" spans="1:15" x14ac:dyDescent="0.2">
      <c r="A63" s="2" t="s">
        <v>85</v>
      </c>
      <c r="B63" s="3">
        <v>1924</v>
      </c>
      <c r="C63" s="3">
        <v>1937</v>
      </c>
      <c r="D63" s="3">
        <v>2073</v>
      </c>
      <c r="E63" s="3">
        <v>1978</v>
      </c>
      <c r="F63" s="2">
        <v>1.0895999999999999</v>
      </c>
      <c r="G63" s="3">
        <v>1466</v>
      </c>
      <c r="H63" s="3">
        <v>1752</v>
      </c>
      <c r="I63" s="2">
        <v>0</v>
      </c>
      <c r="J63" s="3">
        <v>1752</v>
      </c>
      <c r="K63" s="3">
        <v>2575</v>
      </c>
      <c r="L63" s="4">
        <v>1.44E-2</v>
      </c>
    </row>
    <row r="64" spans="1:15" x14ac:dyDescent="0.2">
      <c r="A64" s="2" t="s">
        <v>86</v>
      </c>
      <c r="B64" s="2">
        <v>709</v>
      </c>
      <c r="C64" s="3">
        <v>1072</v>
      </c>
      <c r="D64" s="2">
        <v>655</v>
      </c>
      <c r="E64" s="2">
        <v>812</v>
      </c>
      <c r="F64" s="2">
        <v>1.0938000000000001</v>
      </c>
      <c r="G64" s="2">
        <v>600</v>
      </c>
      <c r="H64" s="2">
        <v>461</v>
      </c>
      <c r="I64" s="2">
        <v>0</v>
      </c>
      <c r="J64" s="2">
        <v>461</v>
      </c>
      <c r="K64" s="2">
        <v>683</v>
      </c>
      <c r="L64" s="4">
        <v>3.8E-3</v>
      </c>
      <c r="N64" s="5" t="s">
        <v>38</v>
      </c>
      <c r="O64" s="5">
        <f>E64/12*8760/1000/G64</f>
        <v>0.98793333333333333</v>
      </c>
    </row>
    <row r="65" spans="1:15" x14ac:dyDescent="0.2">
      <c r="A65" s="10">
        <v>2024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5" x14ac:dyDescent="0.2">
      <c r="A66" s="1" t="s">
        <v>61</v>
      </c>
      <c r="B66" s="1">
        <v>2019</v>
      </c>
      <c r="C66" s="1">
        <v>2020</v>
      </c>
      <c r="D66" s="1">
        <v>2021</v>
      </c>
      <c r="E66" s="1" t="s">
        <v>87</v>
      </c>
      <c r="F66" s="1" t="s">
        <v>88</v>
      </c>
      <c r="G66" s="1" t="s">
        <v>89</v>
      </c>
      <c r="H66" s="1" t="s">
        <v>90</v>
      </c>
      <c r="I66" s="1" t="s">
        <v>91</v>
      </c>
      <c r="J66" s="1" t="s">
        <v>92</v>
      </c>
      <c r="K66" s="1" t="s">
        <v>93</v>
      </c>
      <c r="L66" s="1" t="s">
        <v>94</v>
      </c>
    </row>
    <row r="67" spans="1:15" x14ac:dyDescent="0.2">
      <c r="A67" s="2" t="s">
        <v>73</v>
      </c>
      <c r="B67" s="3">
        <v>68199</v>
      </c>
      <c r="C67" s="3">
        <v>86529</v>
      </c>
      <c r="D67" s="3">
        <v>73292</v>
      </c>
      <c r="E67" s="3">
        <v>76007</v>
      </c>
      <c r="F67" s="2">
        <v>1.0905</v>
      </c>
      <c r="G67" s="3">
        <v>30559</v>
      </c>
      <c r="H67" s="3">
        <v>28897</v>
      </c>
      <c r="I67" s="2">
        <v>0</v>
      </c>
      <c r="J67" s="3">
        <v>28897</v>
      </c>
      <c r="K67" s="3">
        <v>78380</v>
      </c>
      <c r="L67" s="4">
        <v>0.43880000000000002</v>
      </c>
      <c r="N67" s="5" t="s">
        <v>9</v>
      </c>
      <c r="O67" s="5">
        <f>E67/12*8760/1000/G67</f>
        <v>1.8156716515592788</v>
      </c>
    </row>
    <row r="68" spans="1:15" x14ac:dyDescent="0.2">
      <c r="A68" s="2" t="s">
        <v>74</v>
      </c>
      <c r="B68" s="3">
        <v>11549</v>
      </c>
      <c r="C68" s="3">
        <v>10575</v>
      </c>
      <c r="D68" s="3">
        <v>11381</v>
      </c>
      <c r="E68" s="3">
        <v>11168</v>
      </c>
      <c r="F68" s="2">
        <v>1.0909</v>
      </c>
      <c r="G68" s="3">
        <v>5745</v>
      </c>
      <c r="H68" s="3">
        <v>6218</v>
      </c>
      <c r="I68" s="2">
        <v>0</v>
      </c>
      <c r="J68" s="3">
        <v>6218</v>
      </c>
      <c r="K68" s="3">
        <v>13188</v>
      </c>
      <c r="L68" s="4">
        <v>7.3800000000000004E-2</v>
      </c>
      <c r="N68" s="5" t="s">
        <v>33</v>
      </c>
      <c r="O68" s="5">
        <f>(E68+E70+E71+E72+E73)/12*8760/1000/(G68+G70+G71+G72+G73)</f>
        <v>1.3025550847457628</v>
      </c>
    </row>
    <row r="69" spans="1:15" x14ac:dyDescent="0.2">
      <c r="A69" s="2" t="s">
        <v>75</v>
      </c>
      <c r="B69" s="2">
        <v>84</v>
      </c>
      <c r="C69" s="2">
        <v>75</v>
      </c>
      <c r="D69" s="2">
        <v>73</v>
      </c>
      <c r="E69" s="2">
        <v>77</v>
      </c>
      <c r="F69" s="2">
        <v>1.0916999999999999</v>
      </c>
      <c r="G69" s="2">
        <v>57</v>
      </c>
      <c r="H69" s="2">
        <v>54</v>
      </c>
      <c r="I69" s="2">
        <v>0</v>
      </c>
      <c r="J69" s="2">
        <v>54</v>
      </c>
      <c r="K69" s="2">
        <v>80</v>
      </c>
      <c r="L69" s="4">
        <v>5.0000000000000001E-4</v>
      </c>
      <c r="N69" s="5" t="s">
        <v>37</v>
      </c>
      <c r="O69" s="5">
        <f>(E69+E75+E76+E77)/12*8760/1000/(G69+G75+G76+G77)</f>
        <v>1.0339618406285074</v>
      </c>
    </row>
    <row r="70" spans="1:15" x14ac:dyDescent="0.2">
      <c r="A70" s="2" t="s">
        <v>76</v>
      </c>
      <c r="B70" s="3">
        <v>26717</v>
      </c>
      <c r="C70" s="3">
        <v>24814</v>
      </c>
      <c r="D70" s="3">
        <v>25954</v>
      </c>
      <c r="E70" s="3">
        <v>25828</v>
      </c>
      <c r="F70" s="2">
        <v>1.0905</v>
      </c>
      <c r="G70" s="3">
        <v>13541</v>
      </c>
      <c r="H70" s="3">
        <v>12924</v>
      </c>
      <c r="I70" s="2">
        <v>0</v>
      </c>
      <c r="J70" s="3">
        <v>12924</v>
      </c>
      <c r="K70" s="3">
        <v>26883</v>
      </c>
      <c r="L70" s="4">
        <v>0.15049999999999999</v>
      </c>
    </row>
    <row r="71" spans="1:15" x14ac:dyDescent="0.2">
      <c r="A71" s="2" t="s">
        <v>77</v>
      </c>
      <c r="B71" s="3">
        <v>13924</v>
      </c>
      <c r="C71" s="3">
        <v>12741</v>
      </c>
      <c r="D71" s="3">
        <v>13223</v>
      </c>
      <c r="E71" s="3">
        <v>13296</v>
      </c>
      <c r="F71" s="2">
        <v>1.0900000000000001</v>
      </c>
      <c r="G71" s="3">
        <v>7484</v>
      </c>
      <c r="H71" s="3">
        <v>8235</v>
      </c>
      <c r="I71" s="2">
        <v>0</v>
      </c>
      <c r="J71" s="3">
        <v>8235</v>
      </c>
      <c r="K71" s="3">
        <v>15948</v>
      </c>
      <c r="L71" s="4">
        <v>8.9300000000000004E-2</v>
      </c>
    </row>
    <row r="72" spans="1:15" x14ac:dyDescent="0.2">
      <c r="A72" s="2" t="s">
        <v>78</v>
      </c>
      <c r="B72" s="3">
        <v>13320</v>
      </c>
      <c r="C72" s="3">
        <v>11784</v>
      </c>
      <c r="D72" s="3">
        <v>12184</v>
      </c>
      <c r="E72" s="3">
        <v>12429</v>
      </c>
      <c r="F72" s="2">
        <v>1.0909</v>
      </c>
      <c r="G72" s="3">
        <v>7547</v>
      </c>
      <c r="H72" s="3">
        <v>8283</v>
      </c>
      <c r="I72" s="2">
        <v>0</v>
      </c>
      <c r="J72" s="3">
        <v>8283</v>
      </c>
      <c r="K72" s="3">
        <v>14881</v>
      </c>
      <c r="L72" s="4">
        <v>8.3299999999999999E-2</v>
      </c>
    </row>
    <row r="73" spans="1:15" x14ac:dyDescent="0.2">
      <c r="A73" s="2" t="s">
        <v>79</v>
      </c>
      <c r="B73" s="3">
        <v>9174</v>
      </c>
      <c r="C73" s="3">
        <v>8405</v>
      </c>
      <c r="D73" s="3">
        <v>9019</v>
      </c>
      <c r="E73" s="3">
        <v>8866</v>
      </c>
      <c r="F73" s="2">
        <v>1.0644</v>
      </c>
      <c r="G73" s="3">
        <v>5803</v>
      </c>
      <c r="H73" s="3">
        <v>6167</v>
      </c>
      <c r="I73" s="2">
        <v>0</v>
      </c>
      <c r="J73" s="3">
        <v>6167</v>
      </c>
      <c r="K73" s="3">
        <v>10030</v>
      </c>
      <c r="L73" s="4">
        <v>5.62E-2</v>
      </c>
      <c r="N73" s="5" t="s">
        <v>34</v>
      </c>
      <c r="O73" s="5">
        <f>(E73+E74)/12*8760/1000/(G73+G74)</f>
        <v>1.0694394734896104</v>
      </c>
    </row>
    <row r="74" spans="1:15" x14ac:dyDescent="0.2">
      <c r="A74" s="2" t="s">
        <v>80</v>
      </c>
      <c r="B74" s="3">
        <v>11496</v>
      </c>
      <c r="C74" s="3">
        <v>10583</v>
      </c>
      <c r="D74" s="3">
        <v>10755</v>
      </c>
      <c r="E74" s="3">
        <v>10945</v>
      </c>
      <c r="F74" s="2">
        <v>1.0315000000000001</v>
      </c>
      <c r="G74" s="3">
        <v>7720</v>
      </c>
      <c r="H74" s="3">
        <v>8044</v>
      </c>
      <c r="I74" s="2">
        <v>0</v>
      </c>
      <c r="J74" s="3">
        <v>8044</v>
      </c>
      <c r="K74" s="3">
        <v>11763</v>
      </c>
      <c r="L74" s="4">
        <v>6.59E-2</v>
      </c>
      <c r="N74" s="5" t="s">
        <v>35</v>
      </c>
      <c r="O74" s="5">
        <f>O73</f>
        <v>1.0694394734896104</v>
      </c>
    </row>
    <row r="75" spans="1:15" x14ac:dyDescent="0.2">
      <c r="A75" s="2" t="s">
        <v>81</v>
      </c>
      <c r="B75" s="2">
        <v>127</v>
      </c>
      <c r="C75" s="2">
        <v>112</v>
      </c>
      <c r="D75" s="2">
        <v>114</v>
      </c>
      <c r="E75" s="2">
        <v>117</v>
      </c>
      <c r="F75" s="2">
        <v>1.0911</v>
      </c>
      <c r="G75" s="2">
        <v>73</v>
      </c>
      <c r="H75" s="2">
        <v>0</v>
      </c>
      <c r="I75" s="2">
        <v>71</v>
      </c>
      <c r="J75" s="2">
        <v>71</v>
      </c>
      <c r="K75" s="2">
        <v>125</v>
      </c>
      <c r="L75" s="4">
        <v>6.9999999999999999E-4</v>
      </c>
    </row>
    <row r="76" spans="1:15" x14ac:dyDescent="0.2">
      <c r="A76" s="2" t="s">
        <v>82</v>
      </c>
      <c r="B76" s="2">
        <v>330</v>
      </c>
      <c r="C76" s="2">
        <v>257</v>
      </c>
      <c r="D76" s="2">
        <v>251</v>
      </c>
      <c r="E76" s="2">
        <v>279</v>
      </c>
      <c r="F76" s="2">
        <v>1.0645</v>
      </c>
      <c r="G76" s="2">
        <v>183</v>
      </c>
      <c r="H76" s="2">
        <v>0</v>
      </c>
      <c r="I76" s="2">
        <v>174</v>
      </c>
      <c r="J76" s="2">
        <v>174</v>
      </c>
      <c r="K76" s="2">
        <v>282</v>
      </c>
      <c r="L76" s="4">
        <v>1.6000000000000001E-3</v>
      </c>
    </row>
    <row r="77" spans="1:15" x14ac:dyDescent="0.2">
      <c r="A77" s="2" t="s">
        <v>83</v>
      </c>
      <c r="B77" s="2">
        <v>862</v>
      </c>
      <c r="C77" s="2">
        <v>600</v>
      </c>
      <c r="D77" s="2">
        <v>904</v>
      </c>
      <c r="E77" s="2">
        <v>789</v>
      </c>
      <c r="F77" s="2">
        <v>1.0316000000000001</v>
      </c>
      <c r="G77" s="2">
        <v>578</v>
      </c>
      <c r="H77" s="2">
        <v>0</v>
      </c>
      <c r="I77" s="2">
        <v>503</v>
      </c>
      <c r="J77" s="2">
        <v>503</v>
      </c>
      <c r="K77" s="2">
        <v>707</v>
      </c>
      <c r="L77" s="4">
        <v>4.0000000000000001E-3</v>
      </c>
    </row>
    <row r="78" spans="1:15" x14ac:dyDescent="0.2">
      <c r="A78" s="2" t="s">
        <v>84</v>
      </c>
      <c r="B78" s="3">
        <v>2347</v>
      </c>
      <c r="C78" s="3">
        <v>2729</v>
      </c>
      <c r="D78" s="3">
        <v>2947</v>
      </c>
      <c r="E78" s="3">
        <v>2674</v>
      </c>
      <c r="F78" s="2">
        <v>1.091</v>
      </c>
      <c r="G78" s="3">
        <v>1894</v>
      </c>
      <c r="H78" s="3">
        <v>2017</v>
      </c>
      <c r="I78" s="2">
        <v>0</v>
      </c>
      <c r="J78" s="3">
        <v>2017</v>
      </c>
      <c r="K78" s="3">
        <v>3106</v>
      </c>
      <c r="L78" s="4">
        <v>1.7399999999999999E-2</v>
      </c>
      <c r="N78" s="5" t="s">
        <v>36</v>
      </c>
      <c r="O78" s="5">
        <f>(E78+E79)/12*8760/1000/(G78+G79)</f>
        <v>1.0181522693997072</v>
      </c>
    </row>
    <row r="79" spans="1:15" x14ac:dyDescent="0.2">
      <c r="A79" s="2" t="s">
        <v>85</v>
      </c>
      <c r="B79" s="3">
        <v>1937</v>
      </c>
      <c r="C79" s="3">
        <v>2073</v>
      </c>
      <c r="D79" s="3">
        <v>2257</v>
      </c>
      <c r="E79" s="3">
        <v>2089</v>
      </c>
      <c r="F79" s="2">
        <v>1.0895999999999999</v>
      </c>
      <c r="G79" s="3">
        <v>1521</v>
      </c>
      <c r="H79" s="3">
        <v>1731</v>
      </c>
      <c r="I79" s="2">
        <v>0</v>
      </c>
      <c r="J79" s="3">
        <v>1731</v>
      </c>
      <c r="K79" s="3">
        <v>2590</v>
      </c>
      <c r="L79" s="4">
        <v>1.4500000000000001E-2</v>
      </c>
    </row>
    <row r="80" spans="1:15" x14ac:dyDescent="0.2">
      <c r="A80" s="2" t="s">
        <v>86</v>
      </c>
      <c r="B80" s="3">
        <v>1072</v>
      </c>
      <c r="C80" s="2">
        <v>655</v>
      </c>
      <c r="D80" s="2">
        <v>537</v>
      </c>
      <c r="E80" s="2">
        <v>755</v>
      </c>
      <c r="F80" s="2">
        <v>1.0938000000000001</v>
      </c>
      <c r="G80" s="2">
        <v>564</v>
      </c>
      <c r="H80" s="2">
        <v>444</v>
      </c>
      <c r="I80" s="2">
        <v>0</v>
      </c>
      <c r="J80" s="2">
        <v>444</v>
      </c>
      <c r="K80" s="2">
        <v>649</v>
      </c>
      <c r="L80" s="4">
        <v>3.5999999999999999E-3</v>
      </c>
      <c r="N80" s="5" t="s">
        <v>38</v>
      </c>
      <c r="O80" s="5">
        <f>E80/12*8760/1000/G80</f>
        <v>0.97721631205673753</v>
      </c>
    </row>
    <row r="81" spans="1:15" x14ac:dyDescent="0.2">
      <c r="A81" s="10">
        <v>2025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5" x14ac:dyDescent="0.2">
      <c r="A82" s="1" t="s">
        <v>61</v>
      </c>
      <c r="B82" s="1">
        <v>2020</v>
      </c>
      <c r="C82" s="1">
        <v>2021</v>
      </c>
      <c r="D82" s="1">
        <v>2022</v>
      </c>
      <c r="E82" s="1" t="s">
        <v>87</v>
      </c>
      <c r="F82" s="1" t="s">
        <v>88</v>
      </c>
      <c r="G82" s="1" t="s">
        <v>89</v>
      </c>
      <c r="H82" s="1" t="s">
        <v>90</v>
      </c>
      <c r="I82" s="1" t="s">
        <v>91</v>
      </c>
      <c r="J82" s="1" t="s">
        <v>92</v>
      </c>
      <c r="K82" s="1" t="s">
        <v>93</v>
      </c>
      <c r="L82" s="1" t="s">
        <v>94</v>
      </c>
    </row>
    <row r="83" spans="1:15" x14ac:dyDescent="0.2">
      <c r="A83" s="2" t="s">
        <v>73</v>
      </c>
      <c r="B83" s="3">
        <v>86529</v>
      </c>
      <c r="C83" s="3">
        <v>73292</v>
      </c>
      <c r="D83" s="3">
        <v>78496</v>
      </c>
      <c r="E83" s="3">
        <v>79439</v>
      </c>
      <c r="F83" s="2">
        <v>1.0685</v>
      </c>
      <c r="G83" s="3">
        <v>31528</v>
      </c>
      <c r="H83" s="3">
        <v>28909</v>
      </c>
      <c r="I83" s="2">
        <v>0</v>
      </c>
      <c r="J83" s="3">
        <v>28909</v>
      </c>
      <c r="K83" s="3">
        <v>77831</v>
      </c>
      <c r="L83" s="4">
        <v>0.45040000000000002</v>
      </c>
      <c r="N83" s="5" t="s">
        <v>9</v>
      </c>
      <c r="O83" s="5">
        <f>E83/12*8760/1000/G83</f>
        <v>1.8393323395077392</v>
      </c>
    </row>
    <row r="84" spans="1:15" x14ac:dyDescent="0.2">
      <c r="A84" s="2" t="s">
        <v>74</v>
      </c>
      <c r="B84" s="3">
        <v>10575</v>
      </c>
      <c r="C84" s="3">
        <v>11381</v>
      </c>
      <c r="D84" s="3">
        <v>11016</v>
      </c>
      <c r="E84" s="3">
        <v>10991</v>
      </c>
      <c r="F84" s="2">
        <v>1.0664</v>
      </c>
      <c r="G84" s="3">
        <v>5777</v>
      </c>
      <c r="H84" s="3">
        <v>5999</v>
      </c>
      <c r="I84" s="2">
        <v>0</v>
      </c>
      <c r="J84" s="3">
        <v>5999</v>
      </c>
      <c r="K84" s="3">
        <v>12170</v>
      </c>
      <c r="L84" s="4">
        <v>7.0400000000000004E-2</v>
      </c>
      <c r="N84" s="5" t="s">
        <v>33</v>
      </c>
      <c r="O84" s="5">
        <f>(E84+E86+E87+E88+E89)/12*8760/1000/(G84+G86+G87+G88+G89)</f>
        <v>1.2842667100911915</v>
      </c>
    </row>
    <row r="85" spans="1:15" x14ac:dyDescent="0.2">
      <c r="A85" s="2" t="s">
        <v>75</v>
      </c>
      <c r="B85" s="2">
        <v>75</v>
      </c>
      <c r="C85" s="2">
        <v>73</v>
      </c>
      <c r="D85" s="2">
        <v>77</v>
      </c>
      <c r="E85" s="2">
        <v>75</v>
      </c>
      <c r="F85" s="2">
        <v>1.0642</v>
      </c>
      <c r="G85" s="2">
        <v>57</v>
      </c>
      <c r="H85" s="2">
        <v>53</v>
      </c>
      <c r="I85" s="2">
        <v>0</v>
      </c>
      <c r="J85" s="2">
        <v>53</v>
      </c>
      <c r="K85" s="2">
        <v>75</v>
      </c>
      <c r="L85" s="4">
        <v>4.0000000000000002E-4</v>
      </c>
      <c r="N85" s="5" t="s">
        <v>37</v>
      </c>
      <c r="O85" s="5">
        <f>(E85+E91+E92+E93)/12*8760/1000/(G85+G91+G92+G93)</f>
        <v>0.98659188034188039</v>
      </c>
    </row>
    <row r="86" spans="1:15" x14ac:dyDescent="0.2">
      <c r="A86" s="2" t="s">
        <v>76</v>
      </c>
      <c r="B86" s="3">
        <v>24814</v>
      </c>
      <c r="C86" s="3">
        <v>25954</v>
      </c>
      <c r="D86" s="3">
        <v>25474</v>
      </c>
      <c r="E86" s="3">
        <v>25414</v>
      </c>
      <c r="F86" s="2">
        <v>1.0665</v>
      </c>
      <c r="G86" s="3">
        <v>13485</v>
      </c>
      <c r="H86" s="3">
        <v>13352</v>
      </c>
      <c r="I86" s="2">
        <v>0</v>
      </c>
      <c r="J86" s="3">
        <v>13352</v>
      </c>
      <c r="K86" s="3">
        <v>26836</v>
      </c>
      <c r="L86" s="4">
        <v>0.15529999999999999</v>
      </c>
    </row>
    <row r="87" spans="1:15" x14ac:dyDescent="0.2">
      <c r="A87" s="2" t="s">
        <v>77</v>
      </c>
      <c r="B87" s="3">
        <v>12741</v>
      </c>
      <c r="C87" s="3">
        <v>13223</v>
      </c>
      <c r="D87" s="3">
        <v>13086</v>
      </c>
      <c r="E87" s="3">
        <v>13017</v>
      </c>
      <c r="F87" s="2">
        <v>1.0650999999999999</v>
      </c>
      <c r="G87" s="3">
        <v>7426</v>
      </c>
      <c r="H87" s="3">
        <v>7738</v>
      </c>
      <c r="I87" s="2">
        <v>0</v>
      </c>
      <c r="J87" s="3">
        <v>7738</v>
      </c>
      <c r="K87" s="3">
        <v>14446</v>
      </c>
      <c r="L87" s="4">
        <v>8.3599999999999994E-2</v>
      </c>
    </row>
    <row r="88" spans="1:15" x14ac:dyDescent="0.2">
      <c r="A88" s="2" t="s">
        <v>78</v>
      </c>
      <c r="B88" s="3">
        <v>11784</v>
      </c>
      <c r="C88" s="3">
        <v>12184</v>
      </c>
      <c r="D88" s="3">
        <v>12138</v>
      </c>
      <c r="E88" s="3">
        <v>12035</v>
      </c>
      <c r="F88" s="2">
        <v>1.0656000000000001</v>
      </c>
      <c r="G88" s="3">
        <v>7408</v>
      </c>
      <c r="H88" s="3">
        <v>7358</v>
      </c>
      <c r="I88" s="2">
        <v>0</v>
      </c>
      <c r="J88" s="3">
        <v>7358</v>
      </c>
      <c r="K88" s="3">
        <v>12738</v>
      </c>
      <c r="L88" s="4">
        <v>7.3700000000000002E-2</v>
      </c>
    </row>
    <row r="89" spans="1:15" x14ac:dyDescent="0.2">
      <c r="A89" s="2" t="s">
        <v>79</v>
      </c>
      <c r="B89" s="3">
        <v>8405</v>
      </c>
      <c r="C89" s="3">
        <v>9019</v>
      </c>
      <c r="D89" s="3">
        <v>8873</v>
      </c>
      <c r="E89" s="3">
        <v>8766</v>
      </c>
      <c r="F89" s="2">
        <v>1.0416000000000001</v>
      </c>
      <c r="G89" s="3">
        <v>5820</v>
      </c>
      <c r="H89" s="3">
        <v>6280</v>
      </c>
      <c r="I89" s="2">
        <v>0</v>
      </c>
      <c r="J89" s="3">
        <v>6280</v>
      </c>
      <c r="K89" s="3">
        <v>9852</v>
      </c>
      <c r="L89" s="4">
        <v>5.7000000000000002E-2</v>
      </c>
      <c r="N89" s="5" t="s">
        <v>34</v>
      </c>
      <c r="O89" s="5">
        <f>(E89+E90)/12*8760/1000/(G89+G90)</f>
        <v>1.0555058700366411</v>
      </c>
    </row>
    <row r="90" spans="1:15" x14ac:dyDescent="0.2">
      <c r="A90" s="2" t="s">
        <v>80</v>
      </c>
      <c r="B90" s="3">
        <v>10583</v>
      </c>
      <c r="C90" s="3">
        <v>10755</v>
      </c>
      <c r="D90" s="3">
        <v>10373</v>
      </c>
      <c r="E90" s="3">
        <v>10570</v>
      </c>
      <c r="F90" s="2">
        <v>1.0118</v>
      </c>
      <c r="G90" s="3">
        <v>7553</v>
      </c>
      <c r="H90" s="3">
        <v>8076</v>
      </c>
      <c r="I90" s="2">
        <v>0</v>
      </c>
      <c r="J90" s="3">
        <v>8076</v>
      </c>
      <c r="K90" s="3">
        <v>11435</v>
      </c>
      <c r="L90" s="4">
        <v>6.6199999999999995E-2</v>
      </c>
      <c r="N90" s="5" t="s">
        <v>35</v>
      </c>
      <c r="O90" s="5">
        <f>O89</f>
        <v>1.0555058700366411</v>
      </c>
    </row>
    <row r="91" spans="1:15" x14ac:dyDescent="0.2">
      <c r="A91" s="2" t="s">
        <v>81</v>
      </c>
      <c r="B91" s="2">
        <v>112</v>
      </c>
      <c r="C91" s="2">
        <v>114</v>
      </c>
      <c r="D91" s="2">
        <v>103</v>
      </c>
      <c r="E91" s="2">
        <v>110</v>
      </c>
      <c r="F91" s="2">
        <v>1.0656000000000001</v>
      </c>
      <c r="G91" s="2">
        <v>68</v>
      </c>
      <c r="H91" s="2">
        <v>0</v>
      </c>
      <c r="I91" s="2">
        <v>65</v>
      </c>
      <c r="J91" s="2">
        <v>65</v>
      </c>
      <c r="K91" s="2">
        <v>111</v>
      </c>
      <c r="L91" s="4">
        <v>5.9999999999999995E-4</v>
      </c>
    </row>
    <row r="92" spans="1:15" x14ac:dyDescent="0.2">
      <c r="A92" s="2" t="s">
        <v>82</v>
      </c>
      <c r="B92" s="2">
        <v>257</v>
      </c>
      <c r="C92" s="2">
        <v>251</v>
      </c>
      <c r="D92" s="2">
        <v>297</v>
      </c>
      <c r="E92" s="2">
        <v>268</v>
      </c>
      <c r="F92" s="2">
        <v>1.0418000000000001</v>
      </c>
      <c r="G92" s="2">
        <v>179</v>
      </c>
      <c r="H92" s="2">
        <v>0</v>
      </c>
      <c r="I92" s="2">
        <v>172</v>
      </c>
      <c r="J92" s="2">
        <v>172</v>
      </c>
      <c r="K92" s="2">
        <v>269</v>
      </c>
      <c r="L92" s="4">
        <v>1.6000000000000001E-3</v>
      </c>
    </row>
    <row r="93" spans="1:15" x14ac:dyDescent="0.2">
      <c r="A93" s="2" t="s">
        <v>83</v>
      </c>
      <c r="B93" s="2">
        <v>600</v>
      </c>
      <c r="C93" s="2">
        <v>904</v>
      </c>
      <c r="D93" s="2">
        <v>931</v>
      </c>
      <c r="E93" s="2">
        <v>812</v>
      </c>
      <c r="F93" s="2">
        <v>1.0118</v>
      </c>
      <c r="G93" s="2">
        <v>632</v>
      </c>
      <c r="H93" s="2">
        <v>0</v>
      </c>
      <c r="I93" s="2">
        <v>630</v>
      </c>
      <c r="J93" s="2">
        <v>630</v>
      </c>
      <c r="K93" s="2">
        <v>819</v>
      </c>
      <c r="L93" s="4">
        <v>4.7000000000000002E-3</v>
      </c>
    </row>
    <row r="94" spans="1:15" x14ac:dyDescent="0.2">
      <c r="A94" s="2" t="s">
        <v>84</v>
      </c>
      <c r="B94" s="3">
        <v>2729</v>
      </c>
      <c r="C94" s="3">
        <v>2947</v>
      </c>
      <c r="D94" s="3">
        <v>2715</v>
      </c>
      <c r="E94" s="3">
        <v>2797</v>
      </c>
      <c r="F94" s="2">
        <v>1.0662</v>
      </c>
      <c r="G94" s="3">
        <v>2002</v>
      </c>
      <c r="H94" s="3">
        <v>2026</v>
      </c>
      <c r="I94" s="2">
        <v>0</v>
      </c>
      <c r="J94" s="3">
        <v>2026</v>
      </c>
      <c r="K94" s="3">
        <v>3018</v>
      </c>
      <c r="L94" s="4">
        <v>1.7500000000000002E-2</v>
      </c>
      <c r="N94" s="5" t="s">
        <v>36</v>
      </c>
      <c r="O94" s="5">
        <f>(E94+E95)/12*8760/1000/(G94+G95)</f>
        <v>1.011373035566584</v>
      </c>
    </row>
    <row r="95" spans="1:15" x14ac:dyDescent="0.2">
      <c r="A95" s="2" t="s">
        <v>85</v>
      </c>
      <c r="B95" s="3">
        <v>2073</v>
      </c>
      <c r="C95" s="3">
        <v>2257</v>
      </c>
      <c r="D95" s="3">
        <v>2354</v>
      </c>
      <c r="E95" s="3">
        <v>2228</v>
      </c>
      <c r="F95" s="2">
        <v>1.0630999999999999</v>
      </c>
      <c r="G95" s="3">
        <v>1625</v>
      </c>
      <c r="H95" s="3">
        <v>1820</v>
      </c>
      <c r="I95" s="2">
        <v>0</v>
      </c>
      <c r="J95" s="3">
        <v>1820</v>
      </c>
      <c r="K95" s="3">
        <v>2652</v>
      </c>
      <c r="L95" s="4">
        <v>1.5299999999999999E-2</v>
      </c>
    </row>
    <row r="96" spans="1:15" x14ac:dyDescent="0.2">
      <c r="A96" s="2" t="s">
        <v>86</v>
      </c>
      <c r="B96" s="2">
        <v>655</v>
      </c>
      <c r="C96" s="2">
        <v>537</v>
      </c>
      <c r="D96" s="2">
        <v>809</v>
      </c>
      <c r="E96" s="2">
        <v>667</v>
      </c>
      <c r="F96" s="2">
        <v>1.0629</v>
      </c>
      <c r="G96" s="2">
        <v>557</v>
      </c>
      <c r="H96" s="2">
        <v>422</v>
      </c>
      <c r="I96" s="2">
        <v>0</v>
      </c>
      <c r="J96" s="2">
        <v>422</v>
      </c>
      <c r="K96" s="2">
        <v>537</v>
      </c>
      <c r="L96" s="4">
        <v>3.0999999999999999E-3</v>
      </c>
      <c r="N96" s="5" t="s">
        <v>38</v>
      </c>
      <c r="O96" s="5">
        <f>E96/12*8760/1000/G96</f>
        <v>0.87416517055655296</v>
      </c>
    </row>
  </sheetData>
  <mergeCells count="6">
    <mergeCell ref="A81:L81"/>
    <mergeCell ref="A1:L1"/>
    <mergeCell ref="A17:L17"/>
    <mergeCell ref="A33:L33"/>
    <mergeCell ref="A49:L49"/>
    <mergeCell ref="A65:L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F045-CDC5-0D4E-AA91-7EF7E3AC4B77}">
  <dimension ref="A1:M133"/>
  <sheetViews>
    <sheetView tabSelected="1" workbookViewId="0">
      <selection activeCell="M21" sqref="M21"/>
    </sheetView>
  </sheetViews>
  <sheetFormatPr baseColWidth="10" defaultRowHeight="16" x14ac:dyDescent="0.2"/>
  <cols>
    <col min="1" max="1" width="39.1640625" customWidth="1"/>
    <col min="2" max="2" width="19.33203125" customWidth="1"/>
    <col min="3" max="3" width="15.33203125" customWidth="1"/>
    <col min="4" max="4" width="20.6640625" customWidth="1"/>
    <col min="7" max="7" width="12.83203125" customWidth="1"/>
    <col min="8" max="8" width="24.6640625" customWidth="1"/>
    <col min="10" max="10" width="12.83203125" customWidth="1"/>
    <col min="13" max="13" width="10.83203125" style="5"/>
  </cols>
  <sheetData>
    <row r="1" spans="1:13" x14ac:dyDescent="0.2">
      <c r="A1" s="10">
        <v>2020</v>
      </c>
      <c r="B1" s="10"/>
      <c r="C1" s="10"/>
      <c r="D1" s="10"/>
      <c r="E1" s="10"/>
      <c r="F1" s="10"/>
      <c r="G1" s="10"/>
      <c r="H1" s="10"/>
      <c r="I1" s="9"/>
      <c r="J1" s="9"/>
      <c r="K1" s="9"/>
    </row>
    <row r="2" spans="1:13" x14ac:dyDescent="0.2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  <c r="G2" s="1" t="s">
        <v>113</v>
      </c>
      <c r="H2" s="1" t="s">
        <v>114</v>
      </c>
      <c r="K2" s="1" t="s">
        <v>32</v>
      </c>
      <c r="M2" s="8" t="s">
        <v>60</v>
      </c>
    </row>
    <row r="3" spans="1:13" x14ac:dyDescent="0.2">
      <c r="A3" s="2" t="s">
        <v>101</v>
      </c>
      <c r="B3" s="3">
        <v>16611910</v>
      </c>
      <c r="C3" s="2">
        <v>1.0467</v>
      </c>
      <c r="D3" s="3">
        <v>17388375</v>
      </c>
      <c r="E3" s="4">
        <v>0.43390000000000001</v>
      </c>
      <c r="G3" s="2" t="s">
        <v>9</v>
      </c>
      <c r="H3" s="3">
        <v>5716855131</v>
      </c>
      <c r="J3" s="2" t="s">
        <v>9</v>
      </c>
      <c r="K3" s="5">
        <f>B3/12*8760/H3</f>
        <v>2.1212177013621094</v>
      </c>
      <c r="M3" s="5">
        <f>(K3+K25+K47+K69+K91+K114)/6</f>
        <v>2.1073519837637407</v>
      </c>
    </row>
    <row r="4" spans="1:13" x14ac:dyDescent="0.2">
      <c r="A4" s="2" t="s">
        <v>102</v>
      </c>
      <c r="B4" s="3">
        <v>4077436</v>
      </c>
      <c r="C4" s="2">
        <v>1.0467</v>
      </c>
      <c r="D4" s="3">
        <v>4268021</v>
      </c>
      <c r="E4" s="4">
        <v>0.1065</v>
      </c>
      <c r="G4" s="2" t="s">
        <v>115</v>
      </c>
      <c r="H4" s="3">
        <v>2176336912</v>
      </c>
      <c r="J4" s="5" t="s">
        <v>33</v>
      </c>
      <c r="K4" s="5">
        <f>(B4+B9)/12*8760/(H4+H9)</f>
        <v>1.2997432855215532</v>
      </c>
      <c r="M4" s="5">
        <f>(K4+K26+K48+K70+K92+K115)/6</f>
        <v>1.2574383042693507</v>
      </c>
    </row>
    <row r="5" spans="1:13" x14ac:dyDescent="0.2">
      <c r="A5" s="2" t="s">
        <v>103</v>
      </c>
      <c r="B5" s="2"/>
      <c r="C5" s="2"/>
      <c r="D5" s="2"/>
      <c r="E5" s="2"/>
      <c r="J5" s="5" t="s">
        <v>37</v>
      </c>
      <c r="K5" s="5">
        <v>1</v>
      </c>
      <c r="M5" s="5">
        <f>(K5+K27+K49+K71+K93+K116)/6</f>
        <v>1</v>
      </c>
    </row>
    <row r="6" spans="1:13" x14ac:dyDescent="0.2">
      <c r="A6" s="2" t="s">
        <v>104</v>
      </c>
      <c r="B6" s="3">
        <v>11509993</v>
      </c>
      <c r="C6" s="2">
        <v>1.0467</v>
      </c>
      <c r="D6" s="3">
        <v>12047987</v>
      </c>
      <c r="E6" s="4">
        <v>0.30059999999999998</v>
      </c>
      <c r="G6" s="2"/>
      <c r="H6" s="2"/>
    </row>
    <row r="7" spans="1:13" x14ac:dyDescent="0.2">
      <c r="A7" s="2" t="s">
        <v>105</v>
      </c>
      <c r="B7" s="3">
        <v>3707366</v>
      </c>
      <c r="C7" s="2">
        <v>1.0108999999999999</v>
      </c>
      <c r="D7" s="3">
        <v>3747913</v>
      </c>
      <c r="E7" s="4">
        <v>9.35E-2</v>
      </c>
      <c r="G7" s="2"/>
      <c r="H7" s="3"/>
    </row>
    <row r="8" spans="1:13" x14ac:dyDescent="0.2">
      <c r="A8" s="2" t="s">
        <v>106</v>
      </c>
      <c r="B8" s="3">
        <v>1445114</v>
      </c>
      <c r="C8" s="2">
        <v>1.0065</v>
      </c>
      <c r="D8" s="3">
        <v>1454507</v>
      </c>
      <c r="E8" s="4">
        <v>3.6299999999999999E-2</v>
      </c>
      <c r="G8" s="2"/>
      <c r="H8" s="3"/>
    </row>
    <row r="9" spans="1:13" x14ac:dyDescent="0.2">
      <c r="A9" s="2" t="s">
        <v>107</v>
      </c>
      <c r="B9" s="3">
        <v>16662473</v>
      </c>
      <c r="C9" s="2">
        <v>1.0353000000000001</v>
      </c>
      <c r="D9" s="3">
        <v>17250407</v>
      </c>
      <c r="E9" s="4">
        <v>0.43049999999999999</v>
      </c>
      <c r="G9" s="2" t="s">
        <v>116</v>
      </c>
      <c r="H9" s="3">
        <v>9472219952</v>
      </c>
      <c r="J9" s="5" t="s">
        <v>34</v>
      </c>
      <c r="K9" s="5">
        <f>B9/12*8760/H9</f>
        <v>1.2841345905857824</v>
      </c>
      <c r="M9" s="5">
        <f>(K9+K31+K53+K75+K97+K120)/6</f>
        <v>1.2334888893354299</v>
      </c>
    </row>
    <row r="10" spans="1:13" x14ac:dyDescent="0.2">
      <c r="A10" s="2"/>
      <c r="B10" s="2"/>
      <c r="C10" s="2"/>
      <c r="D10" s="2"/>
      <c r="E10" s="2"/>
      <c r="G10" s="2"/>
      <c r="H10" s="2"/>
      <c r="J10" s="5" t="s">
        <v>35</v>
      </c>
      <c r="K10" s="5">
        <f>K9</f>
        <v>1.2841345905857824</v>
      </c>
      <c r="M10" s="5">
        <f>(K10+K32+K54+K76+K98+K121)/6</f>
        <v>1.2334888893354299</v>
      </c>
    </row>
    <row r="11" spans="1:13" x14ac:dyDescent="0.2">
      <c r="A11" s="2" t="s">
        <v>108</v>
      </c>
      <c r="B11" s="2"/>
      <c r="C11" s="2"/>
      <c r="D11" s="2"/>
      <c r="E11" s="2"/>
      <c r="G11" s="2"/>
      <c r="H11" s="2"/>
    </row>
    <row r="12" spans="1:13" x14ac:dyDescent="0.2">
      <c r="A12" s="2" t="s">
        <v>104</v>
      </c>
      <c r="B12" s="3">
        <v>351102</v>
      </c>
      <c r="C12" s="2">
        <v>1.0467</v>
      </c>
      <c r="D12" s="3">
        <v>367513</v>
      </c>
      <c r="E12" s="4">
        <v>9.1999999999999998E-3</v>
      </c>
      <c r="G12" s="2"/>
      <c r="H12" s="2"/>
    </row>
    <row r="13" spans="1:13" x14ac:dyDescent="0.2">
      <c r="A13" s="2" t="s">
        <v>105</v>
      </c>
      <c r="B13" s="3">
        <v>62261</v>
      </c>
      <c r="C13" s="2">
        <v>1.0108999999999999</v>
      </c>
      <c r="D13" s="3">
        <v>62942</v>
      </c>
      <c r="E13" s="4">
        <v>1.6000000000000001E-3</v>
      </c>
      <c r="G13" s="2"/>
      <c r="H13" s="3"/>
    </row>
    <row r="14" spans="1:13" x14ac:dyDescent="0.2">
      <c r="A14" s="2" t="s">
        <v>106</v>
      </c>
      <c r="B14" s="2" t="s">
        <v>109</v>
      </c>
      <c r="C14" s="2">
        <v>1.0065</v>
      </c>
      <c r="D14" s="2" t="s">
        <v>109</v>
      </c>
      <c r="E14" s="4">
        <v>0</v>
      </c>
      <c r="G14" s="2"/>
      <c r="H14" s="3"/>
    </row>
    <row r="15" spans="1:13" x14ac:dyDescent="0.2">
      <c r="A15" s="2" t="s">
        <v>110</v>
      </c>
      <c r="B15" s="3">
        <v>413363</v>
      </c>
      <c r="C15" s="2">
        <v>1.0412999999999999</v>
      </c>
      <c r="D15" s="3">
        <v>430455</v>
      </c>
      <c r="E15" s="4">
        <v>1.0699999999999999E-2</v>
      </c>
      <c r="G15" s="2" t="s">
        <v>108</v>
      </c>
      <c r="H15" s="3">
        <v>212544363</v>
      </c>
      <c r="J15" s="5" t="s">
        <v>36</v>
      </c>
      <c r="K15" s="5">
        <f>B15/12*8760/H15</f>
        <v>1.419727090104008</v>
      </c>
      <c r="M15" s="5">
        <f>(K15+K37+K59+K81+K103+K126)/6</f>
        <v>1.3658792077843753</v>
      </c>
    </row>
    <row r="16" spans="1:13" x14ac:dyDescent="0.2">
      <c r="A16" s="2"/>
      <c r="B16" s="2"/>
      <c r="C16" s="2"/>
      <c r="D16" s="2"/>
      <c r="E16" s="2"/>
      <c r="G16" s="2"/>
      <c r="H16" s="2"/>
    </row>
    <row r="17" spans="1:13" x14ac:dyDescent="0.2">
      <c r="A17" s="2" t="s">
        <v>86</v>
      </c>
      <c r="B17" s="3">
        <v>105366</v>
      </c>
      <c r="C17" s="2">
        <v>1.0467</v>
      </c>
      <c r="D17" s="3">
        <v>110291</v>
      </c>
      <c r="E17" s="4">
        <v>2.8E-3</v>
      </c>
      <c r="G17" s="2" t="s">
        <v>86</v>
      </c>
      <c r="H17" s="3">
        <v>85800427</v>
      </c>
      <c r="J17" s="5" t="s">
        <v>38</v>
      </c>
      <c r="K17" s="5">
        <f>B17/12*8760/H17</f>
        <v>0.89646616793643696</v>
      </c>
      <c r="M17" s="5">
        <f>(K17+K39+K61+K83+K105+K128)/6</f>
        <v>1.0670228286069159</v>
      </c>
    </row>
    <row r="18" spans="1:13" x14ac:dyDescent="0.2">
      <c r="A18" s="2" t="s">
        <v>111</v>
      </c>
      <c r="B18" s="2"/>
      <c r="C18" s="2"/>
      <c r="D18" s="2"/>
      <c r="E18" s="2"/>
      <c r="G18" s="2"/>
      <c r="H18" s="2"/>
    </row>
    <row r="19" spans="1:13" x14ac:dyDescent="0.2">
      <c r="A19" s="2" t="s">
        <v>104</v>
      </c>
      <c r="B19" s="3">
        <v>35194</v>
      </c>
      <c r="C19" s="2">
        <v>1.0467</v>
      </c>
      <c r="D19" s="3">
        <v>36839</v>
      </c>
      <c r="E19" s="4">
        <v>8.9999999999999998E-4</v>
      </c>
      <c r="G19" s="2"/>
      <c r="H19" s="3"/>
    </row>
    <row r="20" spans="1:13" x14ac:dyDescent="0.2">
      <c r="A20" s="2" t="s">
        <v>105</v>
      </c>
      <c r="B20" s="3">
        <v>357700</v>
      </c>
      <c r="C20" s="2">
        <v>1.0108999999999999</v>
      </c>
      <c r="D20" s="3">
        <v>361612</v>
      </c>
      <c r="E20" s="4">
        <v>8.9999999999999993E-3</v>
      </c>
      <c r="G20" s="2"/>
      <c r="H20" s="2"/>
    </row>
    <row r="21" spans="1:13" x14ac:dyDescent="0.2">
      <c r="A21" s="2" t="s">
        <v>106</v>
      </c>
      <c r="B21" s="3">
        <v>226022</v>
      </c>
      <c r="C21" s="2">
        <v>1.0065</v>
      </c>
      <c r="D21" s="3">
        <v>227492</v>
      </c>
      <c r="E21" s="4">
        <v>5.7000000000000002E-3</v>
      </c>
      <c r="G21" s="2"/>
      <c r="H21" s="2"/>
    </row>
    <row r="22" spans="1:13" x14ac:dyDescent="0.2">
      <c r="A22" s="2" t="s">
        <v>112</v>
      </c>
      <c r="B22" s="3">
        <v>618916</v>
      </c>
      <c r="C22" s="2">
        <v>1.0114000000000001</v>
      </c>
      <c r="D22" s="3">
        <v>625942</v>
      </c>
      <c r="E22" s="4">
        <v>1.5599999999999999E-2</v>
      </c>
      <c r="G22" s="2"/>
      <c r="H22" s="2"/>
    </row>
    <row r="23" spans="1:13" x14ac:dyDescent="0.2">
      <c r="A23" s="10">
        <v>2021</v>
      </c>
      <c r="B23" s="10"/>
      <c r="C23" s="10"/>
      <c r="D23" s="10"/>
      <c r="E23" s="10"/>
      <c r="F23" s="10"/>
      <c r="G23" s="10"/>
      <c r="H23" s="10"/>
    </row>
    <row r="24" spans="1:13" x14ac:dyDescent="0.2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100</v>
      </c>
      <c r="G24" s="1" t="s">
        <v>113</v>
      </c>
      <c r="H24" s="1" t="s">
        <v>118</v>
      </c>
    </row>
    <row r="25" spans="1:13" x14ac:dyDescent="0.2">
      <c r="A25" s="2" t="s">
        <v>101</v>
      </c>
      <c r="B25" s="3">
        <v>16549690</v>
      </c>
      <c r="C25" s="2">
        <v>1.0462</v>
      </c>
      <c r="D25" s="3">
        <v>17314456</v>
      </c>
      <c r="E25" s="4">
        <v>0.4365</v>
      </c>
      <c r="G25" s="2" t="s">
        <v>9</v>
      </c>
      <c r="H25" s="3">
        <v>5567229358</v>
      </c>
      <c r="J25" s="2" t="s">
        <v>9</v>
      </c>
      <c r="K25" s="5">
        <f>B25/12*8760/H25</f>
        <v>2.1700693330766847</v>
      </c>
    </row>
    <row r="26" spans="1:13" x14ac:dyDescent="0.2">
      <c r="A26" s="2" t="s">
        <v>102</v>
      </c>
      <c r="B26" s="3">
        <v>4015321</v>
      </c>
      <c r="C26" s="2">
        <v>1.0462</v>
      </c>
      <c r="D26" s="3">
        <v>4200870</v>
      </c>
      <c r="E26" s="4">
        <v>0.10589999999999999</v>
      </c>
      <c r="G26" s="2" t="s">
        <v>115</v>
      </c>
      <c r="H26" s="3">
        <v>2171173760</v>
      </c>
      <c r="J26" s="5" t="s">
        <v>33</v>
      </c>
      <c r="K26" s="5">
        <f>(B26+B31)/12*8760/(H26+H31)</f>
        <v>1.2833834684335998</v>
      </c>
    </row>
    <row r="27" spans="1:13" x14ac:dyDescent="0.2">
      <c r="A27" s="2" t="s">
        <v>103</v>
      </c>
      <c r="B27" s="2"/>
      <c r="C27" s="2"/>
      <c r="D27" s="2"/>
      <c r="E27" s="2"/>
      <c r="G27" s="2"/>
      <c r="H27" s="2"/>
      <c r="J27" s="5" t="s">
        <v>37</v>
      </c>
      <c r="K27" s="5">
        <v>1</v>
      </c>
    </row>
    <row r="28" spans="1:13" x14ac:dyDescent="0.2">
      <c r="A28" s="2" t="s">
        <v>104</v>
      </c>
      <c r="B28" s="3">
        <v>11346195</v>
      </c>
      <c r="C28" s="2">
        <v>1.0462</v>
      </c>
      <c r="D28" s="3">
        <v>11870506</v>
      </c>
      <c r="E28" s="4">
        <v>0.29920000000000002</v>
      </c>
    </row>
    <row r="29" spans="1:13" x14ac:dyDescent="0.2">
      <c r="A29" s="2" t="s">
        <v>105</v>
      </c>
      <c r="B29" s="3">
        <v>3654607</v>
      </c>
      <c r="C29" s="2">
        <v>1.0108999999999999</v>
      </c>
      <c r="D29" s="3">
        <v>3694347</v>
      </c>
      <c r="E29" s="4">
        <v>9.3100000000000002E-2</v>
      </c>
      <c r="G29" s="2"/>
      <c r="H29" s="2"/>
    </row>
    <row r="30" spans="1:13" x14ac:dyDescent="0.2">
      <c r="A30" s="2" t="s">
        <v>106</v>
      </c>
      <c r="B30" s="3">
        <v>1424548</v>
      </c>
      <c r="C30" s="2">
        <v>1.0065</v>
      </c>
      <c r="D30" s="3">
        <v>1433808</v>
      </c>
      <c r="E30" s="4">
        <v>3.61E-2</v>
      </c>
      <c r="G30" s="2"/>
      <c r="H30" s="2"/>
    </row>
    <row r="31" spans="1:13" x14ac:dyDescent="0.2">
      <c r="A31" s="2" t="s">
        <v>107</v>
      </c>
      <c r="B31" s="3">
        <v>16425350</v>
      </c>
      <c r="C31" s="2">
        <v>1.0348999999999999</v>
      </c>
      <c r="D31" s="3">
        <v>16998661</v>
      </c>
      <c r="E31" s="4">
        <v>0.42849999999999999</v>
      </c>
      <c r="G31" s="2" t="s">
        <v>116</v>
      </c>
      <c r="H31" s="3">
        <v>9455662799</v>
      </c>
      <c r="J31" s="5" t="s">
        <v>34</v>
      </c>
      <c r="K31" s="5">
        <f>B31/12*8760/H31</f>
        <v>1.2680766811257351</v>
      </c>
    </row>
    <row r="32" spans="1:13" x14ac:dyDescent="0.2">
      <c r="A32" s="2"/>
      <c r="B32" s="2"/>
      <c r="C32" s="2"/>
      <c r="D32" s="2"/>
      <c r="E32" s="2"/>
      <c r="G32" s="2"/>
      <c r="H32" s="2"/>
      <c r="J32" s="5" t="s">
        <v>35</v>
      </c>
      <c r="K32" s="5">
        <f>K31</f>
        <v>1.2680766811257351</v>
      </c>
    </row>
    <row r="33" spans="1:11" x14ac:dyDescent="0.2">
      <c r="A33" s="2" t="s">
        <v>108</v>
      </c>
      <c r="B33" s="2"/>
      <c r="C33" s="2"/>
      <c r="D33" s="2"/>
      <c r="E33" s="2"/>
      <c r="G33" s="2"/>
      <c r="H33" s="2"/>
    </row>
    <row r="34" spans="1:11" x14ac:dyDescent="0.2">
      <c r="A34" s="2" t="s">
        <v>104</v>
      </c>
      <c r="B34" s="3">
        <v>336661</v>
      </c>
      <c r="C34" s="2">
        <v>1.0462</v>
      </c>
      <c r="D34" s="3">
        <v>352218</v>
      </c>
      <c r="E34" s="4">
        <v>8.8999999999999999E-3</v>
      </c>
      <c r="G34" s="2"/>
      <c r="H34" s="2"/>
    </row>
    <row r="35" spans="1:11" x14ac:dyDescent="0.2">
      <c r="A35" s="2" t="s">
        <v>105</v>
      </c>
      <c r="B35" s="3">
        <v>56637</v>
      </c>
      <c r="C35" s="2">
        <v>1.0108999999999999</v>
      </c>
      <c r="D35" s="3">
        <v>57253</v>
      </c>
      <c r="E35" s="4">
        <v>1.4E-3</v>
      </c>
      <c r="G35" s="2"/>
      <c r="H35" s="2"/>
    </row>
    <row r="36" spans="1:11" x14ac:dyDescent="0.2">
      <c r="A36" s="2" t="s">
        <v>106</v>
      </c>
      <c r="B36" s="2" t="s">
        <v>109</v>
      </c>
      <c r="C36" s="2">
        <v>1.0065</v>
      </c>
      <c r="D36" s="2" t="s">
        <v>109</v>
      </c>
      <c r="E36" s="4">
        <v>0</v>
      </c>
      <c r="H36" s="2"/>
    </row>
    <row r="37" spans="1:11" x14ac:dyDescent="0.2">
      <c r="A37" s="2" t="s">
        <v>110</v>
      </c>
      <c r="B37" s="3">
        <v>393298</v>
      </c>
      <c r="C37" s="2">
        <v>1.0410999999999999</v>
      </c>
      <c r="D37" s="3">
        <v>409471</v>
      </c>
      <c r="E37" s="4">
        <v>1.03E-2</v>
      </c>
      <c r="G37" s="2" t="s">
        <v>108</v>
      </c>
      <c r="H37" s="3">
        <v>211996828</v>
      </c>
      <c r="J37" s="5" t="s">
        <v>36</v>
      </c>
      <c r="K37" s="5">
        <f>B37/12*8760/H37</f>
        <v>1.3543011124675883</v>
      </c>
    </row>
    <row r="38" spans="1:11" x14ac:dyDescent="0.2">
      <c r="A38" s="2"/>
      <c r="B38" s="2"/>
      <c r="C38" s="2"/>
      <c r="D38" s="2"/>
      <c r="E38" s="2"/>
      <c r="G38" s="2"/>
    </row>
    <row r="39" spans="1:11" x14ac:dyDescent="0.2">
      <c r="A39" s="2" t="s">
        <v>86</v>
      </c>
      <c r="B39" s="3">
        <v>115970</v>
      </c>
      <c r="C39" s="2">
        <v>1.0462</v>
      </c>
      <c r="D39" s="3">
        <v>121329</v>
      </c>
      <c r="E39" s="4">
        <v>3.0999999999999999E-3</v>
      </c>
      <c r="G39" s="2" t="s">
        <v>86</v>
      </c>
      <c r="H39" s="3">
        <v>84935577</v>
      </c>
      <c r="J39" s="5" t="s">
        <v>38</v>
      </c>
      <c r="K39" s="5">
        <f>B39/12*8760/H39</f>
        <v>0.99673308865612342</v>
      </c>
    </row>
    <row r="40" spans="1:11" x14ac:dyDescent="0.2">
      <c r="A40" s="2" t="s">
        <v>111</v>
      </c>
      <c r="B40" s="2"/>
      <c r="C40" s="2"/>
      <c r="D40" s="2"/>
      <c r="E40" s="2"/>
    </row>
    <row r="41" spans="1:11" x14ac:dyDescent="0.2">
      <c r="A41" s="2" t="s">
        <v>104</v>
      </c>
      <c r="B41" s="3">
        <v>35194</v>
      </c>
      <c r="C41" s="2">
        <v>1.0462</v>
      </c>
      <c r="D41" s="3">
        <v>36820</v>
      </c>
      <c r="E41" s="4">
        <v>8.9999999999999998E-4</v>
      </c>
      <c r="G41" s="2"/>
      <c r="H41" s="2"/>
    </row>
    <row r="42" spans="1:11" x14ac:dyDescent="0.2">
      <c r="A42" s="2" t="s">
        <v>105</v>
      </c>
      <c r="B42" s="3">
        <v>357700</v>
      </c>
      <c r="C42" s="2">
        <v>1.0108999999999999</v>
      </c>
      <c r="D42" s="3">
        <v>361589</v>
      </c>
      <c r="E42" s="4">
        <v>9.1000000000000004E-3</v>
      </c>
      <c r="G42" s="2"/>
      <c r="H42" s="3"/>
    </row>
    <row r="43" spans="1:11" x14ac:dyDescent="0.2">
      <c r="A43" s="2" t="s">
        <v>106</v>
      </c>
      <c r="B43" s="3">
        <v>226022</v>
      </c>
      <c r="C43" s="2">
        <v>1.0065</v>
      </c>
      <c r="D43" s="3">
        <v>227492</v>
      </c>
      <c r="E43" s="4">
        <v>5.7000000000000002E-3</v>
      </c>
      <c r="G43" s="2"/>
      <c r="H43" s="2"/>
    </row>
    <row r="44" spans="1:11" x14ac:dyDescent="0.2">
      <c r="A44" s="2" t="s">
        <v>112</v>
      </c>
      <c r="B44" s="3">
        <v>618916</v>
      </c>
      <c r="C44" s="2">
        <v>1.0113000000000001</v>
      </c>
      <c r="D44" s="3">
        <v>625901</v>
      </c>
      <c r="E44" s="4">
        <v>1.5800000000000002E-2</v>
      </c>
      <c r="G44" s="2"/>
      <c r="H44" s="2"/>
    </row>
    <row r="45" spans="1:11" x14ac:dyDescent="0.2">
      <c r="A45" s="10">
        <v>2022</v>
      </c>
      <c r="B45" s="10"/>
      <c r="C45" s="10"/>
      <c r="D45" s="10"/>
      <c r="E45" s="10"/>
      <c r="F45" s="10"/>
      <c r="G45" s="10"/>
      <c r="H45" s="10"/>
    </row>
    <row r="46" spans="1:11" x14ac:dyDescent="0.2">
      <c r="A46" s="1" t="s">
        <v>96</v>
      </c>
      <c r="B46" s="1" t="s">
        <v>97</v>
      </c>
      <c r="C46" s="1" t="s">
        <v>98</v>
      </c>
      <c r="D46" s="1" t="s">
        <v>99</v>
      </c>
      <c r="E46" s="1" t="s">
        <v>100</v>
      </c>
      <c r="G46" s="1" t="s">
        <v>113</v>
      </c>
      <c r="H46" s="1" t="s">
        <v>120</v>
      </c>
    </row>
    <row r="47" spans="1:11" x14ac:dyDescent="0.2">
      <c r="A47" s="2" t="s">
        <v>101</v>
      </c>
      <c r="B47" s="3">
        <v>16190271</v>
      </c>
      <c r="C47" s="2">
        <v>1.0463</v>
      </c>
      <c r="D47" s="3">
        <v>16939295</v>
      </c>
      <c r="E47" s="4">
        <v>0.4345</v>
      </c>
      <c r="G47" s="2" t="s">
        <v>9</v>
      </c>
      <c r="H47" s="3">
        <v>5189712438</v>
      </c>
      <c r="J47" s="2" t="s">
        <v>9</v>
      </c>
      <c r="K47" s="5">
        <f>B47/12*8760/H47</f>
        <v>2.2773704653575644</v>
      </c>
    </row>
    <row r="48" spans="1:11" x14ac:dyDescent="0.2">
      <c r="A48" s="2" t="s">
        <v>119</v>
      </c>
      <c r="B48" s="3">
        <v>4035702</v>
      </c>
      <c r="C48" s="2">
        <v>1.0463</v>
      </c>
      <c r="D48" s="3">
        <v>4218969</v>
      </c>
      <c r="E48" s="4">
        <v>0.1082</v>
      </c>
      <c r="G48" s="2" t="s">
        <v>115</v>
      </c>
      <c r="H48" s="3">
        <v>2038216150</v>
      </c>
      <c r="J48" s="5" t="s">
        <v>33</v>
      </c>
      <c r="K48" s="5">
        <f>(B48+B53)/12*8760/(H48+H53)</f>
        <v>1.3287121625784775</v>
      </c>
    </row>
    <row r="49" spans="1:11" x14ac:dyDescent="0.2">
      <c r="A49" s="2" t="s">
        <v>103</v>
      </c>
      <c r="B49" s="2"/>
      <c r="C49" s="2"/>
      <c r="D49" s="2"/>
      <c r="E49" s="2"/>
      <c r="H49" s="2"/>
      <c r="J49" s="5" t="s">
        <v>37</v>
      </c>
      <c r="K49" s="5">
        <v>1</v>
      </c>
    </row>
    <row r="50" spans="1:11" x14ac:dyDescent="0.2">
      <c r="A50" s="2" t="s">
        <v>104</v>
      </c>
      <c r="B50" s="3">
        <v>11138874</v>
      </c>
      <c r="C50" s="2">
        <v>1.0463</v>
      </c>
      <c r="D50" s="3">
        <v>11654201</v>
      </c>
      <c r="E50" s="4">
        <v>0.2989</v>
      </c>
      <c r="G50" s="2"/>
    </row>
    <row r="51" spans="1:11" x14ac:dyDescent="0.2">
      <c r="A51" s="2" t="s">
        <v>105</v>
      </c>
      <c r="B51" s="3">
        <v>3587829</v>
      </c>
      <c r="C51" s="2">
        <v>1.0108999999999999</v>
      </c>
      <c r="D51" s="3">
        <v>3626856</v>
      </c>
      <c r="E51" s="4">
        <v>9.2999999999999999E-2</v>
      </c>
      <c r="G51" s="2"/>
      <c r="H51" s="2"/>
    </row>
    <row r="52" spans="1:11" x14ac:dyDescent="0.2">
      <c r="A52" s="2" t="s">
        <v>106</v>
      </c>
      <c r="B52" s="3">
        <v>1398519</v>
      </c>
      <c r="C52" s="2">
        <v>1.0065</v>
      </c>
      <c r="D52" s="3">
        <v>1407609</v>
      </c>
      <c r="E52" s="4">
        <v>3.61E-2</v>
      </c>
      <c r="G52" s="2"/>
      <c r="H52" s="2"/>
    </row>
    <row r="53" spans="1:11" x14ac:dyDescent="0.2">
      <c r="A53" s="2" t="s">
        <v>107</v>
      </c>
      <c r="B53" s="3">
        <v>16125221</v>
      </c>
      <c r="C53" s="2">
        <v>1.0348999999999999</v>
      </c>
      <c r="D53" s="3">
        <v>16688666</v>
      </c>
      <c r="E53" s="4">
        <v>0.42799999999999999</v>
      </c>
      <c r="G53" s="2" t="s">
        <v>116</v>
      </c>
      <c r="H53" s="3">
        <v>9038278974</v>
      </c>
      <c r="J53" s="5" t="s">
        <v>34</v>
      </c>
      <c r="K53" s="5">
        <f>B53/12*8760/H53</f>
        <v>1.3023952196941779</v>
      </c>
    </row>
    <row r="54" spans="1:11" x14ac:dyDescent="0.2">
      <c r="A54" s="2"/>
      <c r="B54" s="2"/>
      <c r="C54" s="2"/>
      <c r="D54" s="2"/>
      <c r="E54" s="2"/>
      <c r="G54" s="2"/>
      <c r="H54" s="2"/>
      <c r="J54" s="5" t="s">
        <v>35</v>
      </c>
      <c r="K54" s="5">
        <f>K53</f>
        <v>1.3023952196941779</v>
      </c>
    </row>
    <row r="55" spans="1:11" x14ac:dyDescent="0.2">
      <c r="A55" s="2" t="s">
        <v>108</v>
      </c>
      <c r="B55" s="2"/>
      <c r="C55" s="2"/>
      <c r="D55" s="2"/>
      <c r="E55" s="2"/>
      <c r="H55" s="2"/>
    </row>
    <row r="56" spans="1:11" x14ac:dyDescent="0.2">
      <c r="A56" s="2" t="s">
        <v>104</v>
      </c>
      <c r="B56" s="3">
        <v>328102</v>
      </c>
      <c r="C56" s="2">
        <v>1.0463</v>
      </c>
      <c r="D56" s="3">
        <v>343281</v>
      </c>
      <c r="E56" s="4">
        <v>8.8000000000000005E-3</v>
      </c>
      <c r="G56" s="2"/>
      <c r="H56" s="3"/>
    </row>
    <row r="57" spans="1:11" x14ac:dyDescent="0.2">
      <c r="A57" s="2" t="s">
        <v>105</v>
      </c>
      <c r="B57" s="3">
        <v>55092</v>
      </c>
      <c r="C57" s="2">
        <v>1.0108999999999999</v>
      </c>
      <c r="D57" s="3">
        <v>55692</v>
      </c>
      <c r="E57" s="4">
        <v>1.4E-3</v>
      </c>
      <c r="G57" s="2"/>
    </row>
    <row r="58" spans="1:11" x14ac:dyDescent="0.2">
      <c r="A58" s="2" t="s">
        <v>106</v>
      </c>
      <c r="B58" s="2" t="s">
        <v>109</v>
      </c>
      <c r="C58" s="2">
        <v>1.0065</v>
      </c>
      <c r="D58" s="2" t="s">
        <v>109</v>
      </c>
      <c r="E58" s="4">
        <v>0</v>
      </c>
      <c r="G58" s="2"/>
      <c r="H58" s="3"/>
    </row>
    <row r="59" spans="1:11" x14ac:dyDescent="0.2">
      <c r="A59" s="2" t="s">
        <v>110</v>
      </c>
      <c r="B59" s="3">
        <v>383194</v>
      </c>
      <c r="C59" s="2">
        <v>1.0411999999999999</v>
      </c>
      <c r="D59" s="3">
        <v>398973</v>
      </c>
      <c r="E59" s="4">
        <v>1.0200000000000001E-2</v>
      </c>
      <c r="G59" s="2" t="s">
        <v>108</v>
      </c>
      <c r="H59" s="3">
        <v>199188962</v>
      </c>
      <c r="J59" s="5" t="s">
        <v>36</v>
      </c>
      <c r="K59" s="5">
        <f>B59/12*8760/H59</f>
        <v>1.4043530183163462</v>
      </c>
    </row>
    <row r="60" spans="1:11" x14ac:dyDescent="0.2">
      <c r="A60" s="2"/>
      <c r="B60" s="2"/>
      <c r="C60" s="2"/>
      <c r="D60" s="2"/>
      <c r="E60" s="2"/>
      <c r="G60" s="2"/>
      <c r="H60" s="2"/>
    </row>
    <row r="61" spans="1:11" x14ac:dyDescent="0.2">
      <c r="A61" s="2" t="s">
        <v>86</v>
      </c>
      <c r="B61" s="3">
        <v>122317</v>
      </c>
      <c r="C61" s="2">
        <v>1.0463</v>
      </c>
      <c r="D61" s="3">
        <v>127976</v>
      </c>
      <c r="E61" s="4">
        <v>3.3E-3</v>
      </c>
      <c r="G61" s="2" t="s">
        <v>86</v>
      </c>
      <c r="H61" s="3">
        <v>82670007</v>
      </c>
      <c r="J61" s="5" t="s">
        <v>38</v>
      </c>
      <c r="K61" s="5">
        <f>B61/12*8760/H61</f>
        <v>1.0800943805411798</v>
      </c>
    </row>
    <row r="62" spans="1:11" x14ac:dyDescent="0.2">
      <c r="A62" s="2" t="s">
        <v>111</v>
      </c>
      <c r="B62" s="2"/>
      <c r="C62" s="2"/>
      <c r="D62" s="2"/>
      <c r="E62" s="2"/>
    </row>
    <row r="63" spans="1:11" x14ac:dyDescent="0.2">
      <c r="A63" s="2" t="s">
        <v>104</v>
      </c>
      <c r="B63" s="3">
        <v>32902</v>
      </c>
      <c r="C63" s="2">
        <v>1.0463</v>
      </c>
      <c r="D63" s="3">
        <v>34424</v>
      </c>
      <c r="E63" s="4">
        <v>8.9999999999999998E-4</v>
      </c>
    </row>
    <row r="64" spans="1:11" x14ac:dyDescent="0.2">
      <c r="A64" s="2" t="s">
        <v>105</v>
      </c>
      <c r="B64" s="3">
        <v>339671</v>
      </c>
      <c r="C64" s="2">
        <v>1.0108999999999999</v>
      </c>
      <c r="D64" s="3">
        <v>343366</v>
      </c>
      <c r="E64" s="4">
        <v>8.8000000000000005E-3</v>
      </c>
    </row>
    <row r="65" spans="1:11" x14ac:dyDescent="0.2">
      <c r="A65" s="2" t="s">
        <v>106</v>
      </c>
      <c r="B65" s="3">
        <v>232978</v>
      </c>
      <c r="C65" s="2">
        <v>1.0065</v>
      </c>
      <c r="D65" s="3">
        <v>234492</v>
      </c>
      <c r="E65" s="4">
        <v>6.0000000000000001E-3</v>
      </c>
    </row>
    <row r="66" spans="1:11" x14ac:dyDescent="0.2">
      <c r="A66" s="2" t="s">
        <v>112</v>
      </c>
      <c r="B66" s="3">
        <v>605551</v>
      </c>
      <c r="C66" s="2">
        <v>1.0111000000000001</v>
      </c>
      <c r="D66" s="3">
        <v>612282</v>
      </c>
      <c r="E66" s="4">
        <v>1.5699999999999999E-2</v>
      </c>
    </row>
    <row r="67" spans="1:11" x14ac:dyDescent="0.2">
      <c r="A67" s="10">
        <v>2023</v>
      </c>
      <c r="B67" s="10"/>
      <c r="C67" s="10"/>
      <c r="D67" s="10"/>
      <c r="E67" s="10"/>
      <c r="F67" s="10"/>
      <c r="G67" s="10"/>
      <c r="H67" s="10"/>
    </row>
    <row r="68" spans="1:11" x14ac:dyDescent="0.2">
      <c r="A68" s="1" t="s">
        <v>96</v>
      </c>
      <c r="B68" s="1" t="s">
        <v>97</v>
      </c>
      <c r="C68" s="1" t="s">
        <v>98</v>
      </c>
      <c r="D68" s="1" t="s">
        <v>99</v>
      </c>
      <c r="E68" s="1" t="s">
        <v>100</v>
      </c>
      <c r="G68" s="1" t="s">
        <v>113</v>
      </c>
      <c r="H68" s="1" t="s">
        <v>120</v>
      </c>
    </row>
    <row r="69" spans="1:11" x14ac:dyDescent="0.2">
      <c r="A69" s="2" t="s">
        <v>101</v>
      </c>
      <c r="B69" s="3">
        <v>16509648</v>
      </c>
      <c r="C69" s="2">
        <v>1.0461</v>
      </c>
      <c r="D69" s="3">
        <v>17270947</v>
      </c>
      <c r="E69" s="4">
        <v>0.44900000000000001</v>
      </c>
      <c r="G69" s="2" t="s">
        <v>9</v>
      </c>
      <c r="H69" s="3">
        <v>5815899752</v>
      </c>
      <c r="J69" s="2" t="s">
        <v>9</v>
      </c>
      <c r="K69" s="5">
        <f>B69/12*8760/H69</f>
        <v>2.0722576993964665</v>
      </c>
    </row>
    <row r="70" spans="1:11" x14ac:dyDescent="0.2">
      <c r="A70" s="2" t="s">
        <v>102</v>
      </c>
      <c r="B70" s="3">
        <v>3994446</v>
      </c>
      <c r="C70" s="2">
        <v>1.0461</v>
      </c>
      <c r="D70" s="3">
        <v>4178639</v>
      </c>
      <c r="E70" s="4">
        <v>0.1086</v>
      </c>
      <c r="G70" s="2" t="s">
        <v>115</v>
      </c>
      <c r="H70" s="3">
        <v>1972020175</v>
      </c>
      <c r="J70" s="5" t="s">
        <v>33</v>
      </c>
      <c r="K70" s="5">
        <f>(B70+B75)/12*8760/(H70+H75)</f>
        <v>1.3154330017241251</v>
      </c>
    </row>
    <row r="71" spans="1:11" x14ac:dyDescent="0.2">
      <c r="A71" s="2" t="s">
        <v>103</v>
      </c>
      <c r="B71" s="2"/>
      <c r="C71" s="2"/>
      <c r="D71" s="2"/>
      <c r="E71" s="2"/>
      <c r="H71" s="2"/>
      <c r="J71" s="5" t="s">
        <v>37</v>
      </c>
      <c r="K71" s="5">
        <v>1</v>
      </c>
    </row>
    <row r="72" spans="1:11" x14ac:dyDescent="0.2">
      <c r="A72" s="2" t="s">
        <v>104</v>
      </c>
      <c r="B72" s="3">
        <v>10607726</v>
      </c>
      <c r="C72" s="2">
        <v>1.0461</v>
      </c>
      <c r="D72" s="3">
        <v>11096874</v>
      </c>
      <c r="E72" s="4">
        <v>0.28849999999999998</v>
      </c>
      <c r="G72" s="2"/>
    </row>
    <row r="73" spans="1:11" x14ac:dyDescent="0.2">
      <c r="A73" s="2" t="s">
        <v>105</v>
      </c>
      <c r="B73" s="3">
        <v>3416746</v>
      </c>
      <c r="C73" s="2">
        <v>1.0108999999999999</v>
      </c>
      <c r="D73" s="3">
        <v>3453853</v>
      </c>
      <c r="E73" s="4">
        <v>8.9800000000000005E-2</v>
      </c>
      <c r="G73" s="2"/>
      <c r="H73" s="2"/>
    </row>
    <row r="74" spans="1:11" x14ac:dyDescent="0.2">
      <c r="A74" s="2" t="s">
        <v>106</v>
      </c>
      <c r="B74" s="3">
        <v>1331831</v>
      </c>
      <c r="C74" s="2">
        <v>1.0065</v>
      </c>
      <c r="D74" s="3">
        <v>1340488</v>
      </c>
      <c r="E74" s="4">
        <v>3.49E-2</v>
      </c>
      <c r="G74" s="2"/>
      <c r="H74" s="2"/>
    </row>
    <row r="75" spans="1:11" x14ac:dyDescent="0.2">
      <c r="A75" s="2" t="s">
        <v>107</v>
      </c>
      <c r="B75" s="3">
        <v>15356304</v>
      </c>
      <c r="C75" s="2">
        <v>1.0347999999999999</v>
      </c>
      <c r="D75" s="3">
        <v>15891216</v>
      </c>
      <c r="E75" s="4">
        <v>0.41320000000000001</v>
      </c>
      <c r="G75" s="2" t="s">
        <v>116</v>
      </c>
      <c r="H75" s="3">
        <v>8766685241</v>
      </c>
      <c r="J75" s="5" t="s">
        <v>34</v>
      </c>
      <c r="K75" s="5">
        <f>B75/12*8760/H75</f>
        <v>1.2787161409163681</v>
      </c>
    </row>
    <row r="76" spans="1:11" x14ac:dyDescent="0.2">
      <c r="A76" s="2"/>
      <c r="B76" s="2"/>
      <c r="C76" s="2"/>
      <c r="D76" s="2"/>
      <c r="E76" s="2"/>
      <c r="G76" s="2"/>
      <c r="H76" s="2"/>
      <c r="J76" s="5" t="s">
        <v>35</v>
      </c>
      <c r="K76" s="5">
        <f>K75</f>
        <v>1.2787161409163681</v>
      </c>
    </row>
    <row r="77" spans="1:11" x14ac:dyDescent="0.2">
      <c r="A77" s="2" t="s">
        <v>108</v>
      </c>
      <c r="B77" s="2"/>
      <c r="C77" s="2"/>
      <c r="D77" s="2"/>
      <c r="E77" s="2"/>
      <c r="G77" s="2"/>
      <c r="H77" s="3"/>
    </row>
    <row r="78" spans="1:11" x14ac:dyDescent="0.2">
      <c r="A78" s="2" t="s">
        <v>104</v>
      </c>
      <c r="B78" s="3">
        <v>326843</v>
      </c>
      <c r="C78" s="2">
        <v>1.0461</v>
      </c>
      <c r="D78" s="3">
        <v>341915</v>
      </c>
      <c r="E78" s="4">
        <v>8.8999999999999999E-3</v>
      </c>
      <c r="G78" s="2"/>
      <c r="H78" s="2"/>
    </row>
    <row r="79" spans="1:11" x14ac:dyDescent="0.2">
      <c r="A79" s="2" t="s">
        <v>105</v>
      </c>
      <c r="B79" s="3">
        <v>53409</v>
      </c>
      <c r="C79" s="2">
        <v>1.0108999999999999</v>
      </c>
      <c r="D79" s="3">
        <v>53989</v>
      </c>
      <c r="E79" s="4">
        <v>1.4E-3</v>
      </c>
      <c r="G79" s="2"/>
      <c r="H79" s="2"/>
    </row>
    <row r="80" spans="1:11" x14ac:dyDescent="0.2">
      <c r="A80" s="2" t="s">
        <v>106</v>
      </c>
      <c r="B80" s="2" t="s">
        <v>109</v>
      </c>
      <c r="C80" s="2">
        <v>1.0065</v>
      </c>
      <c r="D80" s="2" t="s">
        <v>109</v>
      </c>
      <c r="E80" s="4">
        <v>0</v>
      </c>
      <c r="G80" s="2" t="s">
        <v>117</v>
      </c>
      <c r="H80" s="3">
        <v>135275984</v>
      </c>
    </row>
    <row r="81" spans="1:11" x14ac:dyDescent="0.2">
      <c r="A81" s="2" t="s">
        <v>110</v>
      </c>
      <c r="B81" s="3">
        <v>380252</v>
      </c>
      <c r="C81" s="2">
        <v>1.0411999999999999</v>
      </c>
      <c r="D81" s="3">
        <v>395904</v>
      </c>
      <c r="E81" s="4">
        <v>1.03E-2</v>
      </c>
      <c r="G81" s="2" t="s">
        <v>108</v>
      </c>
      <c r="H81" s="3">
        <v>187435447</v>
      </c>
      <c r="J81" s="5" t="s">
        <v>36</v>
      </c>
      <c r="K81" s="5">
        <f>B81/12*8760/H81</f>
        <v>1.4809576547172532</v>
      </c>
    </row>
    <row r="82" spans="1:11" x14ac:dyDescent="0.2">
      <c r="A82" s="2"/>
      <c r="B82" s="2"/>
      <c r="C82" s="2"/>
      <c r="D82" s="2"/>
      <c r="E82" s="2"/>
    </row>
    <row r="83" spans="1:11" x14ac:dyDescent="0.2">
      <c r="A83" s="2" t="s">
        <v>86</v>
      </c>
      <c r="B83" s="3">
        <v>126163</v>
      </c>
      <c r="C83" s="2">
        <v>1.0461</v>
      </c>
      <c r="D83" s="3">
        <v>131981</v>
      </c>
      <c r="E83" s="4">
        <v>3.3999999999999998E-3</v>
      </c>
      <c r="G83" s="2" t="s">
        <v>86</v>
      </c>
      <c r="H83" s="3">
        <v>78329120</v>
      </c>
      <c r="J83" s="5" t="s">
        <v>38</v>
      </c>
      <c r="K83" s="5">
        <f>B83/12*8760/H83</f>
        <v>1.175795029996507</v>
      </c>
    </row>
    <row r="84" spans="1:11" x14ac:dyDescent="0.2">
      <c r="A84" s="2" t="s">
        <v>111</v>
      </c>
      <c r="B84" s="2"/>
      <c r="C84" s="2"/>
      <c r="D84" s="2"/>
      <c r="E84" s="2"/>
      <c r="G84" s="2"/>
      <c r="H84" s="2"/>
    </row>
    <row r="85" spans="1:11" x14ac:dyDescent="0.2">
      <c r="A85" s="2" t="s">
        <v>104</v>
      </c>
      <c r="B85" s="3">
        <v>32927</v>
      </c>
      <c r="C85" s="2">
        <v>1.0461</v>
      </c>
      <c r="D85" s="3">
        <v>34445</v>
      </c>
      <c r="E85" s="4">
        <v>8.9999999999999998E-4</v>
      </c>
      <c r="G85" s="2"/>
      <c r="H85" s="3"/>
    </row>
    <row r="86" spans="1:11" x14ac:dyDescent="0.2">
      <c r="A86" s="2" t="s">
        <v>105</v>
      </c>
      <c r="B86" s="3">
        <v>305237</v>
      </c>
      <c r="C86" s="2">
        <v>1.0108999999999999</v>
      </c>
      <c r="D86" s="3">
        <v>308552</v>
      </c>
      <c r="E86" s="4">
        <v>8.0000000000000002E-3</v>
      </c>
    </row>
    <row r="87" spans="1:11" x14ac:dyDescent="0.2">
      <c r="A87" s="2" t="s">
        <v>106</v>
      </c>
      <c r="B87" s="3">
        <v>246743</v>
      </c>
      <c r="C87" s="2">
        <v>1.0065</v>
      </c>
      <c r="D87" s="3">
        <v>248347</v>
      </c>
      <c r="E87" s="4">
        <v>6.4999999999999997E-3</v>
      </c>
    </row>
    <row r="88" spans="1:11" x14ac:dyDescent="0.2">
      <c r="A88" s="2" t="s">
        <v>112</v>
      </c>
      <c r="B88" s="3">
        <v>584907</v>
      </c>
      <c r="C88" s="2">
        <v>1.0109999999999999</v>
      </c>
      <c r="D88" s="3">
        <v>591344</v>
      </c>
      <c r="E88" s="4">
        <v>1.54E-2</v>
      </c>
    </row>
    <row r="89" spans="1:11" x14ac:dyDescent="0.2">
      <c r="A89" s="10">
        <v>2024</v>
      </c>
      <c r="B89" s="10"/>
      <c r="C89" s="10"/>
      <c r="D89" s="10"/>
      <c r="E89" s="10"/>
      <c r="F89" s="10"/>
      <c r="G89" s="10"/>
      <c r="H89" s="10"/>
    </row>
    <row r="90" spans="1:11" x14ac:dyDescent="0.2">
      <c r="A90" s="1" t="s">
        <v>96</v>
      </c>
      <c r="B90" s="1" t="s">
        <v>97</v>
      </c>
      <c r="C90" s="1" t="s">
        <v>98</v>
      </c>
      <c r="D90" s="1" t="s">
        <v>121</v>
      </c>
      <c r="E90" s="1" t="s">
        <v>100</v>
      </c>
      <c r="G90" s="1" t="s">
        <v>113</v>
      </c>
      <c r="H90" s="1" t="s">
        <v>122</v>
      </c>
    </row>
    <row r="91" spans="1:11" x14ac:dyDescent="0.2">
      <c r="A91" s="2" t="s">
        <v>101</v>
      </c>
      <c r="B91" s="3">
        <v>16297968</v>
      </c>
      <c r="C91" s="2">
        <v>1.0467</v>
      </c>
      <c r="D91" s="3">
        <v>17059359</v>
      </c>
      <c r="E91" s="4">
        <v>0.45300000000000001</v>
      </c>
      <c r="G91" s="2" t="s">
        <v>9</v>
      </c>
      <c r="H91" s="3">
        <v>5911317910</v>
      </c>
      <c r="J91" s="2" t="s">
        <v>9</v>
      </c>
      <c r="K91" s="5">
        <f>B91/12*8760/H91</f>
        <v>2.0126673647298392</v>
      </c>
    </row>
    <row r="92" spans="1:11" x14ac:dyDescent="0.2">
      <c r="A92" s="2" t="s">
        <v>102</v>
      </c>
      <c r="B92" s="3">
        <v>3956932</v>
      </c>
      <c r="C92" s="2">
        <v>1.0467</v>
      </c>
      <c r="D92" s="3">
        <v>4141788</v>
      </c>
      <c r="E92" s="4">
        <v>0.11</v>
      </c>
      <c r="G92" s="2" t="s">
        <v>115</v>
      </c>
      <c r="H92" s="3">
        <v>2263464797</v>
      </c>
      <c r="J92" s="5" t="s">
        <v>33</v>
      </c>
      <c r="K92" s="5">
        <f>(B92+B97)/12*8760/(H92+H97)</f>
        <v>1.1602840980428761</v>
      </c>
    </row>
    <row r="93" spans="1:11" x14ac:dyDescent="0.2">
      <c r="A93" s="2" t="s">
        <v>103</v>
      </c>
      <c r="B93" s="2"/>
      <c r="C93" s="2"/>
      <c r="D93" s="2"/>
      <c r="E93" s="2"/>
      <c r="J93" s="5" t="s">
        <v>37</v>
      </c>
      <c r="K93" s="5">
        <v>1</v>
      </c>
    </row>
    <row r="94" spans="1:11" x14ac:dyDescent="0.2">
      <c r="A94" s="2" t="s">
        <v>104</v>
      </c>
      <c r="B94" s="3">
        <v>10230458</v>
      </c>
      <c r="C94" s="2">
        <v>1.0467</v>
      </c>
      <c r="D94" s="3">
        <v>10708393</v>
      </c>
      <c r="E94" s="4">
        <v>0.28439999999999999</v>
      </c>
      <c r="G94" s="2"/>
      <c r="H94" s="2"/>
    </row>
    <row r="95" spans="1:11" x14ac:dyDescent="0.2">
      <c r="A95" s="2" t="s">
        <v>105</v>
      </c>
      <c r="B95" s="3">
        <v>3295228</v>
      </c>
      <c r="C95" s="2">
        <v>1.0108999999999999</v>
      </c>
      <c r="D95" s="3">
        <v>3331250</v>
      </c>
      <c r="E95" s="4">
        <v>8.8499999999999995E-2</v>
      </c>
    </row>
    <row r="96" spans="1:11" x14ac:dyDescent="0.2">
      <c r="A96" s="2" t="s">
        <v>106</v>
      </c>
      <c r="B96" s="3">
        <v>1284464</v>
      </c>
      <c r="C96" s="2">
        <v>1.0065</v>
      </c>
      <c r="D96" s="3">
        <v>1292813</v>
      </c>
      <c r="E96" s="4">
        <v>3.4299999999999997E-2</v>
      </c>
      <c r="G96" s="2"/>
      <c r="H96" s="2"/>
    </row>
    <row r="97" spans="1:11" x14ac:dyDescent="0.2">
      <c r="A97" s="2" t="s">
        <v>107</v>
      </c>
      <c r="B97" s="3">
        <v>14810150</v>
      </c>
      <c r="C97" s="2">
        <v>1.0353000000000001</v>
      </c>
      <c r="D97" s="3">
        <v>15332457</v>
      </c>
      <c r="E97" s="4">
        <v>0.40720000000000001</v>
      </c>
      <c r="G97" s="2" t="s">
        <v>116</v>
      </c>
      <c r="H97" s="3">
        <v>9543962266</v>
      </c>
      <c r="J97" s="5" t="s">
        <v>34</v>
      </c>
      <c r="K97" s="5">
        <f>B97/12*8760/H97</f>
        <v>1.1328009477274688</v>
      </c>
    </row>
    <row r="98" spans="1:11" x14ac:dyDescent="0.2">
      <c r="A98" s="2"/>
      <c r="B98" s="2"/>
      <c r="C98" s="2"/>
      <c r="D98" s="2"/>
      <c r="E98" s="2"/>
      <c r="G98" s="2"/>
      <c r="H98" s="2"/>
      <c r="J98" s="5" t="s">
        <v>35</v>
      </c>
      <c r="K98" s="5">
        <f>K97</f>
        <v>1.1328009477274688</v>
      </c>
    </row>
    <row r="99" spans="1:11" x14ac:dyDescent="0.2">
      <c r="A99" s="2" t="s">
        <v>108</v>
      </c>
      <c r="B99" s="2"/>
      <c r="C99" s="2"/>
      <c r="D99" s="2"/>
      <c r="E99" s="2"/>
      <c r="G99" s="2"/>
      <c r="H99" s="3"/>
    </row>
    <row r="100" spans="1:11" x14ac:dyDescent="0.2">
      <c r="A100" s="2" t="s">
        <v>104</v>
      </c>
      <c r="B100" s="3">
        <v>331599</v>
      </c>
      <c r="C100" s="2">
        <v>1.0467</v>
      </c>
      <c r="D100" s="3">
        <v>347091</v>
      </c>
      <c r="E100" s="4">
        <v>9.1999999999999998E-3</v>
      </c>
      <c r="G100" s="2"/>
      <c r="H100" s="2"/>
    </row>
    <row r="101" spans="1:11" x14ac:dyDescent="0.2">
      <c r="A101" s="2" t="s">
        <v>105</v>
      </c>
      <c r="B101" s="3">
        <v>51331</v>
      </c>
      <c r="C101" s="2">
        <v>1.0108999999999999</v>
      </c>
      <c r="D101" s="3">
        <v>51892</v>
      </c>
      <c r="E101" s="4">
        <v>1.4E-3</v>
      </c>
      <c r="G101" s="2"/>
      <c r="H101" s="2"/>
    </row>
    <row r="102" spans="1:11" x14ac:dyDescent="0.2">
      <c r="A102" s="2" t="s">
        <v>106</v>
      </c>
      <c r="B102" s="2" t="s">
        <v>109</v>
      </c>
      <c r="C102" s="2">
        <v>1.0065</v>
      </c>
      <c r="D102" s="2" t="s">
        <v>109</v>
      </c>
      <c r="E102" s="4">
        <v>0</v>
      </c>
      <c r="G102" s="2"/>
      <c r="H102" s="2"/>
    </row>
    <row r="103" spans="1:11" x14ac:dyDescent="0.2">
      <c r="A103" s="2" t="s">
        <v>110</v>
      </c>
      <c r="B103" s="3">
        <v>382930</v>
      </c>
      <c r="C103" s="2">
        <v>1.0419</v>
      </c>
      <c r="D103" s="3">
        <v>398982</v>
      </c>
      <c r="E103" s="4">
        <v>1.06E-2</v>
      </c>
      <c r="G103" s="2" t="s">
        <v>108</v>
      </c>
      <c r="H103" s="3">
        <v>221940537</v>
      </c>
      <c r="J103" s="5" t="s">
        <v>36</v>
      </c>
      <c r="K103" s="5">
        <f>B103/12*8760/H103</f>
        <v>1.259521598796528</v>
      </c>
    </row>
    <row r="104" spans="1:11" x14ac:dyDescent="0.2">
      <c r="A104" s="2"/>
      <c r="B104" s="2"/>
      <c r="C104" s="2"/>
      <c r="D104" s="2"/>
      <c r="E104" s="2"/>
      <c r="G104" s="2"/>
      <c r="H104" s="3"/>
    </row>
    <row r="105" spans="1:11" x14ac:dyDescent="0.2">
      <c r="A105" s="2" t="s">
        <v>86</v>
      </c>
      <c r="B105" s="3">
        <v>121508</v>
      </c>
      <c r="C105" s="2">
        <v>1.0467</v>
      </c>
      <c r="D105" s="3">
        <v>127184</v>
      </c>
      <c r="E105" s="4">
        <v>3.3999999999999998E-3</v>
      </c>
      <c r="G105" s="2" t="s">
        <v>86</v>
      </c>
      <c r="H105" s="3">
        <v>77555572</v>
      </c>
      <c r="J105" s="5" t="s">
        <v>38</v>
      </c>
      <c r="K105" s="5">
        <f>B105/12*8760/H105</f>
        <v>1.1437068635120118</v>
      </c>
    </row>
    <row r="106" spans="1:11" x14ac:dyDescent="0.2">
      <c r="A106" s="2" t="s">
        <v>111</v>
      </c>
      <c r="B106" s="2"/>
      <c r="C106" s="2"/>
      <c r="D106" s="2"/>
      <c r="E106" s="2"/>
      <c r="G106" s="2"/>
      <c r="H106" s="2"/>
    </row>
    <row r="107" spans="1:11" x14ac:dyDescent="0.2">
      <c r="A107" s="2" t="s">
        <v>104</v>
      </c>
      <c r="B107" s="3">
        <v>32927</v>
      </c>
      <c r="C107" s="2">
        <v>1.0467</v>
      </c>
      <c r="D107" s="3">
        <v>34465</v>
      </c>
      <c r="E107" s="4">
        <v>8.9999999999999998E-4</v>
      </c>
    </row>
    <row r="108" spans="1:11" x14ac:dyDescent="0.2">
      <c r="A108" s="2" t="s">
        <v>105</v>
      </c>
      <c r="B108" s="3">
        <v>305237</v>
      </c>
      <c r="C108" s="2">
        <v>1.0108999999999999</v>
      </c>
      <c r="D108" s="3">
        <v>308574</v>
      </c>
      <c r="E108" s="4">
        <v>8.2000000000000007E-3</v>
      </c>
      <c r="G108" s="2"/>
      <c r="H108" s="2"/>
    </row>
    <row r="109" spans="1:11" x14ac:dyDescent="0.2">
      <c r="A109" s="2" t="s">
        <v>106</v>
      </c>
      <c r="B109" s="3">
        <v>246743</v>
      </c>
      <c r="C109" s="2">
        <v>1.0065</v>
      </c>
      <c r="D109" s="3">
        <v>248347</v>
      </c>
      <c r="E109" s="4">
        <v>6.6E-3</v>
      </c>
      <c r="G109" s="2"/>
      <c r="H109" s="3"/>
    </row>
    <row r="110" spans="1:11" x14ac:dyDescent="0.2">
      <c r="A110" s="2" t="s">
        <v>112</v>
      </c>
      <c r="B110" s="3">
        <v>584907</v>
      </c>
      <c r="C110" s="2">
        <v>1.0111000000000001</v>
      </c>
      <c r="D110" s="3">
        <v>591386</v>
      </c>
      <c r="E110" s="4">
        <v>1.5699999999999999E-2</v>
      </c>
      <c r="G110" s="2"/>
      <c r="H110" s="2"/>
    </row>
    <row r="111" spans="1:11" x14ac:dyDescent="0.2">
      <c r="G111" s="2"/>
      <c r="H111" s="2"/>
    </row>
    <row r="112" spans="1:11" x14ac:dyDescent="0.2">
      <c r="A112" s="1" t="s">
        <v>96</v>
      </c>
      <c r="B112" s="1" t="s">
        <v>123</v>
      </c>
      <c r="C112" s="1" t="s">
        <v>124</v>
      </c>
      <c r="D112" s="1" t="s">
        <v>125</v>
      </c>
      <c r="E112" s="1" t="s">
        <v>126</v>
      </c>
      <c r="F112" s="2"/>
      <c r="G112" s="2"/>
    </row>
    <row r="113" spans="1:11" x14ac:dyDescent="0.2">
      <c r="A113" s="2" t="s">
        <v>127</v>
      </c>
      <c r="B113" s="2"/>
      <c r="C113" s="2"/>
      <c r="D113" s="2"/>
      <c r="E113" s="2"/>
      <c r="F113" s="2"/>
      <c r="G113" s="3"/>
    </row>
    <row r="114" spans="1:11" x14ac:dyDescent="0.2">
      <c r="A114" s="2" t="s">
        <v>9</v>
      </c>
      <c r="B114" s="3">
        <v>16118701</v>
      </c>
      <c r="C114" s="2">
        <v>1.0463</v>
      </c>
      <c r="D114" s="3">
        <v>16865712</v>
      </c>
      <c r="E114" s="4">
        <v>0.45350000000000001</v>
      </c>
      <c r="G114" s="2" t="s">
        <v>9</v>
      </c>
      <c r="H114" s="3">
        <v>5911317910</v>
      </c>
      <c r="J114" s="2" t="s">
        <v>9</v>
      </c>
      <c r="K114" s="5">
        <f>B114/12*8760/H114</f>
        <v>1.9905293386597778</v>
      </c>
    </row>
    <row r="115" spans="1:11" x14ac:dyDescent="0.2">
      <c r="A115" s="2" t="s">
        <v>115</v>
      </c>
      <c r="B115" s="3">
        <v>3878744</v>
      </c>
      <c r="C115" s="2">
        <v>1.0463</v>
      </c>
      <c r="D115" s="3">
        <v>4058502</v>
      </c>
      <c r="E115" s="4">
        <v>0.1091</v>
      </c>
      <c r="G115" s="2" t="s">
        <v>115</v>
      </c>
      <c r="H115" s="3">
        <v>2263464797</v>
      </c>
      <c r="J115" s="5" t="s">
        <v>33</v>
      </c>
      <c r="K115" s="5">
        <f>(B115+B120)/12*8760/(H115+H120)</f>
        <v>1.1570738093154715</v>
      </c>
    </row>
    <row r="116" spans="1:11" x14ac:dyDescent="0.2">
      <c r="A116" s="2" t="s">
        <v>128</v>
      </c>
      <c r="B116" s="2"/>
      <c r="C116" s="2"/>
      <c r="D116" s="2"/>
      <c r="E116" s="2"/>
      <c r="J116" s="5" t="s">
        <v>37</v>
      </c>
      <c r="K116" s="5">
        <v>1</v>
      </c>
    </row>
    <row r="117" spans="1:11" x14ac:dyDescent="0.2">
      <c r="A117" s="2" t="s">
        <v>104</v>
      </c>
      <c r="B117" s="3">
        <v>10248600</v>
      </c>
      <c r="C117" s="2">
        <v>1.0463</v>
      </c>
      <c r="D117" s="3">
        <v>10723564</v>
      </c>
      <c r="E117" s="4">
        <v>0.28839999999999999</v>
      </c>
      <c r="G117" s="2"/>
      <c r="H117" s="2"/>
    </row>
    <row r="118" spans="1:11" x14ac:dyDescent="0.2">
      <c r="A118" s="2" t="s">
        <v>105</v>
      </c>
      <c r="B118" s="3">
        <v>3301071</v>
      </c>
      <c r="C118" s="2">
        <v>1.0108999999999999</v>
      </c>
      <c r="D118" s="3">
        <v>3337008</v>
      </c>
      <c r="E118" s="4">
        <v>8.9700000000000002E-2</v>
      </c>
    </row>
    <row r="119" spans="1:11" x14ac:dyDescent="0.2">
      <c r="A119" s="2" t="s">
        <v>106</v>
      </c>
      <c r="B119" s="3">
        <v>1286742</v>
      </c>
      <c r="C119" s="2">
        <v>1.0065</v>
      </c>
      <c r="D119" s="3">
        <v>1295106</v>
      </c>
      <c r="E119" s="4">
        <v>3.4799999999999998E-2</v>
      </c>
      <c r="G119" s="2"/>
      <c r="H119" s="2"/>
    </row>
    <row r="120" spans="1:11" x14ac:dyDescent="0.2">
      <c r="A120" s="2" t="s">
        <v>129</v>
      </c>
      <c r="B120" s="3">
        <v>14836413</v>
      </c>
      <c r="C120" s="2">
        <v>1.0349999999999999</v>
      </c>
      <c r="D120" s="3">
        <v>15355678</v>
      </c>
      <c r="E120" s="4">
        <v>0.41289999999999999</v>
      </c>
      <c r="G120" s="2" t="s">
        <v>116</v>
      </c>
      <c r="H120" s="3">
        <v>9543962266</v>
      </c>
      <c r="J120" s="5" t="s">
        <v>34</v>
      </c>
      <c r="K120" s="5">
        <f>B120/12*8760/H120</f>
        <v>1.1348097559630481</v>
      </c>
    </row>
    <row r="121" spans="1:11" x14ac:dyDescent="0.2">
      <c r="A121" s="2"/>
      <c r="B121" s="2"/>
      <c r="C121" s="2"/>
      <c r="D121" s="2"/>
      <c r="E121" s="2"/>
      <c r="G121" s="2"/>
      <c r="H121" s="2"/>
      <c r="J121" s="5" t="s">
        <v>35</v>
      </c>
      <c r="K121" s="5">
        <f>K120</f>
        <v>1.1348097559630481</v>
      </c>
    </row>
    <row r="122" spans="1:11" x14ac:dyDescent="0.2">
      <c r="A122" s="2" t="s">
        <v>108</v>
      </c>
      <c r="B122" s="2"/>
      <c r="C122" s="2"/>
      <c r="D122" s="2"/>
      <c r="E122" s="2"/>
      <c r="G122" s="2"/>
      <c r="H122" s="3"/>
    </row>
    <row r="123" spans="1:11" x14ac:dyDescent="0.2">
      <c r="A123" s="2" t="s">
        <v>104</v>
      </c>
      <c r="B123" s="3">
        <v>337047</v>
      </c>
      <c r="C123" s="2">
        <v>1.0463</v>
      </c>
      <c r="D123" s="3">
        <v>352667</v>
      </c>
      <c r="E123" s="4">
        <v>9.4999999999999998E-3</v>
      </c>
      <c r="G123" s="2"/>
      <c r="H123" s="2"/>
    </row>
    <row r="124" spans="1:11" x14ac:dyDescent="0.2">
      <c r="A124" s="2" t="s">
        <v>105</v>
      </c>
      <c r="B124" s="3">
        <v>51019</v>
      </c>
      <c r="C124" s="2">
        <v>1.0108999999999999</v>
      </c>
      <c r="D124" s="3">
        <v>51574</v>
      </c>
      <c r="E124" s="4">
        <v>1.4E-3</v>
      </c>
      <c r="G124" s="2"/>
      <c r="H124" s="2"/>
    </row>
    <row r="125" spans="1:11" x14ac:dyDescent="0.2">
      <c r="A125" s="2" t="s">
        <v>106</v>
      </c>
      <c r="B125" s="2" t="s">
        <v>109</v>
      </c>
      <c r="C125" s="2">
        <v>1.0065</v>
      </c>
      <c r="D125" s="2" t="s">
        <v>109</v>
      </c>
      <c r="E125" s="4">
        <v>0</v>
      </c>
      <c r="G125" s="2"/>
      <c r="H125" s="2"/>
    </row>
    <row r="126" spans="1:11" x14ac:dyDescent="0.2">
      <c r="A126" s="2" t="s">
        <v>110</v>
      </c>
      <c r="B126" s="3">
        <v>388066</v>
      </c>
      <c r="C126" s="2">
        <v>1.0417000000000001</v>
      </c>
      <c r="D126" s="3">
        <v>404242</v>
      </c>
      <c r="E126" s="4">
        <v>1.09E-2</v>
      </c>
      <c r="G126" s="2" t="s">
        <v>108</v>
      </c>
      <c r="H126" s="3">
        <v>221940537</v>
      </c>
      <c r="J126" s="5" t="s">
        <v>36</v>
      </c>
      <c r="K126" s="5">
        <f>B126/12*8760/H126</f>
        <v>1.2764147723045294</v>
      </c>
    </row>
    <row r="127" spans="1:11" x14ac:dyDescent="0.2">
      <c r="A127" s="2"/>
      <c r="B127" s="2"/>
      <c r="C127" s="2"/>
      <c r="D127" s="2"/>
      <c r="E127" s="2"/>
      <c r="G127" s="2"/>
      <c r="H127" s="3"/>
    </row>
    <row r="128" spans="1:11" x14ac:dyDescent="0.2">
      <c r="A128" s="2" t="s">
        <v>86</v>
      </c>
      <c r="B128" s="3">
        <v>117857</v>
      </c>
      <c r="C128" s="2">
        <v>1.0463</v>
      </c>
      <c r="D128" s="3">
        <v>123319</v>
      </c>
      <c r="E128" s="4">
        <v>3.3E-3</v>
      </c>
      <c r="G128" s="2" t="s">
        <v>86</v>
      </c>
      <c r="H128" s="3">
        <v>77555572</v>
      </c>
      <c r="J128" s="5" t="s">
        <v>38</v>
      </c>
      <c r="K128" s="5">
        <f>B128/12*8760/H128</f>
        <v>1.1093414409992359</v>
      </c>
    </row>
    <row r="129" spans="1:5" x14ac:dyDescent="0.2">
      <c r="A129" s="2" t="s">
        <v>30</v>
      </c>
      <c r="B129" s="2"/>
      <c r="C129" s="2"/>
      <c r="D129" s="2"/>
      <c r="E129" s="2"/>
    </row>
    <row r="130" spans="1:5" x14ac:dyDescent="0.2">
      <c r="A130" s="2" t="s">
        <v>104</v>
      </c>
      <c r="B130" s="3">
        <v>61941</v>
      </c>
      <c r="C130" s="2">
        <v>1.0463</v>
      </c>
      <c r="D130" s="3">
        <v>64812</v>
      </c>
      <c r="E130" s="4">
        <v>1.6999999999999999E-3</v>
      </c>
    </row>
    <row r="131" spans="1:5" x14ac:dyDescent="0.2">
      <c r="A131" s="2" t="s">
        <v>105</v>
      </c>
      <c r="B131" s="3">
        <v>157080</v>
      </c>
      <c r="C131" s="2">
        <v>1.0108999999999999</v>
      </c>
      <c r="D131" s="3">
        <v>158790</v>
      </c>
      <c r="E131" s="4">
        <v>4.3E-3</v>
      </c>
    </row>
    <row r="132" spans="1:5" x14ac:dyDescent="0.2">
      <c r="A132" s="2" t="s">
        <v>106</v>
      </c>
      <c r="B132" s="3">
        <v>152546</v>
      </c>
      <c r="C132" s="2">
        <v>1.0065</v>
      </c>
      <c r="D132" s="3">
        <v>153537</v>
      </c>
      <c r="E132" s="4">
        <v>4.1000000000000003E-3</v>
      </c>
    </row>
    <row r="133" spans="1:5" x14ac:dyDescent="0.2">
      <c r="A133" s="2" t="s">
        <v>130</v>
      </c>
      <c r="B133" s="3">
        <v>371567</v>
      </c>
      <c r="C133" s="2">
        <v>1.0149999999999999</v>
      </c>
      <c r="D133" s="3">
        <v>377139</v>
      </c>
      <c r="E133" s="4">
        <v>1.01E-2</v>
      </c>
    </row>
  </sheetData>
  <mergeCells count="5">
    <mergeCell ref="A89:H89"/>
    <mergeCell ref="A1:H1"/>
    <mergeCell ref="A23:H23"/>
    <mergeCell ref="A45:H45"/>
    <mergeCell ref="A67:H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PGE</vt:lpstr>
      <vt:lpstr>SCE</vt:lpstr>
      <vt:lpstr>SDGE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2026-04-11T18:13:34Z</dcterms:created>
  <dcterms:modified xsi:type="dcterms:W3CDTF">2026-04-17T14:24:59Z</dcterms:modified>
</cp:coreProperties>
</file>