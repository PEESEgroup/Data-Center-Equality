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886-X1Qjfr0umEoX/"/>
    </mc:Choice>
  </mc:AlternateContent>
  <xr:revisionPtr revIDLastSave="0" documentId="13_ncr:1_{D93D78FE-11DB-F544-8F3D-9DBB6075E6E1}" xr6:coauthVersionLast="47" xr6:coauthVersionMax="47" xr10:uidLastSave="{00000000-0000-0000-0000-000000000000}"/>
  <bookViews>
    <workbookView xWindow="2860" yWindow="720" windowWidth="31720" windowHeight="21000" activeTab="4" xr2:uid="{2B962C4C-ABC3-FA4E-AA37-CA9B9A85C265}"/>
  </bookViews>
  <sheets>
    <sheet name="LRZ1" sheetId="4" r:id="rId1"/>
    <sheet name="LRZ35" sheetId="5" r:id="rId2"/>
    <sheet name="LRZ27" sheetId="6" r:id="rId3"/>
    <sheet name="LRZ6" sheetId="7" r:id="rId4"/>
    <sheet name="LRZ8910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8" l="1"/>
  <c r="G21" i="8"/>
  <c r="G6" i="8"/>
  <c r="R6" i="7"/>
  <c r="P12" i="7"/>
  <c r="P6" i="7"/>
  <c r="H6" i="5"/>
  <c r="F16" i="5"/>
  <c r="F6" i="5"/>
  <c r="J6" i="4"/>
  <c r="H6" i="4"/>
  <c r="I6" i="6"/>
  <c r="G41" i="6"/>
  <c r="G34" i="6"/>
  <c r="G27" i="6"/>
  <c r="G20" i="6"/>
  <c r="G13" i="6"/>
  <c r="G6" i="6"/>
  <c r="G4" i="6"/>
  <c r="G5" i="6"/>
  <c r="I4" i="8"/>
  <c r="I5" i="8"/>
  <c r="I3" i="8"/>
  <c r="G20" i="8"/>
  <c r="G19" i="8"/>
  <c r="G18" i="8"/>
  <c r="G5" i="8"/>
  <c r="G4" i="8"/>
  <c r="G3" i="8"/>
  <c r="R4" i="7"/>
  <c r="R5" i="7"/>
  <c r="R3" i="7"/>
  <c r="P11" i="7"/>
  <c r="P10" i="7"/>
  <c r="P9" i="7"/>
  <c r="P5" i="7"/>
  <c r="P4" i="7"/>
  <c r="P3" i="7"/>
  <c r="I5" i="6"/>
  <c r="I4" i="6"/>
  <c r="I3" i="6"/>
  <c r="G40" i="6"/>
  <c r="G39" i="6"/>
  <c r="G38" i="6"/>
  <c r="G33" i="6"/>
  <c r="G32" i="6"/>
  <c r="G31" i="6"/>
  <c r="G26" i="6"/>
  <c r="G25" i="6"/>
  <c r="G24" i="6"/>
  <c r="G19" i="6"/>
  <c r="G18" i="6"/>
  <c r="G17" i="6"/>
  <c r="G12" i="6"/>
  <c r="G11" i="6"/>
  <c r="G10" i="6"/>
  <c r="G3" i="6"/>
  <c r="H4" i="5"/>
  <c r="H5" i="5"/>
  <c r="H3" i="5"/>
  <c r="F15" i="5"/>
  <c r="F14" i="5"/>
  <c r="F13" i="5"/>
  <c r="F5" i="5" l="1"/>
  <c r="F4" i="5"/>
  <c r="F3" i="5"/>
  <c r="J4" i="4" l="1"/>
  <c r="J5" i="4"/>
  <c r="J3" i="4"/>
  <c r="H5" i="4"/>
  <c r="H4" i="4"/>
  <c r="H3" i="4"/>
</calcChain>
</file>

<file path=xl/sharedStrings.xml><?xml version="1.0" encoding="utf-8"?>
<sst xmlns="http://schemas.openxmlformats.org/spreadsheetml/2006/main" count="208" uniqueCount="77">
  <si>
    <t>Residential</t>
  </si>
  <si>
    <t>Load Factor</t>
  </si>
  <si>
    <t>Industrial</t>
  </si>
  <si>
    <t>All year</t>
  </si>
  <si>
    <t>Secondary</t>
  </si>
  <si>
    <t>Primary</t>
  </si>
  <si>
    <t>-</t>
  </si>
  <si>
    <t>D10S</t>
  </si>
  <si>
    <t>MWh Sales</t>
  </si>
  <si>
    <t>Res</t>
  </si>
  <si>
    <t>Sm Non-D</t>
  </si>
  <si>
    <t>Demand</t>
  </si>
  <si>
    <t>St Ltq</t>
  </si>
  <si>
    <t>Commecial</t>
  </si>
  <si>
    <t>Small General Service Demand</t>
  </si>
  <si>
    <t>Small General Service Energy</t>
  </si>
  <si>
    <t>Large General Service &amp; Substation</t>
  </si>
  <si>
    <t>Individual Contract Rates</t>
  </si>
  <si>
    <t>Traffic Control Service</t>
  </si>
  <si>
    <t>Water Pumping Service</t>
  </si>
  <si>
    <t>Lighting</t>
  </si>
  <si>
    <t>12 CP allo</t>
  </si>
  <si>
    <t>kWh</t>
  </si>
  <si>
    <t>4CP-75/0/25</t>
  </si>
  <si>
    <t>RS</t>
  </si>
  <si>
    <t>Energy sales</t>
  </si>
  <si>
    <t>Light</t>
  </si>
  <si>
    <t>GSG</t>
  </si>
  <si>
    <t>Description</t>
  </si>
  <si>
    <t>Total</t>
  </si>
  <si>
    <t>SS</t>
  </si>
  <si>
    <t>SH</t>
  </si>
  <si>
    <t>SE</t>
  </si>
  <si>
    <t>CB</t>
  </si>
  <si>
    <t>UW</t>
  </si>
  <si>
    <t>SL</t>
  </si>
  <si>
    <t>PL-HL</t>
  </si>
  <si>
    <t>PH</t>
  </si>
  <si>
    <t>APL</t>
  </si>
  <si>
    <t>MU1</t>
  </si>
  <si>
    <r>
      <t>12 CP @ Transmission</t>
    </r>
    <r>
      <rPr>
        <sz val="12"/>
        <color rgb="FF1F1F1F"/>
        <rFont val="Arial"/>
        <family val="2"/>
      </rPr>
      <t xml:space="preserve"> (EXT)</t>
    </r>
  </si>
  <si>
    <t>(Percentage)</t>
  </si>
  <si>
    <r>
      <t>Total Annualized KWh</t>
    </r>
    <r>
      <rPr>
        <sz val="12"/>
        <color rgb="FF1F1F1F"/>
        <rFont val="Arial"/>
        <family val="2"/>
      </rPr>
      <t xml:space="preserve"> (EXT)</t>
    </r>
  </si>
  <si>
    <t>A-2018</t>
  </si>
  <si>
    <t>A-2025</t>
  </si>
  <si>
    <t>Line No.</t>
  </si>
  <si>
    <t>Rate Class</t>
  </si>
  <si>
    <t>Energy MWH (PGEETO)</t>
  </si>
  <si>
    <t>ELA Interruptible 12 CP (2) (PGDDIS)</t>
  </si>
  <si>
    <t>Residential Service</t>
  </si>
  <si>
    <t>Small General Service</t>
  </si>
  <si>
    <t>General Service</t>
  </si>
  <si>
    <t>Municipal Pumping Service</t>
  </si>
  <si>
    <t>Legacy Industrial Service</t>
  </si>
  <si>
    <t>Large Load High Load Factor Service</t>
  </si>
  <si>
    <t>Large Power Service</t>
  </si>
  <si>
    <t>High Load Factor Service</t>
  </si>
  <si>
    <t>Large Industrial Service</t>
  </si>
  <si>
    <t>Lighting Service</t>
  </si>
  <si>
    <t>TOTAL RETAIL</t>
  </si>
  <si>
    <t>TOTAL WHOLESALE</t>
  </si>
  <si>
    <t>TOTAL COMPANY</t>
  </si>
  <si>
    <t>ENTERGY LOUISIANA</t>
  </si>
  <si>
    <t>Function</t>
  </si>
  <si>
    <t>TOTAL COMPANY ADJUSTED</t>
  </si>
  <si>
    <t>RESIDENTIAL</t>
  </si>
  <si>
    <t>LIGHTING</t>
  </si>
  <si>
    <t>MASTER METERED NON RES</t>
  </si>
  <si>
    <t>HIGH VOLTAGE</t>
  </si>
  <si>
    <t>LARGE ELECTRIC</t>
  </si>
  <si>
    <t>LARGE ELECTRIC HIGH LOAD FACTOR</t>
  </si>
  <si>
    <t>LARGE INTERRUPTIBLE SERVICE</t>
  </si>
  <si>
    <t>SMALL ELECTRIC</t>
  </si>
  <si>
    <t>MUNICIPAL BUILDING</t>
  </si>
  <si>
    <t>PG: Production/Generation</t>
  </si>
  <si>
    <t>Entergy New Orleans</t>
  </si>
  <si>
    <t>C+I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</si>
</sst>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3" fillId="0" borderId="0" xfId="0" applyFont="1"/>
    <xf numFmtId="3" fontId="3" fillId="0" borderId="0" xfId="0" applyNumberFormat="1" applyFont="1"/>
    <xf numFmtId="0" fontId="6" fillId="0" borderId="0" xfId="2" applyFont="1" applyAlignment="1">
      <alignment horizontal="left"/>
    </xf>
    <xf numFmtId="10" fontId="6" fillId="0" borderId="0" xfId="1" applyNumberFormat="1" applyFont="1" applyFill="1" applyAlignment="1">
      <alignment horizontal="right"/>
    </xf>
    <xf numFmtId="3" fontId="2" fillId="0" borderId="0" xfId="0" applyNumberFormat="1" applyFont="1"/>
    <xf numFmtId="9" fontId="1" fillId="0" borderId="0" xfId="0" applyNumberFormat="1" applyFont="1"/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3" fontId="7" fillId="0" borderId="0" xfId="0" applyNumberFormat="1" applyFont="1"/>
  </cellXfs>
  <cellStyles count="3">
    <cellStyle name="Normal" xfId="0" builtinId="0"/>
    <cellStyle name="Normal 2" xfId="2" xr:uid="{6BA63364-9C4D-F34D-996E-F753EAA329B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F937-D26B-8942-AEE3-807E2980237F}">
  <dimension ref="A1:J6"/>
  <sheetViews>
    <sheetView workbookViewId="0">
      <selection activeCell="J12" sqref="J12"/>
    </sheetView>
  </sheetViews>
  <sheetFormatPr baseColWidth="10" defaultRowHeight="16" x14ac:dyDescent="0.2"/>
  <cols>
    <col min="1" max="6" width="10.83203125" style="5"/>
    <col min="7" max="7" width="11.5" style="5" bestFit="1" customWidth="1"/>
    <col min="8" max="16384" width="10.83203125" style="5"/>
  </cols>
  <sheetData>
    <row r="1" spans="1:10" x14ac:dyDescent="0.2">
      <c r="A1" s="11">
        <v>2013</v>
      </c>
      <c r="B1" s="11"/>
      <c r="C1" s="11"/>
      <c r="D1" s="11"/>
      <c r="E1" s="11"/>
    </row>
    <row r="2" spans="1:10" x14ac:dyDescent="0.2">
      <c r="B2" s="5" t="s">
        <v>9</v>
      </c>
      <c r="C2" s="5" t="s">
        <v>10</v>
      </c>
      <c r="D2" s="5" t="s">
        <v>11</v>
      </c>
      <c r="E2" s="5" t="s">
        <v>12</v>
      </c>
      <c r="H2" s="5" t="s">
        <v>1</v>
      </c>
      <c r="J2" s="5" t="s">
        <v>3</v>
      </c>
    </row>
    <row r="3" spans="1:10" x14ac:dyDescent="0.2">
      <c r="A3" s="5" t="s">
        <v>7</v>
      </c>
      <c r="B3" s="6">
        <v>13097</v>
      </c>
      <c r="C3" s="6">
        <v>917</v>
      </c>
      <c r="D3" s="6">
        <v>19099</v>
      </c>
      <c r="E3" s="5">
        <v>0</v>
      </c>
      <c r="G3" s="5" t="s">
        <v>0</v>
      </c>
      <c r="H3" s="5">
        <f>B3*8760/B4/10</f>
        <v>1.2996885407134404</v>
      </c>
      <c r="J3" s="5">
        <f>H3</f>
        <v>1.2996885407134404</v>
      </c>
    </row>
    <row r="4" spans="1:10" x14ac:dyDescent="0.2">
      <c r="A4" s="5" t="s">
        <v>8</v>
      </c>
      <c r="B4" s="5">
        <v>8827478</v>
      </c>
      <c r="C4" s="5">
        <v>805141</v>
      </c>
      <c r="D4" s="5">
        <v>18443464</v>
      </c>
      <c r="E4" s="5">
        <v>18410</v>
      </c>
      <c r="G4" s="5" t="s">
        <v>13</v>
      </c>
      <c r="H4" s="5">
        <f>C3*8760/C4/10</f>
        <v>0.9977035078327896</v>
      </c>
      <c r="J4" s="5">
        <f t="shared" ref="J4:J6" si="0">H4</f>
        <v>0.9977035078327896</v>
      </c>
    </row>
    <row r="5" spans="1:10" x14ac:dyDescent="0.2">
      <c r="G5" s="5" t="s">
        <v>2</v>
      </c>
      <c r="H5" s="5">
        <f>D3*8760/D4/10</f>
        <v>0.90713566605492324</v>
      </c>
      <c r="J5" s="5">
        <f t="shared" si="0"/>
        <v>0.90713566605492324</v>
      </c>
    </row>
    <row r="6" spans="1:10" x14ac:dyDescent="0.2">
      <c r="G6" s="5" t="s">
        <v>76</v>
      </c>
      <c r="H6" s="5">
        <f>(D3+C3)*8760/(C4+D4)/10</f>
        <v>0.91092398643953687</v>
      </c>
      <c r="J6" s="5">
        <f t="shared" si="0"/>
        <v>0.91092398643953687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0CBB9-972E-6C40-B818-55E4B4B0AF5F}">
  <dimension ref="A1:H40"/>
  <sheetViews>
    <sheetView workbookViewId="0">
      <selection activeCell="H13" sqref="H13"/>
    </sheetView>
  </sheetViews>
  <sheetFormatPr baseColWidth="10" defaultRowHeight="16" x14ac:dyDescent="0.2"/>
  <cols>
    <col min="1" max="1" width="34.33203125" style="5" bestFit="1" customWidth="1"/>
    <col min="2" max="2" width="10.6640625" style="5" bestFit="1" customWidth="1"/>
    <col min="3" max="3" width="12.83203125" style="5" bestFit="1" customWidth="1"/>
    <col min="4" max="4" width="10.83203125" style="5"/>
    <col min="5" max="5" width="11.5" style="5" bestFit="1" customWidth="1"/>
    <col min="6" max="6" width="14" style="5" bestFit="1" customWidth="1"/>
    <col min="7" max="16384" width="10.83203125" style="5"/>
  </cols>
  <sheetData>
    <row r="1" spans="1:8" x14ac:dyDescent="0.2">
      <c r="A1" s="11">
        <v>2020</v>
      </c>
      <c r="B1" s="11"/>
      <c r="C1" s="11"/>
    </row>
    <row r="2" spans="1:8" x14ac:dyDescent="0.2">
      <c r="B2" s="5" t="s">
        <v>21</v>
      </c>
      <c r="C2" s="5" t="s">
        <v>22</v>
      </c>
      <c r="F2" s="5" t="s">
        <v>1</v>
      </c>
      <c r="H2" s="5" t="s">
        <v>3</v>
      </c>
    </row>
    <row r="3" spans="1:8" x14ac:dyDescent="0.2">
      <c r="A3" s="7" t="s">
        <v>0</v>
      </c>
      <c r="B3" s="8">
        <v>0.31345000000000001</v>
      </c>
      <c r="C3" s="5">
        <v>5869282682</v>
      </c>
      <c r="E3" s="5" t="s">
        <v>0</v>
      </c>
      <c r="F3" s="5">
        <f>B3*8760/C3*10^7/2</f>
        <v>2.339146151897681</v>
      </c>
      <c r="H3" s="5">
        <f>(F3+F13)/2</f>
        <v>2.3222509497515942</v>
      </c>
    </row>
    <row r="4" spans="1:8" x14ac:dyDescent="0.2">
      <c r="A4" s="7" t="s">
        <v>14</v>
      </c>
      <c r="B4" s="8">
        <v>0.10119</v>
      </c>
      <c r="C4" s="5">
        <v>2163762105</v>
      </c>
      <c r="E4" s="5" t="s">
        <v>13</v>
      </c>
      <c r="F4" s="5">
        <f>(B4+B5)*8760/(C4+C5)*10^7/2</f>
        <v>2.0779380634473354</v>
      </c>
      <c r="H4" s="5">
        <f t="shared" ref="H4:H6" si="0">(F4+F14)/2</f>
        <v>2.1213071037040625</v>
      </c>
    </row>
    <row r="5" spans="1:8" x14ac:dyDescent="0.2">
      <c r="A5" s="7" t="s">
        <v>15</v>
      </c>
      <c r="B5" s="8">
        <v>7.6960000000000001E-2</v>
      </c>
      <c r="C5" s="5">
        <v>1591388319</v>
      </c>
      <c r="E5" s="5" t="s">
        <v>2</v>
      </c>
      <c r="F5" s="5">
        <f>(B6+B7)*8760/(C6+C7)*10^7/2</f>
        <v>1.5569818288795541</v>
      </c>
      <c r="H5" s="5">
        <f t="shared" si="0"/>
        <v>1.5326365140911342</v>
      </c>
    </row>
    <row r="6" spans="1:8" x14ac:dyDescent="0.2">
      <c r="A6" s="7" t="s">
        <v>16</v>
      </c>
      <c r="B6" s="8">
        <v>0.29481000000000002</v>
      </c>
      <c r="C6" s="5">
        <v>7195228954</v>
      </c>
      <c r="E6" s="5" t="s">
        <v>76</v>
      </c>
      <c r="F6" s="5">
        <f>SUM(B4:B7)*8760/SUM(C4:C7)*10^7/2</f>
        <v>1.6658436522042646</v>
      </c>
      <c r="H6" s="5">
        <f t="shared" si="0"/>
        <v>1.6517894521527119</v>
      </c>
    </row>
    <row r="7" spans="1:8" x14ac:dyDescent="0.2">
      <c r="A7" s="7" t="s">
        <v>17</v>
      </c>
      <c r="B7" s="8">
        <v>0.21049999999999999</v>
      </c>
      <c r="C7" s="5">
        <v>7019823264</v>
      </c>
    </row>
    <row r="8" spans="1:8" x14ac:dyDescent="0.2">
      <c r="A8" s="7" t="s">
        <v>18</v>
      </c>
      <c r="B8" s="8">
        <v>1.7000000000000001E-4</v>
      </c>
      <c r="C8" s="5">
        <v>5287802</v>
      </c>
    </row>
    <row r="9" spans="1:8" x14ac:dyDescent="0.2">
      <c r="A9" s="7" t="s">
        <v>19</v>
      </c>
      <c r="B9" s="8">
        <v>1.6199999999999999E-3</v>
      </c>
      <c r="C9" s="5">
        <v>45110759</v>
      </c>
    </row>
    <row r="10" spans="1:8" x14ac:dyDescent="0.2">
      <c r="A10" s="7" t="s">
        <v>20</v>
      </c>
      <c r="B10" s="8">
        <v>1.2999999999999999E-3</v>
      </c>
      <c r="C10" s="5">
        <v>83235633</v>
      </c>
    </row>
    <row r="11" spans="1:8" x14ac:dyDescent="0.2">
      <c r="A11" s="11">
        <v>2021</v>
      </c>
      <c r="B11" s="11"/>
      <c r="C11" s="11"/>
    </row>
    <row r="12" spans="1:8" x14ac:dyDescent="0.2">
      <c r="B12" s="5" t="s">
        <v>21</v>
      </c>
      <c r="C12" s="5" t="s">
        <v>22</v>
      </c>
      <c r="F12" s="5" t="s">
        <v>1</v>
      </c>
    </row>
    <row r="13" spans="1:8" x14ac:dyDescent="0.2">
      <c r="A13" s="7" t="s">
        <v>0</v>
      </c>
      <c r="B13" s="8">
        <v>0.31345000000000001</v>
      </c>
      <c r="C13" s="5">
        <v>5955310808</v>
      </c>
      <c r="E13" s="5" t="s">
        <v>0</v>
      </c>
      <c r="F13" s="5">
        <f>B13*8760/C13*10^7/2</f>
        <v>2.3053557476055078</v>
      </c>
    </row>
    <row r="14" spans="1:8" x14ac:dyDescent="0.2">
      <c r="A14" s="7" t="s">
        <v>14</v>
      </c>
      <c r="B14" s="8">
        <v>0.10119</v>
      </c>
      <c r="C14" s="5">
        <v>1998038290</v>
      </c>
      <c r="E14" s="5" t="s">
        <v>13</v>
      </c>
      <c r="F14" s="5">
        <f>(B14+B15)*8760/(C14+C15)*10^7/2</f>
        <v>2.1646761439607896</v>
      </c>
    </row>
    <row r="15" spans="1:8" x14ac:dyDescent="0.2">
      <c r="A15" s="7" t="s">
        <v>15</v>
      </c>
      <c r="B15" s="8">
        <v>7.6960000000000001E-2</v>
      </c>
      <c r="C15" s="5">
        <v>1606644111</v>
      </c>
      <c r="E15" s="5" t="s">
        <v>2</v>
      </c>
      <c r="F15" s="5">
        <f>(B16+B17)*8760/(C16+C17)*10^7/2</f>
        <v>1.5082911993027142</v>
      </c>
    </row>
    <row r="16" spans="1:8" x14ac:dyDescent="0.2">
      <c r="A16" s="7" t="s">
        <v>16</v>
      </c>
      <c r="B16" s="8">
        <v>0.29481000000000002</v>
      </c>
      <c r="C16" s="5">
        <v>6779878078</v>
      </c>
      <c r="E16" s="5" t="s">
        <v>76</v>
      </c>
      <c r="F16" s="5">
        <f>SUM(B14:B17)*8760/SUM(C14:C17)*10^7/2</f>
        <v>1.6377352521011592</v>
      </c>
    </row>
    <row r="17" spans="1:3" x14ac:dyDescent="0.2">
      <c r="A17" s="7" t="s">
        <v>17</v>
      </c>
      <c r="B17" s="8">
        <v>0.21049999999999999</v>
      </c>
      <c r="C17" s="5">
        <v>7894064202</v>
      </c>
    </row>
    <row r="18" spans="1:3" x14ac:dyDescent="0.2">
      <c r="A18" s="7" t="s">
        <v>18</v>
      </c>
      <c r="B18" s="8">
        <v>1.7000000000000001E-4</v>
      </c>
      <c r="C18" s="5">
        <v>5215265</v>
      </c>
    </row>
    <row r="19" spans="1:3" x14ac:dyDescent="0.2">
      <c r="A19" s="7" t="s">
        <v>19</v>
      </c>
      <c r="B19" s="8">
        <v>1.6199999999999999E-3</v>
      </c>
      <c r="C19" s="5">
        <v>48251692</v>
      </c>
    </row>
    <row r="20" spans="1:3" x14ac:dyDescent="0.2">
      <c r="A20" s="7" t="s">
        <v>20</v>
      </c>
      <c r="B20" s="8">
        <v>1.2999999999999999E-3</v>
      </c>
      <c r="C20" s="5">
        <v>79169156</v>
      </c>
    </row>
    <row r="21" spans="1:3" x14ac:dyDescent="0.2">
      <c r="A21" s="11"/>
      <c r="B21" s="11"/>
      <c r="C21" s="11"/>
    </row>
    <row r="23" spans="1:3" x14ac:dyDescent="0.2">
      <c r="A23" s="7"/>
      <c r="B23" s="8"/>
    </row>
    <row r="24" spans="1:3" x14ac:dyDescent="0.2">
      <c r="A24" s="7"/>
      <c r="B24" s="8"/>
    </row>
    <row r="25" spans="1:3" x14ac:dyDescent="0.2">
      <c r="A25" s="7"/>
      <c r="B25" s="8"/>
    </row>
    <row r="26" spans="1:3" x14ac:dyDescent="0.2">
      <c r="A26" s="7"/>
      <c r="B26" s="8"/>
    </row>
    <row r="27" spans="1:3" x14ac:dyDescent="0.2">
      <c r="A27" s="7"/>
      <c r="B27" s="8"/>
    </row>
    <row r="28" spans="1:3" x14ac:dyDescent="0.2">
      <c r="A28" s="7"/>
      <c r="B28" s="8"/>
    </row>
    <row r="29" spans="1:3" x14ac:dyDescent="0.2">
      <c r="A29" s="7"/>
      <c r="B29" s="8"/>
    </row>
    <row r="30" spans="1:3" x14ac:dyDescent="0.2">
      <c r="A30" s="7"/>
      <c r="B30" s="8"/>
    </row>
    <row r="31" spans="1:3" x14ac:dyDescent="0.2">
      <c r="A31" s="11"/>
      <c r="B31" s="11"/>
      <c r="C31" s="11"/>
    </row>
    <row r="33" spans="1:2" x14ac:dyDescent="0.2">
      <c r="A33" s="7"/>
      <c r="B33" s="8"/>
    </row>
    <row r="34" spans="1:2" x14ac:dyDescent="0.2">
      <c r="A34" s="7"/>
      <c r="B34" s="8"/>
    </row>
    <row r="35" spans="1:2" x14ac:dyDescent="0.2">
      <c r="A35" s="7"/>
      <c r="B35" s="8"/>
    </row>
    <row r="36" spans="1:2" x14ac:dyDescent="0.2">
      <c r="A36" s="7"/>
      <c r="B36" s="8"/>
    </row>
    <row r="37" spans="1:2" x14ac:dyDescent="0.2">
      <c r="A37" s="7"/>
      <c r="B37" s="8"/>
    </row>
    <row r="38" spans="1:2" x14ac:dyDescent="0.2">
      <c r="A38" s="7"/>
      <c r="B38" s="8"/>
    </row>
    <row r="39" spans="1:2" x14ac:dyDescent="0.2">
      <c r="A39" s="7"/>
      <c r="B39" s="8"/>
    </row>
    <row r="40" spans="1:2" x14ac:dyDescent="0.2">
      <c r="A40" s="7"/>
      <c r="B40" s="8"/>
    </row>
  </sheetData>
  <mergeCells count="4">
    <mergeCell ref="A1:C1"/>
    <mergeCell ref="A11:C11"/>
    <mergeCell ref="A21:C21"/>
    <mergeCell ref="A31:C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08A56-5C38-4B44-887E-6CD560F50C13}">
  <dimension ref="A1:J42"/>
  <sheetViews>
    <sheetView workbookViewId="0">
      <selection activeCell="C24" sqref="C24"/>
    </sheetView>
  </sheetViews>
  <sheetFormatPr baseColWidth="10" defaultRowHeight="16" x14ac:dyDescent="0.2"/>
  <cols>
    <col min="1" max="1" width="12.5" style="5" customWidth="1"/>
    <col min="2" max="2" width="16.83203125" style="5" customWidth="1"/>
    <col min="3" max="3" width="20" style="5" bestFit="1" customWidth="1"/>
    <col min="4" max="7" width="10.83203125" style="5"/>
    <col min="8" max="10" width="12.1640625" style="5" bestFit="1" customWidth="1"/>
    <col min="11" max="16384" width="10.83203125" style="5"/>
  </cols>
  <sheetData>
    <row r="1" spans="1:10" x14ac:dyDescent="0.2">
      <c r="A1" s="11">
        <v>2020</v>
      </c>
      <c r="B1" s="11"/>
      <c r="C1" s="11"/>
    </row>
    <row r="2" spans="1:10" x14ac:dyDescent="0.2">
      <c r="B2" s="5" t="s">
        <v>23</v>
      </c>
      <c r="C2" s="5" t="s">
        <v>25</v>
      </c>
      <c r="G2" s="5" t="s">
        <v>1</v>
      </c>
      <c r="I2" s="5" t="s">
        <v>3</v>
      </c>
    </row>
    <row r="3" spans="1:10" x14ac:dyDescent="0.2">
      <c r="A3" s="5" t="s">
        <v>24</v>
      </c>
      <c r="B3" s="5">
        <v>47.938000000000002</v>
      </c>
      <c r="C3" s="6">
        <v>12447668</v>
      </c>
      <c r="F3" s="5" t="s">
        <v>0</v>
      </c>
      <c r="G3" s="5">
        <f>B3*8760/C3*50</f>
        <v>1.6868094489666658</v>
      </c>
      <c r="I3" s="5">
        <f>(G3+G10+G17+G24+G31+G38)/6</f>
        <v>1.6305112703718316</v>
      </c>
    </row>
    <row r="4" spans="1:10" x14ac:dyDescent="0.2">
      <c r="A4" s="5" t="s">
        <v>4</v>
      </c>
      <c r="B4" s="5">
        <v>22.643999999999998</v>
      </c>
      <c r="C4" s="6">
        <v>7291788</v>
      </c>
      <c r="D4" s="13"/>
      <c r="F4" s="5" t="s">
        <v>13</v>
      </c>
      <c r="G4" s="5">
        <f>(B4+B5/2)*8760/(C4+C5/2)*50</f>
        <v>1.1179519914200391</v>
      </c>
      <c r="I4" s="5">
        <f>(G4+G11+G18+G25+G32+G39)/6</f>
        <v>1.1632573524053125</v>
      </c>
    </row>
    <row r="5" spans="1:10" x14ac:dyDescent="0.2">
      <c r="A5" s="5" t="s">
        <v>5</v>
      </c>
      <c r="B5" s="5">
        <v>27.974</v>
      </c>
      <c r="C5" s="6">
        <v>14119585</v>
      </c>
      <c r="F5" s="5" t="s">
        <v>2</v>
      </c>
      <c r="G5" s="5">
        <f>(B5/2)*8760/(C5/2)*50</f>
        <v>0.86777422990831532</v>
      </c>
      <c r="I5" s="5">
        <f>(G5+G12+G19+G26+G33+G40)/6</f>
        <v>0.90080559028655216</v>
      </c>
    </row>
    <row r="6" spans="1:10" x14ac:dyDescent="0.2">
      <c r="A6" s="5" t="s">
        <v>26</v>
      </c>
      <c r="B6" s="5">
        <v>0.317</v>
      </c>
      <c r="F6" s="5" t="s">
        <v>76</v>
      </c>
      <c r="G6" s="5">
        <f>(B4+B5)*8760/(C4+C5)*50</f>
        <v>1.0354629756811951</v>
      </c>
      <c r="I6" s="5">
        <f>(G6+G13+G20+G27+G34+G41)/6</f>
        <v>1.0776435371330393</v>
      </c>
    </row>
    <row r="7" spans="1:10" x14ac:dyDescent="0.2">
      <c r="A7" s="5" t="s">
        <v>27</v>
      </c>
      <c r="B7" s="5">
        <v>0.152</v>
      </c>
    </row>
    <row r="8" spans="1:10" x14ac:dyDescent="0.2">
      <c r="A8" s="11">
        <v>2021</v>
      </c>
      <c r="B8" s="11"/>
      <c r="C8" s="11"/>
    </row>
    <row r="9" spans="1:10" x14ac:dyDescent="0.2">
      <c r="B9" s="5" t="s">
        <v>23</v>
      </c>
      <c r="C9" s="5" t="s">
        <v>25</v>
      </c>
      <c r="G9" s="5" t="s">
        <v>1</v>
      </c>
    </row>
    <row r="10" spans="1:10" x14ac:dyDescent="0.2">
      <c r="A10" s="5" t="s">
        <v>24</v>
      </c>
      <c r="B10" s="5">
        <v>50.853000000000002</v>
      </c>
      <c r="C10" s="6">
        <v>12621349</v>
      </c>
      <c r="F10" s="5" t="s">
        <v>0</v>
      </c>
      <c r="G10" s="5">
        <f>B10*8760/C10*50</f>
        <v>1.7647570002224011</v>
      </c>
    </row>
    <row r="11" spans="1:10" x14ac:dyDescent="0.2">
      <c r="A11" s="5" t="s">
        <v>4</v>
      </c>
      <c r="B11" s="5">
        <v>22.172000000000001</v>
      </c>
      <c r="C11" s="6">
        <v>7169079</v>
      </c>
      <c r="D11" s="13"/>
      <c r="F11" s="5" t="s">
        <v>13</v>
      </c>
      <c r="G11" s="5">
        <f>(B11+B12/2)*8760/(C11+C12/2)*50</f>
        <v>1.0844970546729618</v>
      </c>
    </row>
    <row r="12" spans="1:10" x14ac:dyDescent="0.2">
      <c r="A12" s="5" t="s">
        <v>5</v>
      </c>
      <c r="B12" s="5">
        <v>25.611999999999998</v>
      </c>
      <c r="C12" s="6">
        <v>13915241</v>
      </c>
      <c r="F12" s="5" t="s">
        <v>2</v>
      </c>
      <c r="G12" s="5">
        <f>(B12/2)*8760/(C12/2)*50</f>
        <v>0.80617044289782691</v>
      </c>
    </row>
    <row r="13" spans="1:10" x14ac:dyDescent="0.2">
      <c r="A13" s="5" t="s">
        <v>26</v>
      </c>
      <c r="B13" s="5">
        <v>0.315</v>
      </c>
      <c r="F13" s="5" t="s">
        <v>76</v>
      </c>
      <c r="G13" s="5">
        <f>(B11+B12)*8760/(C11+C12)*50</f>
        <v>0.99265198023934365</v>
      </c>
    </row>
    <row r="14" spans="1:10" x14ac:dyDescent="0.2">
      <c r="A14" s="5" t="s">
        <v>27</v>
      </c>
      <c r="B14" s="5">
        <v>0.1139</v>
      </c>
      <c r="H14" s="6"/>
      <c r="I14" s="6"/>
      <c r="J14" s="6"/>
    </row>
    <row r="15" spans="1:10" x14ac:dyDescent="0.2">
      <c r="A15" s="11">
        <v>2022</v>
      </c>
      <c r="B15" s="11"/>
      <c r="C15" s="11"/>
    </row>
    <row r="16" spans="1:10" x14ac:dyDescent="0.2">
      <c r="B16" s="5" t="s">
        <v>23</v>
      </c>
      <c r="C16" s="5" t="s">
        <v>25</v>
      </c>
      <c r="G16" s="5" t="s">
        <v>1</v>
      </c>
    </row>
    <row r="17" spans="1:7" x14ac:dyDescent="0.2">
      <c r="A17" s="5" t="s">
        <v>24</v>
      </c>
      <c r="B17" s="5">
        <v>38.823999999999998</v>
      </c>
      <c r="C17" s="6">
        <v>12583355</v>
      </c>
      <c r="F17" s="5" t="s">
        <v>0</v>
      </c>
      <c r="G17" s="5">
        <f>B17*8760/C17*50</f>
        <v>1.3513814082174427</v>
      </c>
    </row>
    <row r="18" spans="1:7" x14ac:dyDescent="0.2">
      <c r="A18" s="5" t="s">
        <v>4</v>
      </c>
      <c r="B18" s="5">
        <v>21.722999999999999</v>
      </c>
      <c r="C18" s="6">
        <v>7014993</v>
      </c>
      <c r="D18" s="13"/>
      <c r="F18" s="5" t="s">
        <v>13</v>
      </c>
      <c r="G18" s="5">
        <f>(B18+B19/2)*8760/(C18+C19/2)*50</f>
        <v>1.0976085339876394</v>
      </c>
    </row>
    <row r="19" spans="1:7" x14ac:dyDescent="0.2">
      <c r="A19" s="5" t="s">
        <v>5</v>
      </c>
      <c r="B19" s="5">
        <v>28.128</v>
      </c>
      <c r="C19" s="6">
        <v>14531574</v>
      </c>
      <c r="F19" s="5" t="s">
        <v>2</v>
      </c>
      <c r="G19" s="5">
        <f>(B19/2)*8760/(C19/2)*50</f>
        <v>0.8478134577850962</v>
      </c>
    </row>
    <row r="20" spans="1:7" x14ac:dyDescent="0.2">
      <c r="A20" s="5" t="s">
        <v>26</v>
      </c>
      <c r="B20" s="5">
        <v>0.28999999999999998</v>
      </c>
      <c r="F20" s="5" t="s">
        <v>76</v>
      </c>
      <c r="G20" s="5">
        <f>(B18+B19)*8760/(C18+C19)*50</f>
        <v>1.0133743347606141</v>
      </c>
    </row>
    <row r="21" spans="1:7" x14ac:dyDescent="0.2">
      <c r="A21" s="5" t="s">
        <v>27</v>
      </c>
      <c r="B21" s="5">
        <v>0.14000000000000001</v>
      </c>
    </row>
    <row r="22" spans="1:7" x14ac:dyDescent="0.2">
      <c r="A22" s="11">
        <v>2023</v>
      </c>
      <c r="B22" s="11"/>
      <c r="C22" s="11"/>
    </row>
    <row r="23" spans="1:7" x14ac:dyDescent="0.2">
      <c r="B23" s="5" t="s">
        <v>23</v>
      </c>
      <c r="C23" s="5" t="s">
        <v>25</v>
      </c>
      <c r="G23" s="5" t="s">
        <v>1</v>
      </c>
    </row>
    <row r="24" spans="1:7" x14ac:dyDescent="0.2">
      <c r="A24" s="5" t="s">
        <v>24</v>
      </c>
      <c r="B24" s="5">
        <v>46.680999999999997</v>
      </c>
      <c r="C24" s="6">
        <v>12559141</v>
      </c>
      <c r="F24" s="5" t="s">
        <v>0</v>
      </c>
      <c r="G24" s="5">
        <f>B24*8760/C24*50</f>
        <v>1.6279997174966025</v>
      </c>
    </row>
    <row r="25" spans="1:7" x14ac:dyDescent="0.2">
      <c r="A25" s="5" t="s">
        <v>4</v>
      </c>
      <c r="B25" s="5">
        <v>23.734000000000002</v>
      </c>
      <c r="C25" s="6">
        <v>7169185</v>
      </c>
      <c r="D25" s="13"/>
      <c r="F25" s="5" t="s">
        <v>13</v>
      </c>
      <c r="G25" s="5">
        <f>(B25+B26/2)*8760/(C25+C26/2)*50</f>
        <v>1.1687731821587282</v>
      </c>
    </row>
    <row r="26" spans="1:7" x14ac:dyDescent="0.2">
      <c r="A26" s="5" t="s">
        <v>5</v>
      </c>
      <c r="B26" s="5">
        <v>28.242999999999999</v>
      </c>
      <c r="C26" s="6">
        <v>14034473</v>
      </c>
      <c r="F26" s="5" t="s">
        <v>2</v>
      </c>
      <c r="G26" s="5">
        <f>(B26/2)*8760/(C26/2)*50</f>
        <v>0.88143202812104171</v>
      </c>
    </row>
    <row r="27" spans="1:7" x14ac:dyDescent="0.2">
      <c r="A27" s="5" t="s">
        <v>26</v>
      </c>
      <c r="B27" s="5">
        <v>0.28499999999999998</v>
      </c>
      <c r="F27" s="5" t="s">
        <v>76</v>
      </c>
      <c r="G27" s="5">
        <f>(B25+B26)*8760/(C25+C26)*50</f>
        <v>1.0736791736595639</v>
      </c>
    </row>
    <row r="28" spans="1:7" x14ac:dyDescent="0.2">
      <c r="A28" s="5" t="s">
        <v>27</v>
      </c>
      <c r="B28" s="5" t="s">
        <v>6</v>
      </c>
    </row>
    <row r="29" spans="1:7" x14ac:dyDescent="0.2">
      <c r="A29" s="11">
        <v>2024</v>
      </c>
      <c r="B29" s="11"/>
      <c r="C29" s="11"/>
    </row>
    <row r="30" spans="1:7" x14ac:dyDescent="0.2">
      <c r="B30" s="5" t="s">
        <v>23</v>
      </c>
      <c r="C30" s="5" t="s">
        <v>25</v>
      </c>
      <c r="G30" s="5" t="s">
        <v>1</v>
      </c>
    </row>
    <row r="31" spans="1:7" x14ac:dyDescent="0.2">
      <c r="A31" s="5" t="s">
        <v>24</v>
      </c>
      <c r="B31" s="5">
        <v>48.311</v>
      </c>
      <c r="C31" s="6">
        <v>12725312</v>
      </c>
      <c r="F31" s="5" t="s">
        <v>0</v>
      </c>
      <c r="G31" s="5">
        <f>B31*8760/C31*50</f>
        <v>1.6628447302510145</v>
      </c>
    </row>
    <row r="32" spans="1:7" x14ac:dyDescent="0.2">
      <c r="A32" s="5" t="s">
        <v>4</v>
      </c>
      <c r="B32" s="5">
        <v>24.113</v>
      </c>
      <c r="C32" s="6">
        <v>7243933</v>
      </c>
      <c r="D32" s="13"/>
      <c r="F32" s="5" t="s">
        <v>13</v>
      </c>
      <c r="G32" s="5">
        <f>(B32+B33/2)*8760/(C32+C33/2)*50</f>
        <v>1.168995318144961</v>
      </c>
    </row>
    <row r="33" spans="1:7" x14ac:dyDescent="0.2">
      <c r="A33" s="5" t="s">
        <v>5</v>
      </c>
      <c r="B33" s="5">
        <v>26.998000000000001</v>
      </c>
      <c r="C33" s="6">
        <v>13697116</v>
      </c>
      <c r="F33" s="5" t="s">
        <v>2</v>
      </c>
      <c r="G33" s="5">
        <f>(B33/2)*8760/(C33/2)*50</f>
        <v>0.86332947753381073</v>
      </c>
    </row>
    <row r="34" spans="1:7" x14ac:dyDescent="0.2">
      <c r="A34" s="5" t="s">
        <v>26</v>
      </c>
      <c r="B34" s="5">
        <v>0.29599999999999999</v>
      </c>
      <c r="F34" s="5" t="s">
        <v>76</v>
      </c>
      <c r="G34" s="5">
        <f>(B32+B33)*8760/(C32+C33)*50</f>
        <v>1.0690304005305562</v>
      </c>
    </row>
    <row r="35" spans="1:7" x14ac:dyDescent="0.2">
      <c r="A35" s="5" t="s">
        <v>27</v>
      </c>
      <c r="B35" s="5" t="s">
        <v>6</v>
      </c>
    </row>
    <row r="36" spans="1:7" x14ac:dyDescent="0.2">
      <c r="A36" s="11">
        <v>2025</v>
      </c>
      <c r="B36" s="11"/>
      <c r="C36" s="11"/>
    </row>
    <row r="37" spans="1:7" x14ac:dyDescent="0.2">
      <c r="B37" s="5" t="s">
        <v>23</v>
      </c>
      <c r="C37" s="5" t="s">
        <v>25</v>
      </c>
      <c r="G37" s="5" t="s">
        <v>1</v>
      </c>
    </row>
    <row r="38" spans="1:7" x14ac:dyDescent="0.2">
      <c r="A38" s="5" t="s">
        <v>24</v>
      </c>
      <c r="B38" s="5">
        <v>48.924999999999997</v>
      </c>
      <c r="C38" s="6">
        <v>12685410</v>
      </c>
      <c r="F38" s="5" t="s">
        <v>0</v>
      </c>
      <c r="G38" s="5">
        <f>B38*8760/C38*50</f>
        <v>1.6892753170768624</v>
      </c>
    </row>
    <row r="39" spans="1:7" x14ac:dyDescent="0.2">
      <c r="A39" s="5" t="s">
        <v>4</v>
      </c>
      <c r="B39" s="5">
        <v>23.971</v>
      </c>
      <c r="C39" s="6">
        <v>7054196</v>
      </c>
      <c r="D39" s="13"/>
      <c r="F39" s="5" t="s">
        <v>13</v>
      </c>
      <c r="G39" s="5">
        <f>(B39+B40/2)*8760/(C39+C40/2)*50</f>
        <v>1.341718034047545</v>
      </c>
    </row>
    <row r="40" spans="1:7" x14ac:dyDescent="0.2">
      <c r="A40" s="5" t="s">
        <v>5</v>
      </c>
      <c r="B40" s="5">
        <v>26.437000000000001</v>
      </c>
      <c r="C40" s="6">
        <v>10172419</v>
      </c>
      <c r="F40" s="5" t="s">
        <v>2</v>
      </c>
      <c r="G40" s="5">
        <f>(B40/2)*8760/(C40/2)*50</f>
        <v>1.1383139054732214</v>
      </c>
    </row>
    <row r="41" spans="1:7" x14ac:dyDescent="0.2">
      <c r="A41" s="5" t="s">
        <v>26</v>
      </c>
      <c r="B41" s="5">
        <v>0.28199999999999997</v>
      </c>
      <c r="F41" s="5" t="s">
        <v>76</v>
      </c>
      <c r="G41" s="5">
        <f>(B39+B40)*8760/(C39+C40)*50</f>
        <v>1.2816623579269637</v>
      </c>
    </row>
    <row r="42" spans="1:7" x14ac:dyDescent="0.2">
      <c r="A42" s="5" t="s">
        <v>27</v>
      </c>
      <c r="B42" s="5">
        <v>0.38400000000000001</v>
      </c>
    </row>
  </sheetData>
  <mergeCells count="6">
    <mergeCell ref="A36:C36"/>
    <mergeCell ref="A1:C1"/>
    <mergeCell ref="A8:C8"/>
    <mergeCell ref="A15:C15"/>
    <mergeCell ref="A22:C22"/>
    <mergeCell ref="A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57FF-A611-8C43-8E37-39374EF91079}">
  <dimension ref="A1:R12"/>
  <sheetViews>
    <sheetView workbookViewId="0">
      <selection activeCell="R10" sqref="R10"/>
    </sheetView>
  </sheetViews>
  <sheetFormatPr baseColWidth="10" defaultRowHeight="16" x14ac:dyDescent="0.2"/>
  <cols>
    <col min="1" max="1" width="10.83203125" style="5"/>
    <col min="2" max="2" width="15.6640625" style="5" bestFit="1" customWidth="1"/>
    <col min="3" max="4" width="14.33203125" style="5" bestFit="1" customWidth="1"/>
    <col min="5" max="5" width="12.6640625" style="5" bestFit="1" customWidth="1"/>
    <col min="6" max="6" width="11.5" style="5" bestFit="1" customWidth="1"/>
    <col min="7" max="8" width="11" style="5" bestFit="1" customWidth="1"/>
    <col min="9" max="10" width="14.33203125" style="5" bestFit="1" customWidth="1"/>
    <col min="11" max="13" width="11.5" style="5" bestFit="1" customWidth="1"/>
    <col min="14" max="15" width="10.83203125" style="5"/>
    <col min="16" max="16" width="14.33203125" style="5" bestFit="1" customWidth="1"/>
    <col min="17" max="16384" width="10.83203125" style="5"/>
  </cols>
  <sheetData>
    <row r="1" spans="1:18" x14ac:dyDescent="0.2">
      <c r="A1" s="12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8" x14ac:dyDescent="0.2">
      <c r="A2" s="1" t="s">
        <v>28</v>
      </c>
      <c r="B2" s="1" t="s">
        <v>29</v>
      </c>
      <c r="C2" s="1" t="s">
        <v>24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P2" s="5" t="s">
        <v>1</v>
      </c>
      <c r="R2" s="5" t="s">
        <v>3</v>
      </c>
    </row>
    <row r="3" spans="1:18" x14ac:dyDescent="0.2">
      <c r="A3" s="1" t="s">
        <v>40</v>
      </c>
      <c r="B3" s="3">
        <v>27876000</v>
      </c>
      <c r="C3" s="3">
        <v>11843311</v>
      </c>
      <c r="D3" s="3">
        <v>2620111</v>
      </c>
      <c r="E3" s="3">
        <v>1276201</v>
      </c>
      <c r="F3" s="3">
        <v>30134</v>
      </c>
      <c r="G3" s="2">
        <v>587</v>
      </c>
      <c r="H3" s="3">
        <v>1763</v>
      </c>
      <c r="I3" s="3">
        <v>7007201</v>
      </c>
      <c r="J3" s="3">
        <v>4911433</v>
      </c>
      <c r="K3" s="3">
        <v>69851</v>
      </c>
      <c r="L3" s="3">
        <v>52339</v>
      </c>
      <c r="M3" s="3">
        <v>63070</v>
      </c>
      <c r="O3" s="5" t="s">
        <v>0</v>
      </c>
      <c r="P3" s="5">
        <f>(C3*8760)/C5/12</f>
        <v>1.7793971075044821</v>
      </c>
      <c r="R3" s="5">
        <f>(P3+P9)/2</f>
        <v>1.7478888722246619</v>
      </c>
    </row>
    <row r="4" spans="1:18" x14ac:dyDescent="0.2">
      <c r="A4" s="2" t="s">
        <v>41</v>
      </c>
      <c r="B4" s="10">
        <v>1</v>
      </c>
      <c r="C4" s="4">
        <v>0.4249</v>
      </c>
      <c r="D4" s="4">
        <v>9.4E-2</v>
      </c>
      <c r="E4" s="4">
        <v>4.58E-2</v>
      </c>
      <c r="F4" s="4">
        <v>1.1000000000000001E-3</v>
      </c>
      <c r="G4" s="4">
        <v>0</v>
      </c>
      <c r="H4" s="4">
        <v>1E-4</v>
      </c>
      <c r="I4" s="4">
        <v>0.25140000000000001</v>
      </c>
      <c r="J4" s="4">
        <v>0.1762</v>
      </c>
      <c r="K4" s="4">
        <v>2.5000000000000001E-3</v>
      </c>
      <c r="L4" s="4">
        <v>1.9E-3</v>
      </c>
      <c r="M4" s="4">
        <v>2.3E-3</v>
      </c>
      <c r="O4" s="5" t="s">
        <v>13</v>
      </c>
      <c r="P4" s="5">
        <f>(SUM(D3:H3)*8760)/SUM(D5:H5)/12</f>
        <v>1.6162540575272415</v>
      </c>
      <c r="R4" s="5">
        <f t="shared" ref="R4:R6" si="0">(P4+P10)/2</f>
        <v>1.649292000357651</v>
      </c>
    </row>
    <row r="5" spans="1:18" x14ac:dyDescent="0.2">
      <c r="A5" s="1" t="s">
        <v>42</v>
      </c>
      <c r="B5" s="3">
        <v>13243229798</v>
      </c>
      <c r="C5" s="3">
        <v>4858733890</v>
      </c>
      <c r="D5" s="3">
        <v>1231269300</v>
      </c>
      <c r="E5" s="3">
        <v>526224672</v>
      </c>
      <c r="F5" s="3">
        <v>15344105</v>
      </c>
      <c r="G5" s="3">
        <v>413938</v>
      </c>
      <c r="H5" s="3">
        <v>1234531</v>
      </c>
      <c r="I5" s="3">
        <v>3509506542</v>
      </c>
      <c r="J5" s="3">
        <v>2961899333</v>
      </c>
      <c r="K5" s="3">
        <v>35641963</v>
      </c>
      <c r="L5" s="3">
        <v>44811290</v>
      </c>
      <c r="M5" s="3">
        <v>58149633</v>
      </c>
      <c r="O5" s="5" t="s">
        <v>2</v>
      </c>
      <c r="P5" s="5">
        <f>(SUM(I3:L3)*8760)/SUM(I5:L5)/12</f>
        <v>1.3415736431871588</v>
      </c>
      <c r="R5" s="5">
        <f t="shared" si="0"/>
        <v>1.3293926599431327</v>
      </c>
    </row>
    <row r="6" spans="1:18" x14ac:dyDescent="0.2">
      <c r="A6" s="2" t="s">
        <v>41</v>
      </c>
      <c r="B6" s="10">
        <v>1</v>
      </c>
      <c r="C6" s="4">
        <v>0.3669</v>
      </c>
      <c r="D6" s="4">
        <v>9.2999999999999999E-2</v>
      </c>
      <c r="E6" s="4">
        <v>3.9699999999999999E-2</v>
      </c>
      <c r="F6" s="4">
        <v>1.1999999999999999E-3</v>
      </c>
      <c r="G6" s="4">
        <v>0</v>
      </c>
      <c r="H6" s="4">
        <v>1E-4</v>
      </c>
      <c r="I6" s="4">
        <v>0.26500000000000001</v>
      </c>
      <c r="J6" s="4">
        <v>0.22370000000000001</v>
      </c>
      <c r="K6" s="4">
        <v>2.7000000000000001E-3</v>
      </c>
      <c r="L6" s="4">
        <v>3.3999999999999998E-3</v>
      </c>
      <c r="M6" s="4">
        <v>4.4000000000000003E-3</v>
      </c>
      <c r="O6" s="5" t="s">
        <v>76</v>
      </c>
      <c r="P6" s="5">
        <f>(SUM(D3:L3)*8760)/SUM(D5:L5)/12</f>
        <v>1.4001127332970249</v>
      </c>
      <c r="R6" s="5">
        <f t="shared" si="0"/>
        <v>1.400821349479874</v>
      </c>
    </row>
    <row r="7" spans="1:18" x14ac:dyDescent="0.2">
      <c r="A7" s="12" t="s">
        <v>44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8" x14ac:dyDescent="0.2">
      <c r="A8" s="1" t="s">
        <v>28</v>
      </c>
      <c r="B8" s="1" t="s">
        <v>29</v>
      </c>
      <c r="C8" s="1" t="s">
        <v>24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38</v>
      </c>
      <c r="M8" s="1" t="s">
        <v>39</v>
      </c>
      <c r="N8" s="1"/>
      <c r="P8" s="5" t="s">
        <v>1</v>
      </c>
    </row>
    <row r="9" spans="1:18" x14ac:dyDescent="0.2">
      <c r="A9" s="1" t="s">
        <v>40</v>
      </c>
      <c r="B9" s="9">
        <v>27817325</v>
      </c>
      <c r="C9" s="3">
        <v>12663945</v>
      </c>
      <c r="D9" s="3">
        <v>2863947</v>
      </c>
      <c r="E9" s="3">
        <v>1298047</v>
      </c>
      <c r="F9" s="3">
        <v>27873</v>
      </c>
      <c r="G9" s="2">
        <v>767</v>
      </c>
      <c r="H9" s="3">
        <v>1940</v>
      </c>
      <c r="I9" s="3">
        <v>6412011</v>
      </c>
      <c r="J9" s="3">
        <v>4445966</v>
      </c>
      <c r="K9" s="3">
        <v>37223</v>
      </c>
      <c r="L9" s="3">
        <v>36820</v>
      </c>
      <c r="M9" s="3">
        <v>27414</v>
      </c>
      <c r="O9" s="5" t="s">
        <v>0</v>
      </c>
      <c r="P9" s="5">
        <f>(C9*8760)/C11/12</f>
        <v>1.7163806369448418</v>
      </c>
    </row>
    <row r="10" spans="1:18" x14ac:dyDescent="0.2">
      <c r="A10" s="2" t="s">
        <v>41</v>
      </c>
      <c r="B10" s="10">
        <v>1</v>
      </c>
      <c r="C10" s="4">
        <v>0.45529999999999998</v>
      </c>
      <c r="D10" s="4">
        <v>0.10299999999999999</v>
      </c>
      <c r="E10" s="4">
        <v>4.6699999999999998E-2</v>
      </c>
      <c r="F10" s="4">
        <v>1E-3</v>
      </c>
      <c r="G10" s="4">
        <v>0</v>
      </c>
      <c r="H10" s="4">
        <v>1E-4</v>
      </c>
      <c r="I10" s="4">
        <v>0.23050000000000001</v>
      </c>
      <c r="J10" s="4">
        <v>0.1598</v>
      </c>
      <c r="K10" s="4">
        <v>1.2999999999999999E-3</v>
      </c>
      <c r="L10" s="4">
        <v>1.2999999999999999E-3</v>
      </c>
      <c r="M10" s="4">
        <v>1E-3</v>
      </c>
      <c r="O10" s="5" t="s">
        <v>13</v>
      </c>
      <c r="P10" s="5">
        <f>(SUM(D9:H9)*8760)/SUM(D11:H11)/12</f>
        <v>1.6823299431880605</v>
      </c>
    </row>
    <row r="11" spans="1:18" x14ac:dyDescent="0.2">
      <c r="A11" s="1" t="s">
        <v>42</v>
      </c>
      <c r="B11" s="9">
        <v>13299137254</v>
      </c>
      <c r="C11" s="3">
        <v>5386147834</v>
      </c>
      <c r="D11" s="3">
        <v>1304660668</v>
      </c>
      <c r="E11" s="3">
        <v>499277512</v>
      </c>
      <c r="F11" s="3">
        <v>13731937</v>
      </c>
      <c r="G11" s="3">
        <v>446196</v>
      </c>
      <c r="H11" s="3">
        <v>1133848</v>
      </c>
      <c r="I11" s="3">
        <v>3234222568</v>
      </c>
      <c r="J11" s="3">
        <v>2763291451</v>
      </c>
      <c r="K11" s="3">
        <v>22969728</v>
      </c>
      <c r="L11" s="3">
        <v>38052433</v>
      </c>
      <c r="M11" s="3">
        <v>34307981</v>
      </c>
      <c r="O11" s="5" t="s">
        <v>2</v>
      </c>
      <c r="P11" s="5">
        <f>(SUM(I9:L9)*8760)/SUM(I11:L11)/12</f>
        <v>1.3172116766991067</v>
      </c>
    </row>
    <row r="12" spans="1:18" x14ac:dyDescent="0.2">
      <c r="A12" s="2" t="s">
        <v>41</v>
      </c>
      <c r="B12" s="10">
        <v>1</v>
      </c>
      <c r="C12" s="4">
        <v>0.40500000000000003</v>
      </c>
      <c r="D12" s="4">
        <v>9.8100000000000007E-2</v>
      </c>
      <c r="E12" s="4">
        <v>3.7499999999999999E-2</v>
      </c>
      <c r="F12" s="4">
        <v>1E-3</v>
      </c>
      <c r="G12" s="4">
        <v>0</v>
      </c>
      <c r="H12" s="4">
        <v>1E-4</v>
      </c>
      <c r="I12" s="4">
        <v>0.2432</v>
      </c>
      <c r="J12" s="4">
        <v>0.20780000000000001</v>
      </c>
      <c r="K12" s="4">
        <v>1.6999999999999999E-3</v>
      </c>
      <c r="L12" s="4">
        <v>2.8999999999999998E-3</v>
      </c>
      <c r="M12" s="4">
        <v>2.5999999999999999E-3</v>
      </c>
      <c r="O12" s="5" t="s">
        <v>76</v>
      </c>
      <c r="P12" s="5">
        <f>(SUM(D9:L9)*8760)/SUM(D11:L11)/12</f>
        <v>1.4015299656627231</v>
      </c>
    </row>
  </sheetData>
  <mergeCells count="2">
    <mergeCell ref="A1:M1"/>
    <mergeCell ref="A7:M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5B4C6-7DA6-874E-B18C-3026B3D558A7}">
  <dimension ref="A1:K47"/>
  <sheetViews>
    <sheetView tabSelected="1" workbookViewId="0">
      <selection activeCell="I13" sqref="I13"/>
    </sheetView>
  </sheetViews>
  <sheetFormatPr baseColWidth="10" defaultRowHeight="16" x14ac:dyDescent="0.2"/>
  <cols>
    <col min="1" max="1" width="18.33203125" style="5" customWidth="1"/>
    <col min="2" max="2" width="35.83203125" style="5" bestFit="1" customWidth="1"/>
    <col min="3" max="3" width="23.83203125" style="5" bestFit="1" customWidth="1"/>
    <col min="4" max="4" width="10.83203125" style="5"/>
    <col min="5" max="5" width="36.5" style="5" bestFit="1" customWidth="1"/>
    <col min="6" max="16384" width="10.83203125" style="5"/>
  </cols>
  <sheetData>
    <row r="1" spans="1:9" x14ac:dyDescent="0.2">
      <c r="A1" s="11" t="s">
        <v>62</v>
      </c>
      <c r="B1" s="11"/>
      <c r="C1" s="11"/>
      <c r="D1" s="11"/>
      <c r="E1" s="11"/>
    </row>
    <row r="2" spans="1:9" x14ac:dyDescent="0.2">
      <c r="A2" s="1" t="s">
        <v>45</v>
      </c>
      <c r="B2" s="1" t="s">
        <v>46</v>
      </c>
      <c r="C2" s="1" t="s">
        <v>47</v>
      </c>
      <c r="D2" s="1" t="s">
        <v>48</v>
      </c>
      <c r="G2" s="5" t="s">
        <v>1</v>
      </c>
      <c r="I2" s="5" t="s">
        <v>3</v>
      </c>
    </row>
    <row r="3" spans="1:9" x14ac:dyDescent="0.2">
      <c r="A3" s="2">
        <v>1</v>
      </c>
      <c r="B3" s="2" t="s">
        <v>49</v>
      </c>
      <c r="C3" s="3">
        <v>14533758</v>
      </c>
      <c r="D3" s="3">
        <v>2683612</v>
      </c>
      <c r="F3" s="5" t="s">
        <v>0</v>
      </c>
      <c r="G3" s="5">
        <f>D3*8760/C3/1000</f>
        <v>1.6175060242505759</v>
      </c>
      <c r="I3" s="5">
        <f>(G3+G18)/2</f>
        <v>1.8006641457323374</v>
      </c>
    </row>
    <row r="4" spans="1:9" x14ac:dyDescent="0.2">
      <c r="A4" s="2">
        <v>2</v>
      </c>
      <c r="B4" s="2" t="s">
        <v>50</v>
      </c>
      <c r="C4" s="3">
        <v>7055545</v>
      </c>
      <c r="D4" s="3">
        <v>1057285</v>
      </c>
      <c r="F4" s="5" t="s">
        <v>13</v>
      </c>
      <c r="G4" s="5">
        <f>SUM(D4:D5)*8760/SUM(C4:C5)/1000</f>
        <v>1.2836682442087497</v>
      </c>
      <c r="I4" s="5">
        <f t="shared" ref="I4:I6" si="0">(G4+G19)/2</f>
        <v>1.3445401738191189</v>
      </c>
    </row>
    <row r="5" spans="1:9" x14ac:dyDescent="0.2">
      <c r="A5" s="2">
        <v>3</v>
      </c>
      <c r="B5" s="2" t="s">
        <v>51</v>
      </c>
      <c r="C5" s="3">
        <v>5856736</v>
      </c>
      <c r="D5" s="3">
        <v>834848</v>
      </c>
      <c r="F5" s="5" t="s">
        <v>2</v>
      </c>
      <c r="G5" s="5">
        <f>SUM(D7:D11)*8760/SUM(C7:C11)/1000</f>
        <v>0.96607672260985722</v>
      </c>
      <c r="I5" s="5">
        <f t="shared" si="0"/>
        <v>1.0028208174775748</v>
      </c>
    </row>
    <row r="6" spans="1:9" x14ac:dyDescent="0.2">
      <c r="A6" s="2">
        <v>4</v>
      </c>
      <c r="B6" s="2" t="s">
        <v>52</v>
      </c>
      <c r="C6" s="3">
        <v>297331</v>
      </c>
      <c r="D6" s="3">
        <v>34790</v>
      </c>
      <c r="F6" s="5" t="s">
        <v>76</v>
      </c>
      <c r="G6" s="5">
        <f>SUM(D7:D11,D4:D5)*8760/SUM(C7:C11,C4:C5)/1000</f>
        <v>1.055455584317851</v>
      </c>
      <c r="I6" s="5">
        <f t="shared" si="0"/>
        <v>1.2751583168772167</v>
      </c>
    </row>
    <row r="7" spans="1:9" x14ac:dyDescent="0.2">
      <c r="A7" s="2">
        <v>5</v>
      </c>
      <c r="B7" s="2" t="s">
        <v>53</v>
      </c>
      <c r="C7" s="3">
        <v>2760657</v>
      </c>
      <c r="D7" s="3">
        <v>226035</v>
      </c>
    </row>
    <row r="8" spans="1:9" x14ac:dyDescent="0.2">
      <c r="A8" s="2">
        <v>6</v>
      </c>
      <c r="B8" s="2" t="s">
        <v>54</v>
      </c>
      <c r="C8" s="3">
        <v>16816296</v>
      </c>
      <c r="D8" s="3">
        <v>1916597</v>
      </c>
    </row>
    <row r="9" spans="1:9" x14ac:dyDescent="0.2">
      <c r="A9" s="2">
        <v>7</v>
      </c>
      <c r="B9" s="2" t="s">
        <v>55</v>
      </c>
      <c r="C9" s="3">
        <v>4229719</v>
      </c>
      <c r="D9" s="3">
        <v>488577</v>
      </c>
    </row>
    <row r="10" spans="1:9" x14ac:dyDescent="0.2">
      <c r="A10" s="2">
        <v>8</v>
      </c>
      <c r="B10" s="2" t="s">
        <v>56</v>
      </c>
      <c r="C10" s="3">
        <v>6090236</v>
      </c>
      <c r="D10" s="3">
        <v>693191</v>
      </c>
    </row>
    <row r="11" spans="1:9" x14ac:dyDescent="0.2">
      <c r="A11" s="2">
        <v>9</v>
      </c>
      <c r="B11" s="2" t="s">
        <v>57</v>
      </c>
      <c r="C11" s="3">
        <v>3072252</v>
      </c>
      <c r="D11" s="3">
        <v>311529</v>
      </c>
    </row>
    <row r="12" spans="1:9" x14ac:dyDescent="0.2">
      <c r="A12" s="2">
        <v>10</v>
      </c>
      <c r="B12" s="2" t="s">
        <v>58</v>
      </c>
      <c r="C12" s="3">
        <v>436100</v>
      </c>
      <c r="D12" s="3">
        <v>18071</v>
      </c>
    </row>
    <row r="13" spans="1:9" x14ac:dyDescent="0.2">
      <c r="A13" s="1">
        <v>11</v>
      </c>
      <c r="B13" s="1" t="s">
        <v>59</v>
      </c>
      <c r="C13" s="9">
        <v>61148630</v>
      </c>
      <c r="D13" s="9">
        <v>8264535</v>
      </c>
    </row>
    <row r="14" spans="1:9" x14ac:dyDescent="0.2">
      <c r="A14" s="2">
        <v>12</v>
      </c>
      <c r="B14" s="2" t="s">
        <v>60</v>
      </c>
      <c r="C14" s="3">
        <v>592815</v>
      </c>
      <c r="D14" s="3">
        <v>146433</v>
      </c>
    </row>
    <row r="15" spans="1:9" x14ac:dyDescent="0.2">
      <c r="A15" s="1">
        <v>13</v>
      </c>
      <c r="B15" s="1" t="s">
        <v>61</v>
      </c>
      <c r="C15" s="9">
        <v>61741445</v>
      </c>
      <c r="D15" s="9">
        <v>8410968</v>
      </c>
    </row>
    <row r="16" spans="1:9" x14ac:dyDescent="0.2">
      <c r="A16" s="11" t="s">
        <v>75</v>
      </c>
      <c r="B16" s="11"/>
      <c r="C16" s="11"/>
      <c r="D16" s="11"/>
      <c r="E16" s="11"/>
    </row>
    <row r="17" spans="2:7" x14ac:dyDescent="0.2">
      <c r="B17" s="1" t="s">
        <v>63</v>
      </c>
      <c r="C17" s="2" t="s">
        <v>74</v>
      </c>
      <c r="D17" s="2" t="s">
        <v>74</v>
      </c>
      <c r="G17" s="5" t="s">
        <v>1</v>
      </c>
    </row>
    <row r="18" spans="2:7" x14ac:dyDescent="0.2">
      <c r="B18" s="1" t="s">
        <v>64</v>
      </c>
      <c r="C18" s="3">
        <v>5652239</v>
      </c>
      <c r="D18" s="3">
        <v>964327</v>
      </c>
      <c r="F18" s="5" t="s">
        <v>0</v>
      </c>
      <c r="G18" s="5">
        <f>D19*8760/C19/1000</f>
        <v>1.9838222672140988</v>
      </c>
    </row>
    <row r="19" spans="2:7" x14ac:dyDescent="0.2">
      <c r="B19" s="1" t="s">
        <v>65</v>
      </c>
      <c r="C19" s="3">
        <v>2390555</v>
      </c>
      <c r="D19" s="3">
        <v>541374</v>
      </c>
      <c r="F19" s="5" t="s">
        <v>13</v>
      </c>
      <c r="G19" s="5">
        <f>SUM(D26,D23)*8760/SUM(C26,C23)/1000</f>
        <v>1.4054121034294882</v>
      </c>
    </row>
    <row r="20" spans="2:7" x14ac:dyDescent="0.2">
      <c r="B20" s="1" t="s">
        <v>66</v>
      </c>
      <c r="C20" s="3">
        <v>48413</v>
      </c>
      <c r="D20" s="3">
        <v>1099</v>
      </c>
      <c r="F20" s="5" t="s">
        <v>2</v>
      </c>
      <c r="G20" s="5">
        <f>SUM(D22:D25)*8760/SUM(C22:C25)/1000</f>
        <v>1.0395649123452921</v>
      </c>
    </row>
    <row r="21" spans="2:7" x14ac:dyDescent="0.2">
      <c r="B21" s="1" t="s">
        <v>67</v>
      </c>
      <c r="C21" s="3">
        <v>4977</v>
      </c>
      <c r="D21" s="2">
        <v>726</v>
      </c>
      <c r="F21" s="5" t="s">
        <v>76</v>
      </c>
      <c r="G21" s="5">
        <f>SUM(D22:D26,D19:D20)*8760/SUM(C22:C26,C19:C20)/1000</f>
        <v>1.4948610494365822</v>
      </c>
    </row>
    <row r="22" spans="2:7" x14ac:dyDescent="0.2">
      <c r="B22" s="1" t="s">
        <v>68</v>
      </c>
      <c r="C22" s="3">
        <v>156692</v>
      </c>
      <c r="D22" s="3">
        <v>17696</v>
      </c>
    </row>
    <row r="23" spans="2:7" x14ac:dyDescent="0.2">
      <c r="B23" s="1" t="s">
        <v>69</v>
      </c>
      <c r="C23" s="3">
        <v>410900</v>
      </c>
      <c r="D23" s="3">
        <v>59903</v>
      </c>
    </row>
    <row r="24" spans="2:7" x14ac:dyDescent="0.2">
      <c r="B24" s="1" t="s">
        <v>70</v>
      </c>
      <c r="C24" s="3">
        <v>1643627</v>
      </c>
      <c r="D24" s="3">
        <v>194338</v>
      </c>
    </row>
    <row r="25" spans="2:7" x14ac:dyDescent="0.2">
      <c r="B25" s="1" t="s">
        <v>71</v>
      </c>
      <c r="C25" s="3">
        <v>179012</v>
      </c>
      <c r="D25" s="3">
        <v>11716</v>
      </c>
    </row>
    <row r="26" spans="2:7" x14ac:dyDescent="0.2">
      <c r="B26" s="1" t="s">
        <v>72</v>
      </c>
      <c r="C26" s="3">
        <v>789454</v>
      </c>
      <c r="D26" s="3">
        <v>132676</v>
      </c>
    </row>
    <row r="27" spans="2:7" x14ac:dyDescent="0.2">
      <c r="B27" s="1" t="s">
        <v>73</v>
      </c>
      <c r="C27" s="3">
        <v>28609</v>
      </c>
      <c r="D27" s="3">
        <v>4799</v>
      </c>
    </row>
    <row r="44" spans="1:1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x14ac:dyDescent="0.2">
      <c r="A46" s="2"/>
      <c r="B46" s="3"/>
      <c r="C46" s="3"/>
      <c r="D46" s="3"/>
      <c r="E46" s="2"/>
      <c r="F46" s="3"/>
      <c r="G46" s="3"/>
      <c r="H46" s="3"/>
      <c r="I46" s="3"/>
      <c r="J46" s="3"/>
      <c r="K46" s="3"/>
    </row>
    <row r="47" spans="1:11" x14ac:dyDescent="0.2">
      <c r="A47" s="2"/>
      <c r="B47" s="3"/>
      <c r="C47" s="3"/>
      <c r="D47" s="3"/>
      <c r="E47" s="2"/>
      <c r="F47" s="3"/>
      <c r="G47" s="3"/>
      <c r="H47" s="3"/>
      <c r="I47" s="3"/>
      <c r="J47" s="3"/>
      <c r="K47" s="3"/>
    </row>
  </sheetData>
  <mergeCells count="2">
    <mergeCell ref="A1:E1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LRZ1</vt:lpstr>
      <vt:lpstr>LRZ35</vt:lpstr>
      <vt:lpstr>LRZ27</vt:lpstr>
      <vt:lpstr>LRZ6</vt:lpstr>
      <vt:lpstr>LRZ8910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Authors</dc:creator>
  <cp:lastModifiedBy>Authors</cp:lastModifiedBy>
  <dcterms:created xsi:type="dcterms:W3CDTF">2026-04-11T18:13:34Z</dcterms:created>
  <dcterms:modified xsi:type="dcterms:W3CDTF">2026-04-20T21:00:01Z</dcterms:modified>
</cp:coreProperties>
</file>