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FC39C5EC-BAFE-0241-BD89-91740B339B43}" xr6:coauthVersionLast="47" xr6:coauthVersionMax="47" xr10:uidLastSave="{00000000-0000-0000-0000-000000000000}"/>
  <bookViews>
    <workbookView xWindow="12680" yWindow="2940" windowWidth="38400" windowHeight="211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C7" i="1"/>
  <c r="D7" i="1" s="1"/>
  <c r="E7" i="1" s="1"/>
  <c r="D10" i="2"/>
  <c r="E10" i="2"/>
  <c r="C10" i="2"/>
  <c r="B10" i="2"/>
  <c r="F10" i="2"/>
</calcChain>
</file>

<file path=xl/sharedStrings.xml><?xml version="1.0" encoding="utf-8"?>
<sst xmlns="http://schemas.openxmlformats.org/spreadsheetml/2006/main" count="38" uniqueCount="38">
  <si>
    <t>State</t>
  </si>
  <si>
    <t>Arizona</t>
  </si>
  <si>
    <t>California</t>
  </si>
  <si>
    <t>Colorado</t>
  </si>
  <si>
    <t>Connecticut</t>
  </si>
  <si>
    <t>Florida</t>
  </si>
  <si>
    <t>Illinois</t>
  </si>
  <si>
    <t>Indiana</t>
  </si>
  <si>
    <t>Kansas</t>
  </si>
  <si>
    <t>Maine</t>
  </si>
  <si>
    <t>Maryland</t>
  </si>
  <si>
    <t>Massachusetts</t>
  </si>
  <si>
    <t>Missouri</t>
  </si>
  <si>
    <t>Nebraska</t>
  </si>
  <si>
    <t>Nevada</t>
  </si>
  <si>
    <t>New Hampshire</t>
  </si>
  <si>
    <t>New Jersey</t>
  </si>
  <si>
    <t>New York</t>
  </si>
  <si>
    <t>North Carolina</t>
  </si>
  <si>
    <t>Ohio</t>
  </si>
  <si>
    <t>Oklahoma</t>
  </si>
  <si>
    <t>Oregon</t>
  </si>
  <si>
    <t>Pennsylvania</t>
  </si>
  <si>
    <t>Tennessee</t>
  </si>
  <si>
    <t>Texas</t>
  </si>
  <si>
    <t>Washington</t>
  </si>
  <si>
    <t>Virginia</t>
  </si>
  <si>
    <t>City of Henderson</t>
  </si>
  <si>
    <t>City of Las Vegas</t>
  </si>
  <si>
    <t>City of North Las Vegas</t>
  </si>
  <si>
    <t>City of Reno</t>
  </si>
  <si>
    <t>City of Sparks</t>
  </si>
  <si>
    <t xml:space="preserve">	Clark County</t>
  </si>
  <si>
    <t>Washoe County</t>
  </si>
  <si>
    <t>Washoe County School District</t>
  </si>
  <si>
    <t>total</t>
  </si>
  <si>
    <t>Georgia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</si>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</sst>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3" bestFit="1" customWidth="1"/>
  </cols>
  <sheetData>
    <row r="1" spans="1:6" x14ac:dyDescent="0.2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</row>
    <row r="2" spans="1:6" x14ac:dyDescent="0.2">
      <c r="A2" t="s">
        <v>1</v>
      </c>
      <c r="B2">
        <v>1.7999999999999999E-2</v>
      </c>
      <c r="C2">
        <v>0</v>
      </c>
      <c r="D2">
        <v>0</v>
      </c>
      <c r="E2">
        <v>0.255</v>
      </c>
      <c r="F2">
        <v>0.7649999999999999</v>
      </c>
    </row>
    <row r="3" spans="1:6" x14ac:dyDescent="0.2">
      <c r="A3" t="s">
        <v>2</v>
      </c>
      <c r="B3">
        <v>6.6579999999999986</v>
      </c>
      <c r="C3">
        <v>56.28</v>
      </c>
      <c r="D3">
        <v>41.62</v>
      </c>
      <c r="E3">
        <v>36.878999999999998</v>
      </c>
      <c r="F3">
        <v>49.845999999999997</v>
      </c>
    </row>
    <row r="4" spans="1:6" x14ac:dyDescent="0.2">
      <c r="A4" t="s">
        <v>3</v>
      </c>
      <c r="B4">
        <v>7.473592</v>
      </c>
      <c r="C4">
        <v>2.3722120000000002</v>
      </c>
      <c r="D4">
        <v>0.70064099999999996</v>
      </c>
      <c r="E4">
        <v>2.25658</v>
      </c>
      <c r="F4">
        <v>3.1350280000000001</v>
      </c>
    </row>
    <row r="5" spans="1:6" x14ac:dyDescent="0.2">
      <c r="A5" t="s">
        <v>4</v>
      </c>
      <c r="B5">
        <v>1.3561730000000001</v>
      </c>
      <c r="C5">
        <v>1.271185</v>
      </c>
      <c r="D5">
        <v>1.1999709999999999</v>
      </c>
      <c r="E5">
        <v>3.2933089999999998</v>
      </c>
      <c r="F5">
        <v>2.480696</v>
      </c>
    </row>
    <row r="6" spans="1:6" x14ac:dyDescent="0.2">
      <c r="A6" t="s">
        <v>5</v>
      </c>
      <c r="B6">
        <v>5.6000000000000001E-2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6</v>
      </c>
      <c r="B7">
        <v>10.387</v>
      </c>
      <c r="C7">
        <f>43.794-B7</f>
        <v>33.406999999999996</v>
      </c>
      <c r="D7">
        <f>94.723-B7-C7</f>
        <v>50.929000000000002</v>
      </c>
      <c r="E7">
        <f>465.332-B7-C7-D7</f>
        <v>370.60900000000004</v>
      </c>
      <c r="F7">
        <f>983/653*465.332-465.332</f>
        <v>235.1601225114855</v>
      </c>
    </row>
    <row r="8" spans="1:6" x14ac:dyDescent="0.2">
      <c r="A8" t="s">
        <v>7</v>
      </c>
      <c r="B8">
        <v>0.5</v>
      </c>
      <c r="C8">
        <v>0.341775</v>
      </c>
      <c r="D8">
        <v>9.1745280000000005</v>
      </c>
      <c r="E8">
        <v>0.25017299999999998</v>
      </c>
      <c r="F8">
        <v>30.253385999999999</v>
      </c>
    </row>
    <row r="9" spans="1:6" x14ac:dyDescent="0.2">
      <c r="A9" t="s">
        <v>8</v>
      </c>
      <c r="B9">
        <v>5.0759999999999998E-3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9</v>
      </c>
      <c r="B10">
        <v>0</v>
      </c>
      <c r="C10">
        <v>5.3095999999999997E-2</v>
      </c>
      <c r="D10">
        <v>0</v>
      </c>
      <c r="E10">
        <v>4.3637000000000002E-2</v>
      </c>
      <c r="F10">
        <v>0</v>
      </c>
    </row>
    <row r="11" spans="1:6" x14ac:dyDescent="0.2">
      <c r="A11" t="s">
        <v>10</v>
      </c>
      <c r="B11">
        <v>0.70425100000000007</v>
      </c>
      <c r="C11">
        <v>0.199853</v>
      </c>
      <c r="D11">
        <v>7.0971999999999993E-2</v>
      </c>
      <c r="E11">
        <v>4.9908000000000001E-2</v>
      </c>
      <c r="F11">
        <v>0</v>
      </c>
    </row>
    <row r="12" spans="1:6" x14ac:dyDescent="0.2">
      <c r="A12" t="s">
        <v>11</v>
      </c>
      <c r="B12">
        <v>0.89999999999999991</v>
      </c>
      <c r="C12">
        <v>0.5</v>
      </c>
      <c r="D12">
        <v>1</v>
      </c>
      <c r="E12">
        <v>0</v>
      </c>
      <c r="F12">
        <v>0</v>
      </c>
    </row>
    <row r="13" spans="1:6" x14ac:dyDescent="0.2">
      <c r="A13" t="s">
        <v>37</v>
      </c>
      <c r="B13">
        <v>100.3</v>
      </c>
      <c r="C13">
        <v>101.1</v>
      </c>
      <c r="D13">
        <v>112.3</v>
      </c>
      <c r="E13">
        <v>110.33</v>
      </c>
      <c r="F13">
        <v>109.2</v>
      </c>
    </row>
    <row r="14" spans="1:6" x14ac:dyDescent="0.2">
      <c r="A14" t="s">
        <v>12</v>
      </c>
      <c r="B14">
        <v>4.1487319999999999</v>
      </c>
      <c r="C14">
        <v>9.567869</v>
      </c>
      <c r="D14">
        <v>5.75</v>
      </c>
      <c r="E14">
        <v>0</v>
      </c>
      <c r="F14">
        <v>0</v>
      </c>
    </row>
    <row r="15" spans="1:6" x14ac:dyDescent="0.2">
      <c r="A15" t="s">
        <v>13</v>
      </c>
      <c r="B15">
        <v>0</v>
      </c>
      <c r="C15">
        <v>0</v>
      </c>
      <c r="D15">
        <v>0</v>
      </c>
      <c r="E15">
        <v>0</v>
      </c>
      <c r="F15">
        <v>120.77673900000001</v>
      </c>
    </row>
    <row r="16" spans="1:6" x14ac:dyDescent="0.2">
      <c r="A16" t="s">
        <v>14</v>
      </c>
      <c r="B16">
        <v>4.0571900000000003</v>
      </c>
      <c r="C16">
        <v>3.0718260000000002</v>
      </c>
      <c r="D16">
        <v>2.7462390000000001</v>
      </c>
      <c r="E16">
        <v>59.061858999999998</v>
      </c>
      <c r="F16">
        <v>19.195785999999998</v>
      </c>
    </row>
    <row r="17" spans="1:6" x14ac:dyDescent="0.2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 t="s">
        <v>16</v>
      </c>
      <c r="B18">
        <v>0</v>
      </c>
      <c r="C18">
        <v>3.7424059999999999</v>
      </c>
      <c r="D18">
        <v>11.937642</v>
      </c>
      <c r="E18">
        <v>0</v>
      </c>
      <c r="F18">
        <v>22.178944999999999</v>
      </c>
    </row>
    <row r="19" spans="1:6" x14ac:dyDescent="0.2">
      <c r="A19" t="s">
        <v>17</v>
      </c>
      <c r="B19">
        <v>3.566919</v>
      </c>
      <c r="C19">
        <v>3.8406069999999999</v>
      </c>
      <c r="D19">
        <v>2.860798</v>
      </c>
      <c r="E19">
        <v>2.2131080000000001</v>
      </c>
      <c r="F19">
        <v>19.029257999999999</v>
      </c>
    </row>
    <row r="20" spans="1:6" x14ac:dyDescent="0.2">
      <c r="A20" t="s">
        <v>18</v>
      </c>
      <c r="B20">
        <v>9.6357549999999996</v>
      </c>
      <c r="C20">
        <v>5.8243909999999994</v>
      </c>
      <c r="D20">
        <v>8.2055279999999993</v>
      </c>
      <c r="E20">
        <v>15.216089999999999</v>
      </c>
      <c r="F20">
        <v>7.2047410000000003</v>
      </c>
    </row>
    <row r="21" spans="1:6" x14ac:dyDescent="0.2">
      <c r="A21" t="s">
        <v>19</v>
      </c>
      <c r="B21">
        <v>70.2</v>
      </c>
      <c r="C21">
        <v>69.099999999999994</v>
      </c>
      <c r="D21">
        <v>117.6</v>
      </c>
      <c r="E21">
        <v>119.3</v>
      </c>
      <c r="F21">
        <v>122.9</v>
      </c>
    </row>
    <row r="22" spans="1:6" x14ac:dyDescent="0.2">
      <c r="A22" t="s">
        <v>20</v>
      </c>
      <c r="B22">
        <v>39.886662000000001</v>
      </c>
      <c r="C22">
        <v>60.850948000000002</v>
      </c>
      <c r="D22">
        <v>57.836640000000003</v>
      </c>
      <c r="E22">
        <v>65.308066999999994</v>
      </c>
      <c r="F22">
        <v>46.044702999999998</v>
      </c>
    </row>
    <row r="23" spans="1:6" x14ac:dyDescent="0.2">
      <c r="A23" t="s">
        <v>21</v>
      </c>
      <c r="B23">
        <v>52.048524</v>
      </c>
      <c r="C23">
        <v>38.489604999999997</v>
      </c>
      <c r="D23">
        <v>25.643913000000001</v>
      </c>
      <c r="E23">
        <v>13.885643</v>
      </c>
      <c r="F23">
        <v>0</v>
      </c>
    </row>
    <row r="24" spans="1:6" x14ac:dyDescent="0.2">
      <c r="A24" t="s">
        <v>22</v>
      </c>
      <c r="B24">
        <v>0.56634899999999999</v>
      </c>
      <c r="C24">
        <v>4.4514570000000004</v>
      </c>
      <c r="D24">
        <v>6.5802480000000001</v>
      </c>
      <c r="E24">
        <v>6.2972000000000001</v>
      </c>
      <c r="F24">
        <v>42.672714999999997</v>
      </c>
    </row>
    <row r="25" spans="1:6" x14ac:dyDescent="0.2">
      <c r="A25" t="s">
        <v>23</v>
      </c>
      <c r="B25">
        <v>1.150739</v>
      </c>
      <c r="C25">
        <v>1.1420239999999999</v>
      </c>
      <c r="D25">
        <v>1.107259</v>
      </c>
      <c r="E25">
        <v>1.1072329999999999</v>
      </c>
      <c r="F25">
        <v>0</v>
      </c>
    </row>
    <row r="26" spans="1:6" x14ac:dyDescent="0.2">
      <c r="A26" t="s">
        <v>24</v>
      </c>
      <c r="B26">
        <v>86.263999999999996</v>
      </c>
      <c r="C26">
        <v>85.504999999999995</v>
      </c>
      <c r="D26">
        <v>80.171999999999997</v>
      </c>
      <c r="E26">
        <v>290.971</v>
      </c>
      <c r="F26">
        <v>211.179</v>
      </c>
    </row>
    <row r="27" spans="1:6" x14ac:dyDescent="0.2">
      <c r="A27" t="s">
        <v>25</v>
      </c>
      <c r="B27">
        <v>33.39</v>
      </c>
      <c r="C27">
        <v>54.77</v>
      </c>
      <c r="D27">
        <v>73.855000000000004</v>
      </c>
      <c r="E27">
        <v>75.790000000000006</v>
      </c>
      <c r="F27">
        <v>92.253</v>
      </c>
    </row>
    <row r="28" spans="1:6" x14ac:dyDescent="0.2">
      <c r="A28" t="s">
        <v>26</v>
      </c>
      <c r="B28">
        <v>110.5</v>
      </c>
      <c r="C28">
        <v>124.5</v>
      </c>
      <c r="D28">
        <v>135.9</v>
      </c>
      <c r="E28">
        <v>750.4</v>
      </c>
      <c r="F28">
        <v>732.8</v>
      </c>
    </row>
    <row r="29" spans="1:6" x14ac:dyDescent="0.2">
      <c r="A29" t="s">
        <v>36</v>
      </c>
      <c r="B29">
        <v>15</v>
      </c>
      <c r="C29">
        <v>15</v>
      </c>
      <c r="D29">
        <v>12</v>
      </c>
      <c r="E29">
        <v>13</v>
      </c>
      <c r="F2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9A6B-798C-D749-9663-5F888482D5A6}">
  <dimension ref="A1:F10"/>
  <sheetViews>
    <sheetView workbookViewId="0">
      <selection activeCell="B10" sqref="B10:F10"/>
    </sheetView>
  </sheetViews>
  <sheetFormatPr baseColWidth="10" defaultRowHeight="15" x14ac:dyDescent="0.2"/>
  <cols>
    <col min="1" max="1" width="18.1640625" bestFit="1" customWidth="1"/>
  </cols>
  <sheetData>
    <row r="1" spans="1:6" x14ac:dyDescent="0.2">
      <c r="B1">
        <v>2020</v>
      </c>
      <c r="C1">
        <v>2021</v>
      </c>
      <c r="D1">
        <v>2022</v>
      </c>
      <c r="E1">
        <v>2023</v>
      </c>
      <c r="F1">
        <v>2024</v>
      </c>
    </row>
    <row r="2" spans="1:6" x14ac:dyDescent="0.2">
      <c r="A2" t="s">
        <v>27</v>
      </c>
      <c r="B2" s="2">
        <v>498495</v>
      </c>
      <c r="C2" s="2">
        <v>344519</v>
      </c>
      <c r="D2" s="2">
        <v>280564</v>
      </c>
      <c r="E2" s="2">
        <v>1168963</v>
      </c>
      <c r="F2" s="2">
        <v>2476598</v>
      </c>
    </row>
    <row r="3" spans="1:6" x14ac:dyDescent="0.2">
      <c r="A3" t="s">
        <v>28</v>
      </c>
      <c r="B3" s="2">
        <v>1122166</v>
      </c>
      <c r="C3" s="2">
        <v>777542</v>
      </c>
      <c r="D3" s="2">
        <v>616800</v>
      </c>
      <c r="E3" s="2">
        <v>2442770</v>
      </c>
      <c r="F3" s="2">
        <v>5175322</v>
      </c>
    </row>
    <row r="4" spans="1:6" x14ac:dyDescent="0.2">
      <c r="A4" t="s">
        <v>29</v>
      </c>
      <c r="B4" s="2">
        <v>287066</v>
      </c>
      <c r="C4" s="2">
        <v>198137</v>
      </c>
      <c r="D4" s="2">
        <v>165543</v>
      </c>
      <c r="E4" s="2">
        <v>795640</v>
      </c>
      <c r="F4" s="2">
        <v>1685664</v>
      </c>
    </row>
    <row r="5" spans="1:6" x14ac:dyDescent="0.2">
      <c r="A5" t="s">
        <v>30</v>
      </c>
      <c r="B5" s="2">
        <v>60741</v>
      </c>
      <c r="C5" s="2">
        <v>73266</v>
      </c>
      <c r="D5" s="2">
        <v>93739</v>
      </c>
      <c r="E5" s="2">
        <v>7319184</v>
      </c>
      <c r="F5" s="2">
        <v>286949</v>
      </c>
    </row>
    <row r="6" spans="1:6" x14ac:dyDescent="0.2">
      <c r="A6" t="s">
        <v>31</v>
      </c>
      <c r="B6" s="2">
        <v>24067</v>
      </c>
      <c r="C6" s="2">
        <v>29030</v>
      </c>
      <c r="D6" s="2">
        <v>37094</v>
      </c>
      <c r="E6" s="2">
        <v>2853356</v>
      </c>
      <c r="F6" s="2">
        <v>111866</v>
      </c>
    </row>
    <row r="7" spans="1:6" x14ac:dyDescent="0.2">
      <c r="A7" t="s">
        <v>32</v>
      </c>
      <c r="B7" s="2">
        <v>1636142</v>
      </c>
      <c r="C7" s="2">
        <v>1132475</v>
      </c>
      <c r="D7" s="2">
        <v>905705</v>
      </c>
      <c r="E7" s="2">
        <v>3576459</v>
      </c>
      <c r="F7" s="2">
        <v>7577186</v>
      </c>
    </row>
    <row r="8" spans="1:6" x14ac:dyDescent="0.2">
      <c r="A8" t="s">
        <v>33</v>
      </c>
      <c r="B8" s="2">
        <v>211746</v>
      </c>
      <c r="C8" s="2">
        <v>255389</v>
      </c>
      <c r="D8" s="2">
        <v>319837</v>
      </c>
      <c r="E8" s="2">
        <v>18384922</v>
      </c>
      <c r="F8" s="2">
        <v>999280</v>
      </c>
    </row>
    <row r="9" spans="1:6" x14ac:dyDescent="0.2">
      <c r="A9" t="s">
        <v>34</v>
      </c>
      <c r="B9" s="2">
        <v>216767</v>
      </c>
      <c r="C9" s="2">
        <v>261468</v>
      </c>
      <c r="D9" s="2">
        <v>326957</v>
      </c>
      <c r="E9" s="2">
        <v>22520565</v>
      </c>
      <c r="F9" s="2">
        <v>882921</v>
      </c>
    </row>
    <row r="10" spans="1:6" x14ac:dyDescent="0.2">
      <c r="A10" t="s">
        <v>35</v>
      </c>
      <c r="B10">
        <f t="shared" ref="B10:D10" si="0">SUM(B2:B9)/1000000</f>
        <v>4.0571900000000003</v>
      </c>
      <c r="C10">
        <f>SUM(C2:C9)/1000000</f>
        <v>3.0718260000000002</v>
      </c>
      <c r="D10">
        <f t="shared" si="0"/>
        <v>2.7462390000000001</v>
      </c>
      <c r="E10">
        <f>SUM(E2:E9)/1000000</f>
        <v>59.061858999999998</v>
      </c>
      <c r="F10">
        <f>SUM(F2:F9)/1000000</f>
        <v>19.195785999999998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Feng</cp:lastModifiedBy>
  <dcterms:created xsi:type="dcterms:W3CDTF">2025-11-21T19:04:15Z</dcterms:created>
  <dcterms:modified xsi:type="dcterms:W3CDTF">2025-11-22T22:54:27Z</dcterms:modified>
</cp:coreProperties>
</file>